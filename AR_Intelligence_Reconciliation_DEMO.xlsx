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'1.0' encoding='UTF-8' standalone='yes'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/>
  </mc:AlternateContent>
  <xr:revisionPtr revIDLastSave="0" documentId="13_ncr:1_{CEB2A5F8-E28C-4920-8BB4-2E3F80FED41C}" xr6:coauthVersionLast="47" xr6:coauthVersionMax="47" xr10:uidLastSave="{00000000-0000-0000-0000-000000000000}"/>
  <bookViews>
    <workbookView xWindow="-120" yWindow="-120" windowWidth="29040" windowHeight="15720" activeTab="0" xr2:uid="{00000000-000D-0000-FFFF-FFFF00000000}" firstSheet="0"/>
  </bookViews>
  <sheets>
    <sheet name="Dashboard" sheetId="26" r:id="rId1"/>
    <sheet name="Current AR" sheetId="22" r:id="rId9"/>
    <sheet name="Prior AR" sheetId="23" r:id="rId10"/>
    <sheet name="Analysis" sheetId="21" r:id="rId8"/>
    <sheet name="Collection Follow-up" sheetId="24" r:id="rId11"/>
    <sheet name="Checks" sheetId="18" r:id="rId7"/>
  </sheets>
  <definedNames>
    <definedName name="AR_Customers">'Analysis'!$V$170:$V$177</definedName>
    <definedName name="AR_Sales">'Analysis'!$W$170:$W$176</definedName>
  </definedName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_(* #,##0_);_(* \(#,##0\);_(* &quot;-&quot;??_);_(@_)"/>
    <numFmt numFmtId="166" formatCode="_-* #,##0\ _₫_-;\-* #,##0\ _₫_-;_-* &quot;-&quot;??\ _₫_-;_-@"/>
    <numFmt numFmtId="167" formatCode="#,#0#\ &quot;days&quot;"/>
    <numFmt numFmtId="168" formatCode="0.0%"/>
    <numFmt numFmtId="169" formatCode="0.00&quot; days&quot;"/>
    <numFmt numFmtId="170" formatCode="#,##0;\-#,##0;&quot;-&quot;"/>
    <numFmt numFmtId="171" formatCode="0.00,,,&quot; tỷ&quot;"/>
  </numFmts>
  <fonts count="114">
    <font>
      <sz val="11"/>
      <color theme="1"/>
      <name val="Times New Roman"/>
      <charset val="134"/>
      <scheme val="minor"/>
    </font>
    <font>
      <b/>
      <sz val="11"/>
      <color theme="1"/>
      <name val="Times New Roman"/>
      <family val="1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11"/>
      <color rgb="FFD8D8D8"/>
      <name val="Calibri"/>
      <family val="2"/>
    </font>
    <font>
      <sz val="11"/>
      <color rgb="FFFF0000"/>
      <name val="Times New Roman"/>
      <family val="1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rgb="FF111111"/>
      <name val="Inherit"/>
      <charset val="134"/>
    </font>
    <font>
      <sz val="11"/>
      <color rgb="FF000000"/>
      <name val="Calibri"/>
      <family val="2"/>
    </font>
    <font>
      <u/>
      <sz val="11"/>
      <color theme="10"/>
      <name val="Times New Roman"/>
      <family val="1"/>
    </font>
    <font>
      <sz val="10"/>
      <color theme="1"/>
      <name val="Noto Sans"/>
      <family val="2"/>
    </font>
    <font>
      <sz val="11"/>
      <color theme="1"/>
      <name val="Times New Roman"/>
      <family val="1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b/>
      <sz val="12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3"/>
      <color rgb="FFFF0000"/>
      <name val="Arial"/>
      <family val="2"/>
    </font>
    <font>
      <sz val="13"/>
      <color rgb="FFFF0000"/>
      <name val="Arial"/>
      <family val="2"/>
    </font>
    <font>
      <b/>
      <sz val="13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0"/>
      <color rgb="FFE85D04"/>
      <name val="Arial"/>
      <family val="2"/>
    </font>
    <font>
      <b/>
      <sz val="10"/>
      <color rgb="FF9D0208"/>
      <name val="Arial"/>
      <family val="2"/>
    </font>
    <font>
      <b/>
      <sz val="12"/>
      <color rgb="FFFB8B24"/>
      <name val="Arial"/>
      <family val="2"/>
    </font>
    <font>
      <b/>
      <sz val="12"/>
      <color rgb="FF9D0208"/>
      <name val="Arial"/>
      <family val="2"/>
    </font>
    <font>
      <sz val="11"/>
      <color rgb="FF233746"/>
      <name val="Arial"/>
      <family val="2"/>
    </font>
    <font>
      <b/>
      <sz val="11"/>
      <color rgb="FF233746"/>
      <name val="Arial"/>
      <family val="2"/>
    </font>
    <font>
      <sz val="11"/>
      <name val="Carlito"/>
    </font>
    <font>
      <sz val="11"/>
      <color rgb="FF233746"/>
      <name val="Arial"/>
      <family val="2"/>
    </font>
    <font>
      <b/>
      <sz val="11"/>
      <color rgb="FFFFFFFF"/>
      <name val="Arial"/>
      <family val="2"/>
    </font>
    <font>
      <b/>
      <sz val="11"/>
      <color rgb="FF233746"/>
      <name val="Arial"/>
      <family val="2"/>
    </font>
    <font>
      <b/>
      <sz val="15"/>
      <color rgb="FF183A52"/>
      <name val="Arial"/>
      <family val="2"/>
    </font>
    <font>
      <b/>
      <sz val="11"/>
      <color rgb="FF233746"/>
      <name val="Arial"/>
      <family val="2"/>
    </font>
    <font>
      <sz val="18"/>
      <color theme="1"/>
      <name val="Times New Roman"/>
      <family val="1"/>
      <scheme val="minor"/>
    </font>
    <font>
      <sz val="20"/>
      <color theme="1"/>
      <name val="Arial"/>
      <family val="2"/>
    </font>
    <font>
      <b/>
      <sz val="20"/>
      <color theme="1"/>
      <name val="Arial"/>
      <family val="2"/>
    </font>
    <font>
      <sz val="20"/>
      <color theme="1"/>
      <name val="Times New Roman"/>
      <family val="1"/>
      <scheme val="minor"/>
    </font>
    <font>
      <sz val="11"/>
      <color rgb="FF30343B"/>
      <name val="Arial"/>
      <family val="2"/>
    </font>
    <font>
      <b/>
      <sz val="11"/>
      <color rgb="FFFFFFFF"/>
      <name val="Arial"/>
      <family val="2"/>
    </font>
    <font>
      <sz val="11"/>
      <color rgb="FF30343B"/>
      <name val="Carlito"/>
    </font>
    <font>
      <sz val="10"/>
      <color rgb="FF17365D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6"/>
      <color rgb="FF223D79"/>
      <name val="Arial"/>
      <family val="2"/>
    </font>
    <font>
      <sz val="11"/>
      <color theme="1"/>
      <name val="Times New Roman"/>
      <family val="1"/>
      <scheme val="minor"/>
    </font>
    <font>
      <sz val="10"/>
      <color rgb="FF30343B"/>
      <name val="Arial"/>
      <family val="2"/>
    </font>
    <font>
      <sz val="11"/>
      <color rgb="FF30343B"/>
      <name val="Carlito"/>
    </font>
    <font>
      <sz val="9"/>
      <color rgb="FF64748B"/>
      <name val="Arial"/>
      <family val="2"/>
    </font>
    <font>
      <sz val="10"/>
      <color rgb="FF17365D"/>
      <name val="Arial"/>
      <family val="2"/>
    </font>
    <font>
      <b/>
      <sz val="10"/>
      <color rgb="FF17365D"/>
      <name val="Arial"/>
      <family val="2"/>
    </font>
    <font>
      <sz val="10"/>
      <color theme="1"/>
      <name val="Times New Roman"/>
      <family val="1"/>
      <scheme val="minor"/>
    </font>
    <font>
      <b/>
      <sz val="10"/>
      <color theme="1" tint="0.499984740745262"/>
      <name val="Arial"/>
      <family val="2"/>
    </font>
    <font>
      <sz val="10"/>
      <color rgb="FF6B7280"/>
      <name val="Arial"/>
      <family val="2"/>
    </font>
    <font>
      <sz val="10"/>
      <color rgb="FF223D79"/>
      <name val="Times New Roman"/>
      <family val="1"/>
      <scheme val="minor"/>
    </font>
    <font>
      <sz val="9"/>
      <color rgb="FF6B7280"/>
      <name val="Arial"/>
      <family val="2"/>
    </font>
    <font>
      <b/>
      <sz val="9"/>
      <color rgb="FF17365D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223D79"/>
      <name val="Arial"/>
      <family val="2"/>
    </font>
    <font>
      <sz val="10"/>
      <color rgb="FF223D79"/>
      <name val="Arial"/>
      <family val="2"/>
    </font>
    <font>
      <sz val="9"/>
      <color rgb="FF223D79"/>
      <name val="Arial"/>
      <family val="2"/>
    </font>
    <font>
      <sz val="9"/>
      <color rgb="FF6B7280"/>
      <name val="Arial"/>
      <family val="2"/>
    </font>
    <font>
      <b/>
      <sz val="17"/>
      <color rgb="FF223D79"/>
      <name val="Arial"/>
      <family val="2"/>
    </font>
    <font>
      <b/>
      <sz val="17"/>
      <color rgb="FF223D79"/>
      <name val="Arial"/>
      <family val="2"/>
    </font>
    <font>
      <b/>
      <sz val="17"/>
      <color rgb="FF223D79"/>
      <name val="Arial"/>
      <family val="2"/>
    </font>
    <font>
      <sz val="9"/>
      <color rgb="FF6B7280"/>
      <name val="Arial"/>
      <family val="2"/>
    </font>
    <font>
      <sz val="9"/>
      <color rgb="FF6B7280"/>
      <name val="Arial"/>
      <family val="2"/>
    </font>
    <font>
      <sz val="9"/>
      <color rgb="FF6B7280"/>
      <name val="Arial"/>
      <family val="2"/>
    </font>
    <font>
      <sz val="9"/>
      <color rgb="FF6B7280"/>
      <name val="Arial"/>
      <family val="2"/>
    </font>
    <font>
      <sz val="9"/>
      <color rgb="FF6B7280"/>
      <name val="Arial"/>
      <family val="2"/>
    </font>
    <font>
      <sz val="9"/>
      <color rgb="FF6B7280"/>
      <name val="Arial"/>
      <family val="2"/>
    </font>
    <font>
      <b/>
      <sz val="8"/>
      <color rgb="FF17365D"/>
      <name val="Arial"/>
      <family val="2"/>
    </font>
    <font>
      <sz val="22"/>
      <color rgb="FFC00000"/>
      <name val="Arial"/>
      <family val="2"/>
    </font>
    <font>
      <family val="2"/>
      <sz val="12"/>
      <color rgb="FF0F172A"/>
      <name val="Arial"/>
    </font>
    <font>
      <family val="2"/>
      <sz val="21"/>
      <color rgb="FF0F172A"/>
      <name val="Arial"/>
      <b/>
    </font>
    <font>
      <family val="2"/>
      <sz val="21"/>
      <color rgb="FF0F172A"/>
      <name val="Arial"/>
      <b/>
    </font>
    <font>
      <family val="2"/>
      <sz val="21"/>
      <color rgb="FF0F172A"/>
      <name val="Arial"/>
      <b/>
    </font>
    <font>
      <family val="2"/>
      <sz val="10.5"/>
      <color rgb="FF64748B"/>
      <name val="Arial"/>
    </font>
    <font>
      <family val="2"/>
      <sz val="10.5"/>
      <color rgb="FFDC2626"/>
      <name val="Arial"/>
    </font>
    <font>
      <family val="2"/>
      <sz val="10.5"/>
      <color rgb="FF64748B"/>
      <name val="Arial"/>
    </font>
    <font>
      <family val="2"/>
      <sz val="10.5"/>
      <color rgb="FF009B91"/>
      <name val="Arial"/>
    </font>
    <font>
      <family val="2"/>
      <sz val="10.5"/>
      <color rgb="FF009B91"/>
      <name val="Arial"/>
    </font>
    <font>
      <family val="2"/>
      <sz val="10.5"/>
      <color rgb="FF64748B"/>
      <name val="Arial"/>
    </font>
    <font>
      <family val="2"/>
      <sz val="10.5"/>
      <color rgb="FFDC2626"/>
      <name val="Arial"/>
    </font>
    <font>
      <family val="2"/>
      <sz val="10.5"/>
      <color rgb="FF009B91"/>
      <name val="Arial"/>
    </font>
    <font>
      <family val="2"/>
      <sz val="10.5"/>
      <color rgb="FFDC2626"/>
      <name val="Arial"/>
    </font>
    <font>
      <family val="2"/>
      <sz val="11.5"/>
      <name val="Arial"/>
      <color rgb="FF0F172A"/>
      <b/>
    </font>
    <font>
      <family val="2"/>
      <sz val="19"/>
      <name val="Arial"/>
      <color rgb="FF0F172A"/>
      <b/>
    </font>
    <font>
      <family val="2"/>
      <sz val="11.5"/>
      <name val="Arial"/>
      <color rgb="FF52637D"/>
    </font>
    <font>
      <family val="2"/>
      <sz val="11"/>
      <name val="Arial"/>
      <color rgb="FFDC2626"/>
    </font>
    <font>
      <family val="2"/>
      <sz val="19"/>
      <name val="Arial"/>
      <color rgb="FF0F172A"/>
      <b/>
    </font>
    <font>
      <family val="2"/>
      <sz val="11"/>
      <name val="Arial"/>
      <color rgb="FF009B91"/>
    </font>
    <font>
      <family val="2"/>
      <sz val="19"/>
      <name val="Arial"/>
      <color rgb="FF0F172A"/>
      <b/>
    </font>
    <font>
      <family val="2"/>
      <sz val="11"/>
      <name val="Arial"/>
      <color rgb="FF009B91"/>
    </font>
    <font>
      <family val="2"/>
      <sz val="11"/>
      <name val="Arial"/>
      <color rgb="FFDC2626"/>
    </font>
    <font>
      <family val="2"/>
      <sz val="11"/>
      <name val="Arial"/>
      <color rgb="FF009B91"/>
    </font>
    <font>
      <family val="2"/>
      <sz val="11"/>
      <name val="Arial"/>
      <color rgb="FFDC2626"/>
    </font>
    <font>
      <family val="2"/>
      <sz val="11"/>
      <name val="Arial"/>
      <color rgb="FF0F172A"/>
      <b/>
    </font>
    <font>
      <charset val="134"/>
      <scheme val="minor"/>
      <sz val="11"/>
      <name val="Arial"/>
      <color rgb="FF0F172A"/>
    </font>
    <font>
      <charset val="134"/>
      <scheme val="minor"/>
      <sz val="14"/>
      <name val="Arial"/>
      <color rgb="FF0F172A"/>
      <b/>
    </font>
    <font>
      <charset val="134"/>
      <scheme val="minor"/>
      <sz val="11"/>
      <name val="Arial"/>
      <color rgb="FF0F172A"/>
      <b/>
    </font>
  </fonts>
  <fills count="36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rgb="FF9FC5E8"/>
        <bgColor rgb="FF9FC5E8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9D0208"/>
        <bgColor rgb="FFFFFF00"/>
      </patternFill>
    </fill>
    <fill>
      <patternFill patternType="solid">
        <fgColor rgb="FFFFEA00"/>
        <bgColor rgb="FFFFFF00"/>
      </patternFill>
    </fill>
    <fill>
      <patternFill patternType="solid">
        <fgColor rgb="FFFB8B24"/>
        <bgColor rgb="FFFFFF00"/>
      </patternFill>
    </fill>
    <fill>
      <patternFill patternType="none"/>
    </fill>
    <fill>
      <patternFill patternType="solid">
        <fgColor rgb="FF183A52"/>
      </patternFill>
    </fill>
    <fill>
      <patternFill patternType="none"/>
    </fill>
    <fill>
      <patternFill patternType="solid">
        <fgColor rgb="FFFFF1CC"/>
      </patternFill>
    </fill>
    <fill>
      <patternFill patternType="solid">
        <fgColor rgb="FF183A52"/>
      </patternFill>
    </fill>
    <fill>
      <patternFill patternType="solid">
        <fgColor rgb="FFEAF3F7"/>
      </patternFill>
    </fill>
    <fill>
      <patternFill patternType="none"/>
    </fill>
    <fill>
      <patternFill patternType="solid">
        <fgColor rgb="FFB00000"/>
      </patternFill>
    </fill>
    <fill>
      <patternFill patternType="solid">
        <fgColor rgb="FFFFF1CC"/>
      </patternFill>
    </fill>
    <fill>
      <patternFill patternType="solid">
        <fgColor rgb="FF17365D"/>
      </patternFill>
    </fill>
    <fill>
      <patternFill patternType="solid">
        <fgColor rgb="FF223D79"/>
        <bgColor indexed="64"/>
      </patternFill>
    </fill>
    <fill>
      <patternFill patternType="solid">
        <fgColor rgb="FFE2F0D9"/>
        <bgColor indexed="64"/>
      </patternFill>
    </fill>
    <fill>
      <patternFill patternType="none"/>
    </fill>
    <fill>
      <patternFill patternType="none"/>
    </fill>
    <fill>
      <patternFill patternType="solid">
        <fgColor rgb="FFFFF1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23D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FFFFFF"/>
        <bgColor rgb="FF9FC5E8"/>
      </patternFill>
    </fill>
    <fill>
      <patternFill patternType="solid">
        <fgColor rgb="FFF7F9FC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C7C7C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164" fontId="15" fillId="0" borderId="0" applyFont="0" applyFill="0" applyBorder="0" applyAlignment="0" applyProtection="0"/>
    <xf numFmtId="0" fontId="17" fillId="0" borderId="0"/>
    <xf numFmtId="0" fontId="39" fillId="19" borderId="20"/>
  </cellStyleXfs>
  <cellXfs count="257">
    <xf numFmtId="0" fontId="0" fillId="0" borderId="0" xfId="0"/>
    <xf numFmtId="0" fontId="1" fillId="0" borderId="0" xfId="0" applyFont="1"/>
    <xf numFmtId="0" fontId="2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165" fontId="2" fillId="3" borderId="6" xfId="0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14" fontId="3" fillId="0" borderId="8" xfId="0" applyNumberFormat="1" applyFont="1" applyBorder="1" applyAlignment="1">
      <alignment vertical="center"/>
    </xf>
    <xf numFmtId="165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2" fillId="4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9" fontId="3" fillId="4" borderId="8" xfId="0" applyNumberFormat="1" applyFont="1" applyFill="1" applyBorder="1" applyAlignment="1">
      <alignment horizontal="center" vertical="center"/>
    </xf>
    <xf numFmtId="165" fontId="5" fillId="0" borderId="8" xfId="1" applyNumberFormat="1" applyFont="1" applyBorder="1" applyAlignment="1">
      <alignment horizontal="center" vertical="center" wrapText="1"/>
    </xf>
    <xf numFmtId="165" fontId="3" fillId="7" borderId="10" xfId="0" applyNumberFormat="1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6" fillId="8" borderId="0" xfId="0" applyFont="1" applyFill="1"/>
    <xf numFmtId="165" fontId="3" fillId="7" borderId="8" xfId="0" applyNumberFormat="1" applyFont="1" applyFill="1" applyBorder="1" applyAlignment="1">
      <alignment horizontal="center" vertical="center"/>
    </xf>
    <xf numFmtId="165" fontId="7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0" borderId="0" xfId="0" applyFont="1" applyAlignment="1">
      <alignment horizontal="left"/>
    </xf>
    <xf numFmtId="0" fontId="8" fillId="0" borderId="0" xfId="0" applyFont="1" applyAlignment="1">
      <alignment vertical="center" wrapText="1"/>
    </xf>
    <xf numFmtId="0" fontId="9" fillId="0" borderId="0" xfId="0" applyFont="1"/>
    <xf numFmtId="0" fontId="10" fillId="8" borderId="12" xfId="0" applyFont="1" applyFill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left" wrapText="1"/>
    </xf>
    <xf numFmtId="0" fontId="3" fillId="0" borderId="12" xfId="0" applyFont="1" applyBorder="1" applyAlignment="1">
      <alignment horizontal="left"/>
    </xf>
    <xf numFmtId="0" fontId="5" fillId="0" borderId="0" xfId="0" applyFont="1"/>
    <xf numFmtId="0" fontId="8" fillId="0" borderId="0" xfId="0" applyFont="1" applyAlignment="1">
      <alignment horizontal="center" vertical="center" wrapText="1"/>
    </xf>
    <xf numFmtId="167" fontId="10" fillId="8" borderId="12" xfId="0" applyNumberFormat="1" applyFont="1" applyFill="1" applyBorder="1" applyAlignment="1">
      <alignment horizontal="center" vertical="center" wrapText="1"/>
    </xf>
    <xf numFmtId="167" fontId="3" fillId="0" borderId="12" xfId="0" applyNumberFormat="1" applyFont="1" applyBorder="1" applyAlignment="1">
      <alignment horizontal="left" wrapText="1"/>
    </xf>
    <xf numFmtId="0" fontId="3" fillId="6" borderId="0" xfId="0" applyFont="1" applyFill="1" applyAlignment="1">
      <alignment horizontal="left" vertical="center" wrapText="1"/>
    </xf>
    <xf numFmtId="0" fontId="11" fillId="6" borderId="13" xfId="0" applyFont="1" applyFill="1" applyBorder="1" applyAlignment="1">
      <alignment horizontal="left" vertical="center" wrapText="1"/>
    </xf>
    <xf numFmtId="167" fontId="3" fillId="0" borderId="12" xfId="0" applyNumberFormat="1" applyFont="1" applyBorder="1" applyAlignment="1">
      <alignment horizontal="left"/>
    </xf>
    <xf numFmtId="0" fontId="12" fillId="0" borderId="0" xfId="0" applyFont="1"/>
    <xf numFmtId="0" fontId="13" fillId="0" borderId="0" xfId="0" applyFont="1"/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 wrapText="1"/>
    </xf>
    <xf numFmtId="0" fontId="3" fillId="0" borderId="14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167" fontId="3" fillId="0" borderId="6" xfId="0" applyNumberFormat="1" applyFont="1" applyBorder="1" applyAlignment="1">
      <alignment horizontal="left" wrapText="1"/>
    </xf>
    <xf numFmtId="0" fontId="3" fillId="0" borderId="15" xfId="0" applyFont="1" applyBorder="1" applyAlignment="1">
      <alignment vertical="center"/>
    </xf>
    <xf numFmtId="0" fontId="7" fillId="0" borderId="12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14" fillId="0" borderId="0" xfId="0" applyFont="1"/>
    <xf numFmtId="167" fontId="3" fillId="0" borderId="0" xfId="0" applyNumberFormat="1" applyFont="1" applyAlignment="1">
      <alignment horizontal="left" wrapText="1"/>
    </xf>
    <xf numFmtId="167" fontId="9" fillId="0" borderId="0" xfId="0" applyNumberFormat="1" applyFont="1"/>
    <xf numFmtId="0" fontId="16" fillId="0" borderId="8" xfId="0" applyFont="1" applyBorder="1" applyAlignment="1">
      <alignment vertical="center" wrapText="1"/>
    </xf>
    <xf numFmtId="0" fontId="18" fillId="0" borderId="0" xfId="0" applyFont="1"/>
    <xf numFmtId="0" fontId="21" fillId="0" borderId="0" xfId="0" applyFont="1" applyAlignment="1">
      <alignment vertical="center"/>
    </xf>
    <xf numFmtId="14" fontId="21" fillId="0" borderId="0" xfId="0" applyNumberFormat="1" applyFont="1" applyAlignment="1">
      <alignment vertical="center"/>
    </xf>
    <xf numFmtId="37" fontId="21" fillId="0" borderId="0" xfId="0" applyNumberFormat="1" applyFont="1" applyAlignment="1">
      <alignment vertical="center"/>
    </xf>
    <xf numFmtId="14" fontId="20" fillId="0" borderId="12" xfId="0" applyNumberFormat="1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7" fontId="18" fillId="0" borderId="1" xfId="0" applyNumberFormat="1" applyFont="1" applyBorder="1" applyAlignment="1">
      <alignment horizontal="center" vertical="center" wrapText="1"/>
    </xf>
    <xf numFmtId="37" fontId="20" fillId="0" borderId="12" xfId="0" applyNumberFormat="1" applyFont="1" applyBorder="1" applyAlignment="1">
      <alignment horizontal="center" vertical="center"/>
    </xf>
    <xf numFmtId="14" fontId="20" fillId="9" borderId="1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22" fillId="0" borderId="0" xfId="0" applyFont="1"/>
    <xf numFmtId="0" fontId="23" fillId="0" borderId="0" xfId="0" applyFont="1" applyAlignment="1">
      <alignment vertical="center" wrapText="1"/>
    </xf>
    <xf numFmtId="0" fontId="24" fillId="0" borderId="0" xfId="0" applyFont="1"/>
    <xf numFmtId="166" fontId="19" fillId="0" borderId="0" xfId="0" applyNumberFormat="1" applyFont="1" applyAlignment="1">
      <alignment horizontal="right" vertical="center" wrapText="1"/>
    </xf>
    <xf numFmtId="0" fontId="21" fillId="0" borderId="0" xfId="0" applyFont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165" fontId="28" fillId="2" borderId="1" xfId="1" applyNumberFormat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5" fontId="28" fillId="0" borderId="1" xfId="1" applyNumberFormat="1" applyFont="1" applyBorder="1" applyAlignment="1">
      <alignment vertical="center"/>
    </xf>
    <xf numFmtId="165" fontId="26" fillId="0" borderId="1" xfId="1" applyNumberFormat="1" applyFont="1" applyBorder="1" applyAlignment="1">
      <alignment vertical="center"/>
    </xf>
    <xf numFmtId="165" fontId="29" fillId="0" borderId="1" xfId="1" applyNumberFormat="1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165" fontId="30" fillId="0" borderId="1" xfId="1" applyNumberFormat="1" applyFont="1" applyBorder="1" applyAlignment="1">
      <alignment vertical="center"/>
    </xf>
    <xf numFmtId="37" fontId="26" fillId="0" borderId="1" xfId="0" applyNumberFormat="1" applyFont="1" applyBorder="1" applyAlignment="1">
      <alignment vertical="center" wrapText="1"/>
    </xf>
    <xf numFmtId="0" fontId="18" fillId="0" borderId="0" xfId="0" applyFont="1" applyAlignment="1">
      <alignment vertical="center"/>
    </xf>
    <xf numFmtId="165" fontId="28" fillId="2" borderId="2" xfId="1" applyNumberFormat="1" applyFont="1" applyFill="1" applyBorder="1" applyAlignment="1">
      <alignment vertical="center"/>
    </xf>
    <xf numFmtId="0" fontId="22" fillId="0" borderId="1" xfId="0" applyFont="1" applyBorder="1" applyAlignment="1">
      <alignment horizontal="center" vertical="center"/>
    </xf>
    <xf numFmtId="165" fontId="28" fillId="0" borderId="1" xfId="0" applyNumberFormat="1" applyFont="1" applyBorder="1" applyAlignment="1">
      <alignment vertical="center"/>
    </xf>
    <xf numFmtId="165" fontId="28" fillId="0" borderId="1" xfId="0" applyNumberFormat="1" applyFont="1" applyBorder="1" applyAlignment="1">
      <alignment horizontal="center" vertical="center"/>
    </xf>
    <xf numFmtId="165" fontId="27" fillId="0" borderId="1" xfId="0" applyNumberFormat="1" applyFont="1" applyBorder="1" applyAlignment="1">
      <alignment vertical="center"/>
    </xf>
    <xf numFmtId="165" fontId="18" fillId="0" borderId="0" xfId="1" applyNumberFormat="1" applyFont="1" applyAlignment="1"/>
    <xf numFmtId="165" fontId="18" fillId="0" borderId="0" xfId="0" applyNumberFormat="1" applyFont="1"/>
    <xf numFmtId="0" fontId="32" fillId="10" borderId="1" xfId="0" applyFont="1" applyFill="1" applyBorder="1" applyAlignment="1">
      <alignment vertical="center" wrapText="1"/>
    </xf>
    <xf numFmtId="0" fontId="25" fillId="0" borderId="1" xfId="0" applyFont="1" applyBorder="1" applyAlignment="1">
      <alignment vertical="center"/>
    </xf>
    <xf numFmtId="165" fontId="25" fillId="0" borderId="1" xfId="1" applyNumberFormat="1" applyFont="1" applyBorder="1" applyAlignment="1">
      <alignment vertical="center"/>
    </xf>
    <xf numFmtId="0" fontId="10" fillId="11" borderId="1" xfId="0" applyFont="1" applyFill="1" applyBorder="1" applyAlignment="1">
      <alignment vertical="center" wrapText="1"/>
    </xf>
    <xf numFmtId="0" fontId="32" fillId="12" borderId="1" xfId="0" applyFont="1" applyFill="1" applyBorder="1" applyAlignment="1">
      <alignment vertical="center" wrapText="1"/>
    </xf>
    <xf numFmtId="0" fontId="20" fillId="0" borderId="16" xfId="0" applyFont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14" fontId="18" fillId="9" borderId="1" xfId="0" applyNumberFormat="1" applyFont="1" applyFill="1" applyBorder="1" applyAlignment="1">
      <alignment horizontal="center" vertical="center"/>
    </xf>
    <xf numFmtId="1" fontId="22" fillId="9" borderId="1" xfId="0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37" fontId="0" fillId="0" borderId="0" xfId="0" applyNumberFormat="1"/>
    <xf numFmtId="0" fontId="0" fillId="0" borderId="0" xfId="0" applyAlignment="1">
      <alignment horizontal="right"/>
    </xf>
    <xf numFmtId="166" fontId="33" fillId="0" borderId="1" xfId="0" applyNumberFormat="1" applyFont="1" applyBorder="1" applyAlignment="1">
      <alignment vertical="center" wrapText="1"/>
    </xf>
    <xf numFmtId="166" fontId="34" fillId="0" borderId="1" xfId="0" applyNumberFormat="1" applyFont="1" applyBorder="1" applyAlignment="1">
      <alignment vertical="center" wrapText="1"/>
    </xf>
    <xf numFmtId="37" fontId="31" fillId="0" borderId="1" xfId="0" applyNumberFormat="1" applyFont="1" applyBorder="1" applyAlignment="1">
      <alignment vertical="center" wrapText="1"/>
    </xf>
    <xf numFmtId="166" fontId="31" fillId="0" borderId="1" xfId="0" applyNumberFormat="1" applyFont="1" applyBorder="1" applyAlignment="1">
      <alignment vertical="center" wrapText="1"/>
    </xf>
    <xf numFmtId="166" fontId="25" fillId="0" borderId="1" xfId="0" applyNumberFormat="1" applyFont="1" applyBorder="1" applyAlignment="1">
      <alignment horizontal="center" vertical="center" wrapText="1"/>
    </xf>
    <xf numFmtId="166" fontId="35" fillId="0" borderId="1" xfId="0" applyNumberFormat="1" applyFont="1" applyBorder="1" applyAlignment="1">
      <alignment horizontal="center" vertical="center" wrapText="1"/>
    </xf>
    <xf numFmtId="166" fontId="36" fillId="0" borderId="1" xfId="0" applyNumberFormat="1" applyFont="1" applyBorder="1" applyAlignment="1">
      <alignment horizontal="center" vertical="center" wrapText="1"/>
    </xf>
    <xf numFmtId="0" fontId="0" fillId="0" borderId="0" xfId="0" pivotButton="1" applyAlignment="1">
      <alignment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37" fillId="13" borderId="18" xfId="0" applyFont="1" applyFill="1" applyBorder="1" applyAlignment="1">
      <alignment vertical="center"/>
    </xf>
    <xf numFmtId="0" fontId="38" fillId="14" borderId="18" xfId="0" applyFont="1" applyFill="1" applyBorder="1" applyAlignment="1">
      <alignment vertical="center" wrapText="1"/>
    </xf>
    <xf numFmtId="0" fontId="39" fillId="15" borderId="19" xfId="0" applyFont="1" applyFill="1" applyBorder="1"/>
    <xf numFmtId="0" fontId="40" fillId="15" borderId="19" xfId="0" applyFont="1" applyFill="1" applyBorder="1" applyAlignment="1">
      <alignment vertical="center"/>
    </xf>
    <xf numFmtId="0" fontId="40" fillId="16" borderId="19" xfId="0" applyFont="1" applyFill="1" applyBorder="1" applyAlignment="1">
      <alignment vertical="center"/>
    </xf>
    <xf numFmtId="14" fontId="40" fillId="16" borderId="19" xfId="0" applyNumberFormat="1" applyFont="1" applyFill="1" applyBorder="1" applyAlignment="1">
      <alignment vertical="center"/>
    </xf>
    <xf numFmtId="0" fontId="41" fillId="17" borderId="19" xfId="0" applyFont="1" applyFill="1" applyBorder="1" applyAlignment="1">
      <alignment vertical="center" wrapText="1"/>
    </xf>
    <xf numFmtId="0" fontId="40" fillId="15" borderId="19" xfId="0" applyFont="1" applyFill="1" applyBorder="1" applyAlignment="1">
      <alignment vertical="center" wrapText="1"/>
    </xf>
    <xf numFmtId="3" fontId="40" fillId="15" borderId="19" xfId="0" applyNumberFormat="1" applyFont="1" applyFill="1" applyBorder="1" applyAlignment="1">
      <alignment vertical="center"/>
    </xf>
    <xf numFmtId="0" fontId="41" fillId="17" borderId="19" xfId="0" applyFont="1" applyFill="1" applyBorder="1" applyAlignment="1">
      <alignment wrapText="1"/>
    </xf>
    <xf numFmtId="0" fontId="39" fillId="16" borderId="19" xfId="0" applyFont="1" applyFill="1" applyBorder="1"/>
    <xf numFmtId="0" fontId="42" fillId="18" borderId="19" xfId="0" applyFont="1" applyFill="1" applyBorder="1" applyAlignment="1">
      <alignment vertical="center"/>
    </xf>
    <xf numFmtId="14" fontId="42" fillId="18" borderId="19" xfId="0" applyNumberFormat="1" applyFont="1" applyFill="1" applyBorder="1" applyAlignment="1">
      <alignment vertical="center"/>
    </xf>
    <xf numFmtId="3" fontId="42" fillId="18" borderId="19" xfId="0" applyNumberFormat="1" applyFont="1" applyFill="1" applyBorder="1" applyAlignment="1">
      <alignment vertical="center"/>
    </xf>
    <xf numFmtId="0" fontId="43" fillId="15" borderId="19" xfId="0" applyFont="1" applyFill="1" applyBorder="1" applyAlignment="1">
      <alignment vertical="center"/>
    </xf>
    <xf numFmtId="0" fontId="44" fillId="15" borderId="19" xfId="0" applyFont="1" applyFill="1" applyBorder="1" applyAlignment="1">
      <alignment vertical="center"/>
    </xf>
    <xf numFmtId="0" fontId="44" fillId="15" borderId="19" xfId="0" applyFont="1" applyFill="1" applyBorder="1" applyAlignment="1">
      <alignment vertical="center" wrapText="1"/>
    </xf>
    <xf numFmtId="0" fontId="40" fillId="15" borderId="19" xfId="0" applyFont="1" applyFill="1" applyBorder="1" applyAlignment="1">
      <alignment horizontal="right" vertical="center"/>
    </xf>
    <xf numFmtId="0" fontId="45" fillId="0" borderId="0" xfId="0" applyFont="1"/>
    <xf numFmtId="0" fontId="46" fillId="0" borderId="0" xfId="0" applyFont="1"/>
    <xf numFmtId="0" fontId="48" fillId="0" borderId="0" xfId="0" applyFont="1"/>
    <xf numFmtId="0" fontId="37" fillId="15" borderId="19" xfId="0" applyFont="1" applyFill="1" applyBorder="1" applyAlignment="1">
      <alignment vertical="center" wrapText="1"/>
    </xf>
    <xf numFmtId="165" fontId="41" fillId="17" borderId="19" xfId="1" applyNumberFormat="1" applyFont="1" applyFill="1" applyBorder="1" applyAlignment="1">
      <alignment vertical="center" wrapText="1"/>
    </xf>
    <xf numFmtId="0" fontId="49" fillId="19" borderId="20" xfId="0" applyFont="1" applyFill="1" applyBorder="1"/>
    <xf numFmtId="0" fontId="50" fillId="20" borderId="20" xfId="0" applyFont="1" applyFill="1" applyBorder="1"/>
    <xf numFmtId="0" fontId="50" fillId="20" borderId="20" xfId="0" applyFont="1" applyFill="1" applyBorder="1" applyAlignment="1">
      <alignment wrapText="1"/>
    </xf>
    <xf numFmtId="14" fontId="49" fillId="19" borderId="20" xfId="0" applyNumberFormat="1" applyFont="1" applyFill="1" applyBorder="1"/>
    <xf numFmtId="3" fontId="49" fillId="19" borderId="20" xfId="0" applyNumberFormat="1" applyFont="1" applyFill="1" applyBorder="1"/>
    <xf numFmtId="14" fontId="49" fillId="21" borderId="20" xfId="0" applyNumberFormat="1" applyFont="1" applyFill="1" applyBorder="1"/>
    <xf numFmtId="0" fontId="49" fillId="21" borderId="20" xfId="0" applyFont="1" applyFill="1" applyBorder="1"/>
    <xf numFmtId="0" fontId="51" fillId="19" borderId="20" xfId="3" applyFont="1"/>
    <xf numFmtId="4" fontId="0" fillId="0" borderId="0" xfId="0" applyNumberFormat="1"/>
    <xf numFmtId="0" fontId="51" fillId="19" borderId="20" xfId="3" applyFont="1" applyAlignment="1">
      <alignment vertical="top"/>
    </xf>
    <xf numFmtId="0" fontId="52" fillId="0" borderId="0" xfId="0" applyFont="1" applyAlignment="1">
      <alignment vertical="center"/>
    </xf>
    <xf numFmtId="0" fontId="53" fillId="22" borderId="0" xfId="0" applyFont="1" applyFill="1" applyAlignment="1">
      <alignment vertical="center" wrapText="1"/>
    </xf>
    <xf numFmtId="168" fontId="52" fillId="0" borderId="0" xfId="0" applyNumberFormat="1" applyFont="1" applyAlignment="1">
      <alignment vertical="center"/>
    </xf>
    <xf numFmtId="2" fontId="52" fillId="0" borderId="0" xfId="0" applyNumberFormat="1" applyFont="1" applyAlignment="1">
      <alignment vertical="center"/>
    </xf>
    <xf numFmtId="3" fontId="52" fillId="0" borderId="0" xfId="0" applyNumberFormat="1" applyFont="1" applyAlignment="1">
      <alignment vertical="center"/>
    </xf>
    <xf numFmtId="3" fontId="53" fillId="22" borderId="0" xfId="0" applyNumberFormat="1" applyFont="1" applyFill="1" applyAlignment="1">
      <alignment vertical="center" wrapText="1"/>
    </xf>
    <xf numFmtId="49" fontId="49" fillId="19" borderId="20" xfId="0" applyNumberFormat="1" applyFont="1" applyFill="1" applyBorder="1"/>
    <xf numFmtId="49" fontId="0" fillId="0" borderId="0" xfId="0" applyNumberFormat="1"/>
    <xf numFmtId="3" fontId="54" fillId="0" borderId="0" xfId="0" applyNumberFormat="1" applyFont="1"/>
    <xf numFmtId="3" fontId="53" fillId="23" borderId="0" xfId="0" applyNumberFormat="1" applyFont="1" applyFill="1" applyAlignment="1">
      <alignment wrapText="1"/>
    </xf>
    <xf numFmtId="0" fontId="55" fillId="0" borderId="0" xfId="0" applyFont="1" applyAlignment="1">
      <alignment vertical="center"/>
    </xf>
    <xf numFmtId="0" fontId="53" fillId="23" borderId="0" xfId="0" applyFont="1" applyFill="1" applyAlignment="1">
      <alignment vertical="center" wrapText="1"/>
    </xf>
    <xf numFmtId="3" fontId="53" fillId="23" borderId="0" xfId="0" applyNumberFormat="1" applyFont="1" applyFill="1" applyAlignment="1">
      <alignment vertical="center" wrapText="1"/>
    </xf>
    <xf numFmtId="3" fontId="53" fillId="23" borderId="0" xfId="0" applyNumberFormat="1" applyFont="1" applyFill="1" applyAlignment="1">
      <alignment vertical="center"/>
    </xf>
    <xf numFmtId="1" fontId="52" fillId="0" borderId="0" xfId="0" applyNumberFormat="1" applyFont="1" applyAlignment="1">
      <alignment vertical="center"/>
    </xf>
    <xf numFmtId="0" fontId="54" fillId="0" borderId="0" xfId="0" applyFont="1"/>
    <xf numFmtId="0" fontId="20" fillId="24" borderId="12" xfId="0" applyFont="1" applyFill="1" applyBorder="1" applyAlignment="1">
      <alignment horizontal="center" vertical="center"/>
    </xf>
    <xf numFmtId="0" fontId="57" fillId="26" borderId="22" xfId="0" applyFont="1" applyFill="1" applyBorder="1" applyAlignment="1">
      <alignment horizontal="left" vertical="center"/>
    </xf>
    <xf numFmtId="0" fontId="58" fillId="26" borderId="22" xfId="0" applyFont="1" applyFill="1" applyBorder="1"/>
    <xf numFmtId="0" fontId="60" fillId="28" borderId="22" xfId="0" applyFont="1" applyFill="1" applyBorder="1" applyAlignment="1">
      <alignment horizontal="left" vertical="center"/>
    </xf>
    <xf numFmtId="0" fontId="62" fillId="25" borderId="21" xfId="0" applyFont="1" applyFill="1" applyBorder="1" applyAlignment="1">
      <alignment horizontal="left" wrapText="1"/>
    </xf>
    <xf numFmtId="0" fontId="61" fillId="28" borderId="22" xfId="0" applyFont="1" applyFill="1" applyBorder="1" applyAlignment="1">
      <alignment horizontal="left" vertical="center"/>
    </xf>
    <xf numFmtId="0" fontId="59" fillId="25" borderId="22" xfId="0" applyFont="1" applyFill="1" applyBorder="1" applyAlignment="1">
      <alignment horizontal="left" vertical="top" wrapText="1"/>
    </xf>
    <xf numFmtId="0" fontId="57" fillId="26" borderId="22" xfId="0" applyFont="1" applyFill="1" applyBorder="1" applyAlignment="1">
      <alignment horizontal="left" vertical="top"/>
    </xf>
    <xf numFmtId="0" fontId="64" fillId="26" borderId="22" xfId="0" applyFont="1" applyFill="1" applyBorder="1" applyAlignment="1">
      <alignment horizontal="left" vertical="center"/>
    </xf>
    <xf numFmtId="0" fontId="65" fillId="28" borderId="22" xfId="0" applyFont="1" applyFill="1" applyBorder="1" applyAlignment="1">
      <alignment horizontal="left" wrapText="1"/>
    </xf>
    <xf numFmtId="3" fontId="58" fillId="26" borderId="22" xfId="0" applyNumberFormat="1" applyFont="1" applyFill="1" applyBorder="1" applyAlignment="1">
      <alignment vertical="top"/>
    </xf>
    <xf numFmtId="2" fontId="58" fillId="26" borderId="22" xfId="0" applyNumberFormat="1" applyFont="1" applyFill="1" applyBorder="1"/>
    <xf numFmtId="3" fontId="58" fillId="26" borderId="22" xfId="0" applyNumberFormat="1" applyFont="1" applyFill="1" applyBorder="1"/>
    <xf numFmtId="0" fontId="63" fillId="29" borderId="22" xfId="0" applyFont="1" applyFill="1" applyBorder="1" applyAlignment="1">
      <alignment vertical="center"/>
    </xf>
    <xf numFmtId="0" fontId="63" fillId="25" borderId="22" xfId="0" applyFont="1" applyFill="1" applyBorder="1" applyAlignment="1">
      <alignment vertical="center"/>
    </xf>
    <xf numFmtId="14" fontId="67" fillId="25" borderId="22" xfId="0" applyNumberFormat="1" applyFont="1" applyFill="1" applyBorder="1" applyAlignment="1">
      <alignment vertical="center"/>
    </xf>
    <xf numFmtId="0" fontId="56" fillId="26" borderId="22" xfId="0" applyFont="1" applyFill="1" applyBorder="1"/>
    <xf numFmtId="0" fontId="73" fillId="31" borderId="23" xfId="0" applyFont="1" applyFill="1" applyBorder="1" applyAlignment="1">
      <alignment horizontal="left" vertical="center"/>
    </xf>
    <xf numFmtId="0" fontId="0" fillId="31" borderId="23" xfId="0" applyFill="1" applyBorder="1"/>
    <xf numFmtId="3" fontId="68" fillId="31" borderId="23" xfId="0" applyNumberFormat="1" applyFont="1" applyFill="1" applyBorder="1" applyAlignment="1">
      <alignment horizontal="left" vertical="center"/>
    </xf>
    <xf numFmtId="170" fontId="68" fillId="31" borderId="23" xfId="0" applyNumberFormat="1" applyFont="1" applyFill="1" applyBorder="1" applyAlignment="1">
      <alignment horizontal="right" vertical="center"/>
    </xf>
    <xf numFmtId="14" fontId="84" fillId="27" borderId="22" xfId="0" applyNumberFormat="1" applyFont="1" applyFill="1" applyBorder="1" applyAlignment="1">
      <alignment vertical="center" shrinkToFit="1"/>
    </xf>
    <xf numFmtId="0" fontId="70" fillId="31" borderId="23" xfId="0" applyFont="1" applyFill="1" applyBorder="1" applyAlignment="1">
      <alignment horizontal="center" vertical="center"/>
    </xf>
    <xf numFmtId="0" fontId="69" fillId="30" borderId="23" xfId="0" applyFont="1" applyFill="1" applyBorder="1" applyAlignment="1">
      <alignment horizontal="center" vertical="center" wrapText="1"/>
    </xf>
    <xf numFmtId="0" fontId="68" fillId="31" borderId="23" xfId="0" applyFont="1" applyFill="1" applyBorder="1" applyAlignment="1">
      <alignment horizontal="left" vertical="center"/>
    </xf>
    <xf numFmtId="0" fontId="26" fillId="0" borderId="3" xfId="0" applyFont="1" applyBorder="1" applyAlignment="1">
      <alignment horizontal="center" vertical="center"/>
    </xf>
    <xf numFmtId="0" fontId="69" fillId="30" borderId="23" xfId="0" applyFont="1" applyFill="1" applyBorder="1" applyAlignment="1">
      <alignment horizontal="center" vertical="center" wrapText="1"/>
    </xf>
    <xf numFmtId="170" fontId="68" fillId="31" borderId="23" xfId="0" applyNumberFormat="1" applyFont="1" applyFill="1" applyBorder="1" applyAlignment="1">
      <alignment horizontal="right" vertical="center"/>
    </xf>
    <xf numFmtId="0" fontId="70" fillId="31" borderId="23" xfId="0" applyFont="1" applyFill="1" applyBorder="1" applyAlignment="1">
      <alignment horizontal="left" vertical="center"/>
    </xf>
    <xf numFmtId="0" fontId="81" fillId="31" borderId="23" xfId="0" applyFont="1" applyFill="1" applyBorder="1" applyAlignment="1">
      <alignment horizontal="left" vertical="center"/>
    </xf>
    <xf numFmtId="0" fontId="74" fillId="31" borderId="23" xfId="0" applyFont="1" applyFill="1" applyBorder="1" applyAlignment="1">
      <alignment horizontal="left" vertical="center"/>
    </xf>
    <xf numFmtId="0" fontId="82" fillId="31" borderId="23" xfId="0" applyFont="1" applyFill="1" applyBorder="1" applyAlignment="1">
      <alignment horizontal="left" vertical="center"/>
    </xf>
    <xf numFmtId="0" fontId="70" fillId="31" borderId="23" xfId="0" applyFont="1" applyFill="1" applyBorder="1" applyAlignment="1">
      <alignment horizontal="center" vertical="center"/>
    </xf>
    <xf numFmtId="0" fontId="73" fillId="31" borderId="23" xfId="0" applyFont="1" applyFill="1" applyBorder="1" applyAlignment="1">
      <alignment horizontal="left" vertical="center"/>
    </xf>
    <xf numFmtId="0" fontId="71" fillId="31" borderId="23" xfId="0" applyFont="1" applyFill="1" applyBorder="1" applyAlignment="1">
      <alignment horizontal="left" vertical="center" wrapText="1"/>
    </xf>
    <xf numFmtId="171" fontId="75" fillId="32" borderId="23" xfId="0" applyNumberFormat="1" applyFont="1" applyFill="1" applyBorder="1" applyAlignment="1">
      <alignment horizontal="left" vertical="center"/>
    </xf>
    <xf numFmtId="169" fontId="76" fillId="32" borderId="23" xfId="0" applyNumberFormat="1" applyFont="1" applyFill="1" applyBorder="1" applyAlignment="1">
      <alignment horizontal="left" vertical="center"/>
    </xf>
    <xf numFmtId="168" fontId="77" fillId="32" borderId="23" xfId="0" applyNumberFormat="1" applyFont="1" applyFill="1" applyBorder="1" applyAlignment="1">
      <alignment horizontal="left" vertical="center"/>
    </xf>
    <xf numFmtId="0" fontId="72" fillId="33" borderId="23" xfId="0" applyFont="1" applyFill="1" applyBorder="1" applyAlignment="1">
      <alignment horizontal="left" vertical="center" wrapText="1"/>
    </xf>
    <xf numFmtId="0" fontId="78" fillId="31" borderId="23" xfId="0" applyFont="1" applyFill="1" applyBorder="1" applyAlignment="1">
      <alignment horizontal="left" vertical="center"/>
    </xf>
    <xf numFmtId="0" fontId="66" fillId="31" borderId="23" xfId="0" applyFont="1" applyFill="1" applyBorder="1" applyAlignment="1">
      <alignment horizontal="left" vertical="center"/>
    </xf>
    <xf numFmtId="0" fontId="79" fillId="31" borderId="23" xfId="0" applyFont="1" applyFill="1" applyBorder="1" applyAlignment="1">
      <alignment horizontal="left" vertical="center"/>
    </xf>
    <xf numFmtId="0" fontId="80" fillId="31" borderId="23" xfId="0" applyFont="1" applyFill="1" applyBorder="1" applyAlignment="1">
      <alignment horizontal="left" vertical="center"/>
    </xf>
    <xf numFmtId="0" fontId="85" fillId="31" borderId="23" xfId="0" applyFont="1" applyFill="1" applyBorder="1" applyAlignment="1">
      <alignment horizontal="left" vertical="center"/>
    </xf>
    <xf numFmtId="0" fontId="73" fillId="33" borderId="23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61" fillId="28" borderId="22" xfId="0" applyFont="1" applyFill="1" applyBorder="1" applyAlignment="1">
      <alignment horizontal="left" vertical="center"/>
    </xf>
    <xf numFmtId="0" fontId="83" fillId="31" borderId="23" xfId="0" applyFont="1" applyFill="1" applyBorder="1" applyAlignment="1">
      <alignment horizontal="left" vertical="center"/>
    </xf>
    <xf numFmtId="165" fontId="2" fillId="3" borderId="6" xfId="0" applyNumberFormat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vertical="center"/>
    </xf>
    <xf numFmtId="0" fontId="31" fillId="6" borderId="4" xfId="0" applyFont="1" applyFill="1" applyBorder="1" applyAlignment="1">
      <alignment horizontal="left" vertical="center"/>
    </xf>
    <xf numFmtId="0" fontId="31" fillId="6" borderId="17" xfId="0" applyFont="1" applyFill="1" applyBorder="1" applyAlignment="1">
      <alignment horizontal="left" vertical="center"/>
    </xf>
    <xf numFmtId="0" fontId="31" fillId="6" borderId="5" xfId="0" applyFont="1" applyFill="1" applyBorder="1" applyAlignment="1">
      <alignment horizontal="left" vertical="center"/>
    </xf>
    <xf numFmtId="0" fontId="32" fillId="10" borderId="4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31" fillId="0" borderId="4" xfId="0" applyFont="1" applyBorder="1" applyAlignment="1">
      <alignment horizontal="left" vertical="center"/>
    </xf>
    <xf numFmtId="0" fontId="31" fillId="0" borderId="17" xfId="0" applyFont="1" applyBorder="1" applyAlignment="1">
      <alignment horizontal="left" vertical="center"/>
    </xf>
    <xf numFmtId="0" fontId="31" fillId="0" borderId="5" xfId="0" applyFont="1" applyBorder="1" applyAlignment="1">
      <alignment horizontal="left" vertical="center"/>
    </xf>
    <xf numFmtId="0" fontId="10" fillId="11" borderId="4" xfId="0" applyFont="1" applyFill="1" applyBorder="1" applyAlignment="1">
      <alignment horizontal="left" vertical="center" wrapText="1"/>
    </xf>
    <xf numFmtId="0" fontId="10" fillId="11" borderId="17" xfId="0" applyFont="1" applyFill="1" applyBorder="1" applyAlignment="1">
      <alignment horizontal="left" vertical="center" wrapText="1"/>
    </xf>
    <xf numFmtId="0" fontId="10" fillId="11" borderId="5" xfId="0" applyFont="1" applyFill="1" applyBorder="1" applyAlignment="1">
      <alignment horizontal="left" vertical="center" wrapText="1"/>
    </xf>
    <xf numFmtId="0" fontId="32" fillId="12" borderId="4" xfId="0" applyFont="1" applyFill="1" applyBorder="1" applyAlignment="1">
      <alignment horizontal="left" vertical="center" wrapText="1"/>
    </xf>
    <xf numFmtId="0" fontId="42" fillId="18" borderId="19" xfId="0" applyFont="1" applyFill="1" applyBorder="1" applyAlignment="1">
      <alignment vertical="center" wrapText="1"/>
    </xf>
    <xf numFmtId="0" fontId="42" fillId="18" borderId="19" xfId="0" applyFont="1" applyFill="1" applyBorder="1" applyAlignment="1">
      <alignment vertical="center"/>
    </xf>
    <xf numFmtId="0" fontId="86" fillId="34" borderId="23" xfId="0" applyFont="1" applyFill="1" applyBorder="1" applyAlignment="1">
      <alignment horizontal="left" vertical="center" wrapText="1"/>
    </xf>
    <xf numFmtId="171" fontId="87" fillId="34" borderId="23" xfId="0" applyNumberFormat="1" applyFont="1" applyFill="1" applyBorder="1" applyAlignment="1">
      <alignment horizontal="left" vertical="center"/>
    </xf>
    <xf numFmtId="169" fontId="88" fillId="34" borderId="23" xfId="0" applyNumberFormat="1" applyFont="1" applyFill="1" applyBorder="1" applyAlignment="1">
      <alignment horizontal="left" vertical="center"/>
    </xf>
    <xf numFmtId="168" fontId="89" fillId="34" borderId="23" xfId="0" applyNumberFormat="1" applyFont="1" applyFill="1" applyBorder="1" applyAlignment="1">
      <alignment horizontal="left" vertical="center"/>
    </xf>
    <xf numFmtId="0" fontId="90" fillId="34" borderId="23" xfId="0" applyFont="1" applyFill="1" applyBorder="1" applyAlignment="1">
      <alignment horizontal="left" vertical="center" wrapText="1"/>
    </xf>
    <xf numFmtId="0" fontId="91" fillId="34" borderId="23" xfId="0" applyFont="1" applyFill="1" applyBorder="1" applyAlignment="1">
      <alignment horizontal="left" vertical="center"/>
    </xf>
    <xf numFmtId="0" fontId="92" fillId="34" borderId="23" xfId="0" applyFont="1" applyFill="1" applyBorder="1" applyAlignment="1">
      <alignment horizontal="left" vertical="center"/>
    </xf>
    <xf numFmtId="0" fontId="93" fillId="34" borderId="23" xfId="0" applyFont="1" applyFill="1" applyBorder="1" applyAlignment="1">
      <alignment horizontal="left" vertical="center"/>
    </xf>
    <xf numFmtId="0" fontId="94" fillId="34" borderId="23" xfId="0" applyFont="1" applyFill="1" applyBorder="1" applyAlignment="1">
      <alignment horizontal="left" vertical="center"/>
    </xf>
    <xf numFmtId="0" fontId="95" fillId="34" borderId="23" xfId="0" applyFont="1" applyFill="1" applyBorder="1" applyAlignment="1">
      <alignment horizontal="left" vertical="center"/>
    </xf>
    <xf numFmtId="0" fontId="96" fillId="34" borderId="23" xfId="0" applyFont="1" applyFill="1" applyBorder="1" applyAlignment="1">
      <alignment horizontal="left" vertical="center"/>
    </xf>
    <xf numFmtId="0" fontId="97" fillId="34" borderId="23" xfId="0" applyFont="1" applyFill="1" applyBorder="1" applyAlignment="1">
      <alignment horizontal="left" vertical="center"/>
    </xf>
    <xf numFmtId="0" fontId="98" fillId="34" borderId="23" xfId="0" applyFont="1" applyFill="1" applyBorder="1" applyAlignment="1">
      <alignment horizontal="left" vertical="center"/>
    </xf>
    <xf numFmtId="0" fontId="99" fillId="34" borderId="23" xfId="0" applyFont="1" applyFill="1" applyBorder="1" applyAlignment="1">
      <alignment horizontal="left" vertical="center" wrapText="1"/>
    </xf>
    <xf numFmtId="171" fontId="100" fillId="34" borderId="23" xfId="0" applyNumberFormat="1" applyFont="1" applyFill="1" applyBorder="1" applyAlignment="1">
      <alignment horizontal="left" vertical="center" wrapText="0"/>
    </xf>
    <xf numFmtId="0" fontId="101" fillId="34" borderId="23" xfId="0" applyFont="1" applyFill="1" applyBorder="1" applyAlignment="1">
      <alignment horizontal="left" vertical="center" wrapText="0"/>
    </xf>
    <xf numFmtId="0" fontId="102" fillId="34" borderId="23" xfId="0" applyFont="1" applyFill="1" applyBorder="1" applyAlignment="1">
      <alignment horizontal="left" vertical="center" wrapText="0"/>
    </xf>
    <xf numFmtId="169" fontId="103" fillId="34" borderId="23" xfId="0" applyNumberFormat="1" applyFont="1" applyFill="1" applyBorder="1" applyAlignment="1">
      <alignment horizontal="left" vertical="center" wrapText="0"/>
    </xf>
    <xf numFmtId="0" fontId="104" fillId="34" borderId="23" xfId="0" applyFont="1" applyFill="1" applyBorder="1" applyAlignment="1">
      <alignment horizontal="left" vertical="center" wrapText="0"/>
    </xf>
    <xf numFmtId="168" fontId="105" fillId="34" borderId="23" xfId="0" applyNumberFormat="1" applyFont="1" applyFill="1" applyBorder="1" applyAlignment="1">
      <alignment horizontal="left" vertical="center" wrapText="0"/>
    </xf>
    <xf numFmtId="0" fontId="106" fillId="34" borderId="23" xfId="0" applyFont="1" applyFill="1" applyBorder="1" applyAlignment="1">
      <alignment horizontal="left" vertical="center" wrapText="0"/>
    </xf>
    <xf numFmtId="0" fontId="107" fillId="34" borderId="23" xfId="0" applyFont="1" applyFill="1" applyBorder="1" applyAlignment="1">
      <alignment horizontal="left" vertical="center" wrapText="0"/>
    </xf>
    <xf numFmtId="0" fontId="108" fillId="34" borderId="23" xfId="0" applyFont="1" applyFill="1" applyBorder="1" applyAlignment="1">
      <alignment horizontal="left" vertical="center" wrapText="0"/>
    </xf>
    <xf numFmtId="0" fontId="109" fillId="34" borderId="23" xfId="0" applyFont="1" applyFill="1" applyBorder="1" applyAlignment="1">
      <alignment horizontal="left" vertical="center" wrapText="0"/>
    </xf>
    <xf numFmtId="0" fontId="110" fillId="31" borderId="23" xfId="0" applyFont="1" applyFill="1" applyBorder="1" applyAlignment="1">
      <alignment horizontal="left" vertical="center" wrapText="0"/>
    </xf>
    <xf numFmtId="0" fontId="111" fillId="0" borderId="0" xfId="0" applyFont="1">
      <alignment wrapText="0" vertical="center"/>
    </xf>
    <xf numFmtId="0" fontId="112" fillId="0" borderId="0" xfId="0" applyFont="1">
      <alignment wrapText="0" vertical="center"/>
    </xf>
    <xf numFmtId="0" fontId="113" fillId="0" borderId="0" xfId="0" applyFont="1">
      <alignment wrapText="0" vertical="center"/>
    </xf>
  </cellXfs>
  <cellStyles count="4">
    <cellStyle name="Comma" xfId="1" builtinId="3"/>
    <cellStyle name="Normal" xfId="0" builtinId="0"/>
    <cellStyle name="Normal 2" xfId="2" xr:uid="{00000000-0005-0000-0000-000031000000}"/>
    <cellStyle name="Normal 3" xfId="3" xr:uid="{FF86BF2A-E284-4F1A-A36A-F2DC017FE1F7}"/>
  </cellStyles>
  <dxfs count="10">
    <dxf>
      <font>
        <b/>
        <color rgb="FFC65050"/>
      </font>
      <fill>
        <patternFill patternType="solid">
          <bgColor rgb="FFFCE4E4"/>
        </patternFill>
      </fill>
    </dxf>
    <dxf>
      <font>
        <color rgb="FF15803D"/>
      </font>
    </dxf>
    <dxf>
      <font>
        <color rgb="FFB91C1C"/>
      </font>
    </dxf>
    <dxf>
      <font>
        <color rgb="FF15803D"/>
      </font>
    </dxf>
    <dxf>
      <font>
        <color rgb="FFB91C1C"/>
      </font>
    </dxf>
    <dxf>
      <alignment horizontal="right"/>
    </dxf>
    <dxf>
      <alignment wrapText="1"/>
    </dxf>
    <dxf>
      <alignment wrapText="1"/>
    </dxf>
    <dxf>
      <alignment horizontal="right"/>
    </dxf>
    <dxf>
      <alignment wrapText="1"/>
    </dxf>
  </dxfs>
  <tableStyles count="0" defaultTableStyle="TableStyleMedium2" defaultPivotStyle="PivotStyleLight16"/>
  <colors>
    <mruColors>
      <color rgb="FF6B7280"/>
      <color rgb="FF9D0208"/>
      <color rgb="FFFB8B24"/>
      <color rgb="FFFFEA00"/>
      <color rgb="FFDC2F02"/>
      <color rgb="FFFFCE4F"/>
      <color rgb="FFFFC42C"/>
      <color rgb="FFFFA552"/>
      <color rgb="FFD00000"/>
      <color rgb="FFFFBA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7" Type="http://schemas.openxmlformats.org/officeDocument/2006/relationships/worksheet" Target="worksheets/sheet7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300000" cap="rnd">
              <a:solidFill>
                <a:srgbClr val="FEF08A"/>
              </a:solidFill>
              <a:prstDash val="solid"/>
            </a:ln>
          </c:spPr>
          <c:marker>
            <c:symbol val="none"/>
          </c:marker>
          <c:xVal>
            <c:numRef>
              <c:f>'Analysis'!$R$5:$R$15</c:f>
              <c:numCache>
                <c:formatCode>General</c:formatCode>
                <c:ptCount val="11"/>
                <c:pt idx="0">
                  <c:v>-1.0</c:v>
                </c:pt>
                <c:pt idx="1">
                  <c:v>-0.98</c:v>
                </c:pt>
                <c:pt idx="2">
                  <c:v>-0.96</c:v>
                </c:pt>
                <c:pt idx="3">
                  <c:v>-0.94</c:v>
                </c:pt>
                <c:pt idx="4">
                  <c:v>-0.92</c:v>
                </c:pt>
                <c:pt idx="5">
                  <c:v>-0.9</c:v>
                </c:pt>
                <c:pt idx="6">
                  <c:v>-0.88</c:v>
                </c:pt>
                <c:pt idx="7">
                  <c:v>-0.86</c:v>
                </c:pt>
                <c:pt idx="8">
                  <c:v>-0.84</c:v>
                </c:pt>
                <c:pt idx="9">
                  <c:v>-0.82</c:v>
                </c:pt>
                <c:pt idx="10">
                  <c:v>-0.8</c:v>
                </c:pt>
              </c:numCache>
            </c:numRef>
          </c:xVal>
          <c:yVal>
            <c:numRef>
              <c:f>'Analysis'!$S$5:$S$15</c:f>
              <c:numCache>
                <c:formatCode>General</c:formatCode>
                <c:ptCount val="11"/>
                <c:pt idx="0">
                  <c:v>0.0</c:v>
                </c:pt>
                <c:pt idx="1">
                  <c:v>0.1989974874213242</c:v>
                </c:pt>
                <c:pt idx="2">
                  <c:v>0.28</c:v>
                </c:pt>
                <c:pt idx="3">
                  <c:v>0.3411744421846397</c:v>
                </c:pt>
                <c:pt idx="4">
                  <c:v>0.39191835884530846</c:v>
                </c:pt>
                <c:pt idx="5">
                  <c:v>0.4358898943540673</c:v>
                </c:pt>
                <c:pt idx="6">
                  <c:v>0.4749736834815167</c:v>
                </c:pt>
                <c:pt idx="7">
                  <c:v>0.510294032886923</c:v>
                </c:pt>
                <c:pt idx="8">
                  <c:v>0.5425863986500216</c:v>
                </c:pt>
                <c:pt idx="9">
                  <c:v>0.5723635208501675</c:v>
                </c:pt>
                <c:pt idx="10">
                  <c:v>0.5999999999999999</c:v>
                </c:pt>
              </c:numCache>
            </c:numRef>
          </c:yVal>
          <c:smooth val="1"/>
        </c:ser>
        <c:ser>
          <c:idx val="1"/>
          <c:order val="1"/>
          <c:spPr>
            <a:ln w="300000" cap="rnd">
              <a:solidFill>
                <a:srgbClr val="FBBF24"/>
              </a:solidFill>
              <a:prstDash val="solid"/>
            </a:ln>
          </c:spPr>
          <c:marker>
            <c:symbol val="none"/>
          </c:marker>
          <c:xVal>
            <c:numRef>
              <c:f>'Analysis'!$R$15:$R$26</c:f>
              <c:numCache>
                <c:formatCode>General</c:formatCode>
                <c:ptCount val="12"/>
                <c:pt idx="0">
                  <c:v>-0.8</c:v>
                </c:pt>
                <c:pt idx="1">
                  <c:v>-0.78</c:v>
                </c:pt>
                <c:pt idx="2">
                  <c:v>-0.76</c:v>
                </c:pt>
                <c:pt idx="3">
                  <c:v>-0.74</c:v>
                </c:pt>
                <c:pt idx="4">
                  <c:v>-0.72</c:v>
                </c:pt>
                <c:pt idx="5">
                  <c:v>-0.7</c:v>
                </c:pt>
                <c:pt idx="6">
                  <c:v>-0.68</c:v>
                </c:pt>
                <c:pt idx="7">
                  <c:v>-0.66</c:v>
                </c:pt>
                <c:pt idx="8">
                  <c:v>-0.64</c:v>
                </c:pt>
                <c:pt idx="9">
                  <c:v>-0.62</c:v>
                </c:pt>
                <c:pt idx="10">
                  <c:v>-0.6</c:v>
                </c:pt>
                <c:pt idx="11">
                  <c:v>-0.58</c:v>
                </c:pt>
              </c:numCache>
            </c:numRef>
          </c:xVal>
          <c:yVal>
            <c:numRef>
              <c:f>'Analysis'!$S$15:$S$26</c:f>
              <c:numCache>
                <c:formatCode>General</c:formatCode>
                <c:ptCount val="12"/>
                <c:pt idx="0">
                  <c:v>0.5999999999999999</c:v>
                </c:pt>
                <c:pt idx="1">
                  <c:v>0.6257795138864806</c:v>
                </c:pt>
                <c:pt idx="2">
                  <c:v>0.6499230723708769</c:v>
                </c:pt>
                <c:pt idx="3">
                  <c:v>0.6726068688320095</c:v>
                </c:pt>
                <c:pt idx="4">
                  <c:v>0.6939740629158989</c:v>
                </c:pt>
                <c:pt idx="5">
                  <c:v>0.714142842854285</c:v>
                </c:pt>
                <c:pt idx="6">
                  <c:v>0.7332121111929343</c:v>
                </c:pt>
                <c:pt idx="7">
                  <c:v>0.751265598839718</c:v>
                </c:pt>
                <c:pt idx="8">
                  <c:v>0.7683749084919419</c:v>
                </c:pt>
                <c:pt idx="9">
                  <c:v>0.7846018098373212</c:v>
                </c:pt>
                <c:pt idx="10">
                  <c:v>0.8</c:v>
                </c:pt>
                <c:pt idx="11">
                  <c:v>0.8146164741766521</c:v>
                </c:pt>
              </c:numCache>
            </c:numRef>
          </c:yVal>
          <c:smooth val="1"/>
        </c:ser>
        <c:ser>
          <c:idx val="2"/>
          <c:order val="2"/>
          <c:spPr>
            <a:ln w="300000" cap="rnd">
              <a:solidFill>
                <a:srgbClr val="FB923C"/>
              </a:solidFill>
              <a:prstDash val="solid"/>
            </a:ln>
          </c:spPr>
          <c:marker>
            <c:symbol val="none"/>
          </c:marker>
          <c:xVal>
            <c:numRef>
              <c:f>'Analysis'!$R$26:$R$47</c:f>
              <c:numCache>
                <c:formatCode>General</c:formatCode>
                <c:ptCount val="22"/>
                <c:pt idx="0">
                  <c:v>-0.58</c:v>
                </c:pt>
                <c:pt idx="1">
                  <c:v>-0.56</c:v>
                </c:pt>
                <c:pt idx="2">
                  <c:v>-0.54</c:v>
                </c:pt>
                <c:pt idx="3">
                  <c:v>-0.52</c:v>
                </c:pt>
                <c:pt idx="4">
                  <c:v>-0.5</c:v>
                </c:pt>
                <c:pt idx="5">
                  <c:v>-0.48</c:v>
                </c:pt>
                <c:pt idx="6">
                  <c:v>-0.46</c:v>
                </c:pt>
                <c:pt idx="7">
                  <c:v>-0.44</c:v>
                </c:pt>
                <c:pt idx="8">
                  <c:v>-0.42</c:v>
                </c:pt>
                <c:pt idx="9">
                  <c:v>-0.4</c:v>
                </c:pt>
                <c:pt idx="10">
                  <c:v>-0.38</c:v>
                </c:pt>
                <c:pt idx="11">
                  <c:v>-0.36</c:v>
                </c:pt>
                <c:pt idx="12">
                  <c:v>-0.34</c:v>
                </c:pt>
                <c:pt idx="13">
                  <c:v>-0.32</c:v>
                </c:pt>
                <c:pt idx="14">
                  <c:v>-0.3</c:v>
                </c:pt>
                <c:pt idx="15">
                  <c:v>-0.28</c:v>
                </c:pt>
                <c:pt idx="16">
                  <c:v>-0.26</c:v>
                </c:pt>
                <c:pt idx="17">
                  <c:v>-0.24</c:v>
                </c:pt>
                <c:pt idx="18">
                  <c:v>-0.22</c:v>
                </c:pt>
                <c:pt idx="19">
                  <c:v>-0.2</c:v>
                </c:pt>
                <c:pt idx="20">
                  <c:v>-0.18</c:v>
                </c:pt>
                <c:pt idx="21">
                  <c:v>-0.16</c:v>
                </c:pt>
              </c:numCache>
            </c:numRef>
          </c:xVal>
          <c:yVal>
            <c:numRef>
              <c:f>'Analysis'!$S$26:$S$47</c:f>
              <c:numCache>
                <c:formatCode>General</c:formatCode>
                <c:ptCount val="22"/>
                <c:pt idx="0">
                  <c:v>0.8146164741766521</c:v>
                </c:pt>
                <c:pt idx="1">
                  <c:v>0.8284926070883191</c:v>
                </c:pt>
                <c:pt idx="2">
                  <c:v>0.8416650165000324</c:v>
                </c:pt>
                <c:pt idx="3">
                  <c:v>0.854166260162505</c:v>
                </c:pt>
                <c:pt idx="4">
                  <c:v>0.8660254037844386</c:v>
                </c:pt>
                <c:pt idx="5">
                  <c:v>0.8772684879784524</c:v>
                </c:pt>
                <c:pt idx="6">
                  <c:v>0.8879189152169246</c:v>
                </c:pt>
                <c:pt idx="7">
                  <c:v>0.8979977728257459</c:v>
                </c:pt>
                <c:pt idx="8">
                  <c:v>0.9075241043630742</c:v>
                </c:pt>
                <c:pt idx="9">
                  <c:v>0.916515138991168</c:v>
                </c:pt>
                <c:pt idx="10">
                  <c:v>0.9249864863877743</c:v>
                </c:pt>
                <c:pt idx="11">
                  <c:v>0.9329523031752481</c:v>
                </c:pt>
                <c:pt idx="12">
                  <c:v>0.9404254356406998</c:v>
                </c:pt>
                <c:pt idx="13">
                  <c:v>0.9474175425861608</c:v>
                </c:pt>
                <c:pt idx="14">
                  <c:v>0.9539392014169457</c:v>
                </c:pt>
                <c:pt idx="15">
                  <c:v>0.96</c:v>
                </c:pt>
                <c:pt idx="16">
                  <c:v>0.9656086163658649</c:v>
                </c:pt>
                <c:pt idx="17">
                  <c:v>0.9707728879609278</c:v>
                </c:pt>
                <c:pt idx="18">
                  <c:v>0.9754998718605759</c:v>
                </c:pt>
                <c:pt idx="19">
                  <c:v>0.9797958971132712</c:v>
                </c:pt>
                <c:pt idx="20">
                  <c:v>0.983666610188635</c:v>
                </c:pt>
                <c:pt idx="21">
                  <c:v>0.9871170143402453</c:v>
                </c:pt>
              </c:numCache>
            </c:numRef>
          </c:yVal>
          <c:smooth val="1"/>
        </c:ser>
        <c:ser>
          <c:idx val="3"/>
          <c:order val="3"/>
          <c:spPr>
            <a:ln w="300000" cap="rnd">
              <a:solidFill>
                <a:srgbClr val="F87171"/>
              </a:solidFill>
              <a:prstDash val="solid"/>
            </a:ln>
          </c:spPr>
          <c:marker>
            <c:symbol val="none"/>
          </c:marker>
          <c:xVal>
            <c:numRef>
              <c:f>'Analysis'!$R$47:$R$70</c:f>
              <c:numCache>
                <c:formatCode>General</c:formatCode>
                <c:ptCount val="24"/>
                <c:pt idx="0">
                  <c:v>-0.16</c:v>
                </c:pt>
                <c:pt idx="1">
                  <c:v>-0.14</c:v>
                </c:pt>
                <c:pt idx="2">
                  <c:v>-0.12</c:v>
                </c:pt>
                <c:pt idx="3">
                  <c:v>-0.1</c:v>
                </c:pt>
                <c:pt idx="4">
                  <c:v>-0.08</c:v>
                </c:pt>
                <c:pt idx="5">
                  <c:v>-0.06</c:v>
                </c:pt>
                <c:pt idx="6">
                  <c:v>-0.04</c:v>
                </c:pt>
                <c:pt idx="7">
                  <c:v>-0.02</c:v>
                </c:pt>
                <c:pt idx="8">
                  <c:v>0.0</c:v>
                </c:pt>
                <c:pt idx="9">
                  <c:v>0.02</c:v>
                </c:pt>
                <c:pt idx="10">
                  <c:v>0.04</c:v>
                </c:pt>
                <c:pt idx="11">
                  <c:v>0.06</c:v>
                </c:pt>
                <c:pt idx="12">
                  <c:v>0.08</c:v>
                </c:pt>
                <c:pt idx="13">
                  <c:v>0.1</c:v>
                </c:pt>
                <c:pt idx="14">
                  <c:v>0.12</c:v>
                </c:pt>
                <c:pt idx="15">
                  <c:v>0.14</c:v>
                </c:pt>
                <c:pt idx="16">
                  <c:v>0.16</c:v>
                </c:pt>
                <c:pt idx="17">
                  <c:v>0.18</c:v>
                </c:pt>
                <c:pt idx="18">
                  <c:v>0.2</c:v>
                </c:pt>
                <c:pt idx="19">
                  <c:v>0.22</c:v>
                </c:pt>
                <c:pt idx="20">
                  <c:v>0.24</c:v>
                </c:pt>
                <c:pt idx="21">
                  <c:v>0.26</c:v>
                </c:pt>
                <c:pt idx="22">
                  <c:v>0.28</c:v>
                </c:pt>
                <c:pt idx="23">
                  <c:v>0.3</c:v>
                </c:pt>
              </c:numCache>
            </c:numRef>
          </c:xVal>
          <c:yVal>
            <c:numRef>
              <c:f>'Analysis'!$S$47:$S$70</c:f>
              <c:numCache>
                <c:formatCode>General</c:formatCode>
                <c:ptCount val="24"/>
                <c:pt idx="0">
                  <c:v>0.9871170143402453</c:v>
                </c:pt>
                <c:pt idx="1">
                  <c:v>0.9901515035589251</c:v>
                </c:pt>
                <c:pt idx="2">
                  <c:v>0.9927738916792685</c:v>
                </c:pt>
                <c:pt idx="3">
                  <c:v>0.99498743710662</c:v>
                </c:pt>
                <c:pt idx="4">
                  <c:v>0.996794863550169</c:v>
                </c:pt>
                <c:pt idx="5">
                  <c:v>0.9981983770774224</c:v>
                </c:pt>
                <c:pt idx="6">
                  <c:v>0.9991996797437437</c:v>
                </c:pt>
                <c:pt idx="7">
                  <c:v>0.999799979995999</c:v>
                </c:pt>
                <c:pt idx="8">
                  <c:v>1.0</c:v>
                </c:pt>
                <c:pt idx="9">
                  <c:v>0.999799979995999</c:v>
                </c:pt>
                <c:pt idx="10">
                  <c:v>0.9991996797437437</c:v>
                </c:pt>
                <c:pt idx="11">
                  <c:v>0.9981983770774224</c:v>
                </c:pt>
                <c:pt idx="12">
                  <c:v>0.996794863550169</c:v>
                </c:pt>
                <c:pt idx="13">
                  <c:v>0.99498743710662</c:v>
                </c:pt>
                <c:pt idx="14">
                  <c:v>0.9927738916792685</c:v>
                </c:pt>
                <c:pt idx="15">
                  <c:v>0.9901515035589251</c:v>
                </c:pt>
                <c:pt idx="16">
                  <c:v>0.9871170143402453</c:v>
                </c:pt>
                <c:pt idx="17">
                  <c:v>0.983666610188635</c:v>
                </c:pt>
                <c:pt idx="18">
                  <c:v>0.9797958971132712</c:v>
                </c:pt>
                <c:pt idx="19">
                  <c:v>0.9754998718605759</c:v>
                </c:pt>
                <c:pt idx="20">
                  <c:v>0.9707728879609278</c:v>
                </c:pt>
                <c:pt idx="21">
                  <c:v>0.9656086163658649</c:v>
                </c:pt>
                <c:pt idx="22">
                  <c:v>0.96</c:v>
                </c:pt>
                <c:pt idx="23">
                  <c:v>0.9539392014169457</c:v>
                </c:pt>
              </c:numCache>
            </c:numRef>
          </c:yVal>
          <c:smooth val="1"/>
        </c:ser>
        <c:ser>
          <c:idx val="4"/>
          <c:order val="4"/>
          <c:spPr>
            <a:ln w="300000" cap="rnd">
              <a:solidFill>
                <a:srgbClr val="DC3639"/>
              </a:solidFill>
              <a:prstDash val="solid"/>
            </a:ln>
          </c:spPr>
          <c:marker>
            <c:symbol val="none"/>
          </c:marker>
          <c:xVal>
            <c:numRef>
              <c:f>'Analysis'!$R$70:$R$105</c:f>
              <c:numCache>
                <c:formatCode>General</c:formatCode>
                <c:ptCount val="36"/>
                <c:pt idx="0">
                  <c:v>0.3</c:v>
                </c:pt>
                <c:pt idx="1">
                  <c:v>0.32</c:v>
                </c:pt>
                <c:pt idx="2">
                  <c:v>0.34</c:v>
                </c:pt>
                <c:pt idx="3">
                  <c:v>0.36</c:v>
                </c:pt>
                <c:pt idx="4">
                  <c:v>0.38</c:v>
                </c:pt>
                <c:pt idx="5">
                  <c:v>0.4</c:v>
                </c:pt>
                <c:pt idx="6">
                  <c:v>0.42</c:v>
                </c:pt>
                <c:pt idx="7">
                  <c:v>0.44</c:v>
                </c:pt>
                <c:pt idx="8">
                  <c:v>0.46</c:v>
                </c:pt>
                <c:pt idx="9">
                  <c:v>0.48</c:v>
                </c:pt>
                <c:pt idx="10">
                  <c:v>0.5</c:v>
                </c:pt>
                <c:pt idx="11">
                  <c:v>0.52</c:v>
                </c:pt>
                <c:pt idx="12">
                  <c:v>0.54</c:v>
                </c:pt>
                <c:pt idx="13">
                  <c:v>0.56</c:v>
                </c:pt>
                <c:pt idx="14">
                  <c:v>0.58</c:v>
                </c:pt>
                <c:pt idx="15">
                  <c:v>0.6</c:v>
                </c:pt>
                <c:pt idx="16">
                  <c:v>0.62</c:v>
                </c:pt>
                <c:pt idx="17">
                  <c:v>0.64</c:v>
                </c:pt>
                <c:pt idx="18">
                  <c:v>0.66</c:v>
                </c:pt>
                <c:pt idx="19">
                  <c:v>0.68</c:v>
                </c:pt>
                <c:pt idx="20">
                  <c:v>0.7</c:v>
                </c:pt>
                <c:pt idx="21">
                  <c:v>0.72</c:v>
                </c:pt>
                <c:pt idx="22">
                  <c:v>0.74</c:v>
                </c:pt>
                <c:pt idx="23">
                  <c:v>0.76</c:v>
                </c:pt>
                <c:pt idx="24">
                  <c:v>0.78</c:v>
                </c:pt>
                <c:pt idx="25">
                  <c:v>0.8</c:v>
                </c:pt>
                <c:pt idx="26">
                  <c:v>0.82</c:v>
                </c:pt>
                <c:pt idx="27">
                  <c:v>0.84</c:v>
                </c:pt>
                <c:pt idx="28">
                  <c:v>0.86</c:v>
                </c:pt>
                <c:pt idx="29">
                  <c:v>0.88</c:v>
                </c:pt>
                <c:pt idx="30">
                  <c:v>0.9</c:v>
                </c:pt>
                <c:pt idx="31">
                  <c:v>0.92</c:v>
                </c:pt>
                <c:pt idx="32">
                  <c:v>0.94</c:v>
                </c:pt>
                <c:pt idx="33">
                  <c:v>0.96</c:v>
                </c:pt>
                <c:pt idx="34">
                  <c:v>0.98</c:v>
                </c:pt>
                <c:pt idx="35">
                  <c:v>1.0</c:v>
                </c:pt>
              </c:numCache>
            </c:numRef>
          </c:xVal>
          <c:yVal>
            <c:numRef>
              <c:f>'Analysis'!$S$70:$S$105</c:f>
              <c:numCache>
                <c:formatCode>General</c:formatCode>
                <c:ptCount val="36"/>
                <c:pt idx="0">
                  <c:v>0.9539392014169457</c:v>
                </c:pt>
                <c:pt idx="1">
                  <c:v>0.9474175425861608</c:v>
                </c:pt>
                <c:pt idx="2">
                  <c:v>0.9404254356406998</c:v>
                </c:pt>
                <c:pt idx="3">
                  <c:v>0.9329523031752481</c:v>
                </c:pt>
                <c:pt idx="4">
                  <c:v>0.9249864863877743</c:v>
                </c:pt>
                <c:pt idx="5">
                  <c:v>0.916515138991168</c:v>
                </c:pt>
                <c:pt idx="6">
                  <c:v>0.9075241043630742</c:v>
                </c:pt>
                <c:pt idx="7">
                  <c:v>0.8979977728257459</c:v>
                </c:pt>
                <c:pt idx="8">
                  <c:v>0.8879189152169246</c:v>
                </c:pt>
                <c:pt idx="9">
                  <c:v>0.8772684879784524</c:v>
                </c:pt>
                <c:pt idx="10">
                  <c:v>0.8660254037844386</c:v>
                </c:pt>
                <c:pt idx="11">
                  <c:v>0.854166260162505</c:v>
                </c:pt>
                <c:pt idx="12">
                  <c:v>0.8416650165000324</c:v>
                </c:pt>
                <c:pt idx="13">
                  <c:v>0.8284926070883191</c:v>
                </c:pt>
                <c:pt idx="14">
                  <c:v>0.8146164741766521</c:v>
                </c:pt>
                <c:pt idx="15">
                  <c:v>0.8</c:v>
                </c:pt>
                <c:pt idx="16">
                  <c:v>0.7846018098373212</c:v>
                </c:pt>
                <c:pt idx="17">
                  <c:v>0.7683749084919419</c:v>
                </c:pt>
                <c:pt idx="18">
                  <c:v>0.751265598839718</c:v>
                </c:pt>
                <c:pt idx="19">
                  <c:v>0.7332121111929343</c:v>
                </c:pt>
                <c:pt idx="20">
                  <c:v>0.714142842854285</c:v>
                </c:pt>
                <c:pt idx="21">
                  <c:v>0.6939740629158989</c:v>
                </c:pt>
                <c:pt idx="22">
                  <c:v>0.6726068688320095</c:v>
                </c:pt>
                <c:pt idx="23">
                  <c:v>0.6499230723708769</c:v>
                </c:pt>
                <c:pt idx="24">
                  <c:v>0.6257795138864806</c:v>
                </c:pt>
                <c:pt idx="25">
                  <c:v>0.5999999999999999</c:v>
                </c:pt>
                <c:pt idx="26">
                  <c:v>0.5723635208501675</c:v>
                </c:pt>
                <c:pt idx="27">
                  <c:v>0.5425863986500216</c:v>
                </c:pt>
                <c:pt idx="28">
                  <c:v>0.510294032886923</c:v>
                </c:pt>
                <c:pt idx="29">
                  <c:v>0.4749736834815167</c:v>
                </c:pt>
                <c:pt idx="30">
                  <c:v>0.4358898943540673</c:v>
                </c:pt>
                <c:pt idx="31">
                  <c:v>0.39191835884530846</c:v>
                </c:pt>
                <c:pt idx="32">
                  <c:v>0.3411744421846397</c:v>
                </c:pt>
                <c:pt idx="33">
                  <c:v>0.28</c:v>
                </c:pt>
                <c:pt idx="34">
                  <c:v>0.1989974874213242</c:v>
                </c:pt>
                <c:pt idx="35">
                  <c:v>0.0</c:v>
                </c:pt>
              </c:numCache>
            </c:numRef>
          </c:yVal>
          <c:smooth val="1"/>
        </c:ser>
        <c:ser>
          <c:idx val="5"/>
          <c:order val="5"/>
          <c:spPr>
            <a:ln w="24000" cap="rnd">
              <a:solidFill>
                <a:srgbClr val="0F172A"/>
              </a:solidFill>
              <a:prstDash val="solid"/>
            </a:ln>
          </c:spPr>
          <c:marker>
            <c:symbol val="none"/>
          </c:marker>
          <c:dPt>
            <c:idx val="1"/>
            <c:marker>
              <c:symbol val="circle"/>
              <c:size val="11"/>
              <c:spPr>
                <a:solidFill>
                  <a:srgbClr val="0F172A"/>
                </a:solidFill>
                <a:ln>
                  <a:noFill/>
                </a:ln>
              </c:spPr>
            </c:marker>
          </c:dPt>
          <c:xVal>
            <c:numRef>
              <c:f>'Analysis'!$R$2:$R$3</c:f>
              <c:numCache>
                <c:formatCode>General</c:formatCode>
                <c:ptCount val="2"/>
                <c:pt idx="0">
                  <c:v>-0.9373942558482299</c:v>
                </c:pt>
                <c:pt idx="1">
                  <c:v>0.0</c:v>
                </c:pt>
              </c:numCache>
            </c:numRef>
          </c:xVal>
          <c:yVal>
            <c:numRef>
              <c:f>'Analysis'!$S$2:$S$3</c:f>
              <c:numCache>
                <c:formatCode>General</c:formatCode>
                <c:ptCount val="2"/>
                <c:pt idx="0">
                  <c:v>0.348270023261755</c:v>
                </c:pt>
                <c:pt idx="1">
                  <c:v>0.0</c:v>
                </c:pt>
              </c:numCache>
            </c:numRef>
          </c:yVal>
          <c:smooth val="0"/>
        </c:ser>
        <c:axId val="100001"/>
        <c:axId val="100002"/>
      </c:scatterChart>
      <c:valAx>
        <c:axId val="100001"/>
        <c:scaling>
          <c:orientation val="minMax"/>
          <c:max val="1.12"/>
          <c:min val="-1.12"/>
        </c:scaling>
        <c:delete val="1"/>
        <c:axPos val="b"/>
        <c:majorTickMark val="none"/>
        <c:minorTickMark val="none"/>
        <c:tickLblPos val="none"/>
        <c:crossAx val="100002"/>
        <c:crosses val="autoZero"/>
        <c:crossBetween val="midCat"/>
      </c:valAx>
      <c:valAx>
        <c:axId val="100002"/>
        <c:scaling>
          <c:orientation val="minMax"/>
          <c:max val="1.12"/>
          <c:min val="-0.08"/>
        </c:scaling>
        <c:delete val="1"/>
        <c:axPos val="l"/>
        <c:majorTickMark val="none"/>
        <c:minorTickMark val="none"/>
        <c:tickLblPos val="none"/>
        <c:crossAx val="100001"/>
        <c:crosses val="autoZero"/>
        <c:crossBetween val="midCat"/>
      </c:valAx>
    </c:plotArea>
    <c:plotVisOnly val="0"/>
    <c:dispBlanksAs val="zero"/>
    <c:showDLblsOverMax val="1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300000" cap="rnd">
              <a:solidFill>
                <a:srgbClr val="FEF08A"/>
              </a:solidFill>
              <a:prstDash val="solid"/>
            </a:ln>
          </c:spPr>
          <c:marker>
            <c:symbol val="none"/>
          </c:marker>
          <c:xVal>
            <c:numRef>
              <c:f>'Analysis'!$Z$5:$Z$15</c:f>
              <c:numCache>
                <c:formatCode>General</c:formatCode>
                <c:ptCount val="11"/>
                <c:pt idx="0">
                  <c:v>-1.0</c:v>
                </c:pt>
                <c:pt idx="1">
                  <c:v>-0.98</c:v>
                </c:pt>
                <c:pt idx="2">
                  <c:v>-0.96</c:v>
                </c:pt>
                <c:pt idx="3">
                  <c:v>-0.94</c:v>
                </c:pt>
                <c:pt idx="4">
                  <c:v>-0.92</c:v>
                </c:pt>
                <c:pt idx="5">
                  <c:v>-0.9</c:v>
                </c:pt>
                <c:pt idx="6">
                  <c:v>-0.88</c:v>
                </c:pt>
                <c:pt idx="7">
                  <c:v>-0.86</c:v>
                </c:pt>
                <c:pt idx="8">
                  <c:v>-0.84</c:v>
                </c:pt>
                <c:pt idx="9">
                  <c:v>-0.82</c:v>
                </c:pt>
                <c:pt idx="10">
                  <c:v>-0.8</c:v>
                </c:pt>
              </c:numCache>
            </c:numRef>
          </c:xVal>
          <c:yVal>
            <c:numRef>
              <c:f>'Analysis'!$AA$5:$AA$15</c:f>
              <c:numCache>
                <c:formatCode>General</c:formatCode>
                <c:ptCount val="11"/>
                <c:pt idx="0">
                  <c:v>0.0</c:v>
                </c:pt>
                <c:pt idx="1">
                  <c:v>0.1989974874213242</c:v>
                </c:pt>
                <c:pt idx="2">
                  <c:v>0.28</c:v>
                </c:pt>
                <c:pt idx="3">
                  <c:v>0.3411744421846397</c:v>
                </c:pt>
                <c:pt idx="4">
                  <c:v>0.39191835884530846</c:v>
                </c:pt>
                <c:pt idx="5">
                  <c:v>0.4358898943540673</c:v>
                </c:pt>
                <c:pt idx="6">
                  <c:v>0.4749736834815167</c:v>
                </c:pt>
                <c:pt idx="7">
                  <c:v>0.510294032886923</c:v>
                </c:pt>
                <c:pt idx="8">
                  <c:v>0.5425863986500216</c:v>
                </c:pt>
                <c:pt idx="9">
                  <c:v>0.5723635208501675</c:v>
                </c:pt>
                <c:pt idx="10">
                  <c:v>0.5999999999999999</c:v>
                </c:pt>
              </c:numCache>
            </c:numRef>
          </c:yVal>
          <c:smooth val="1"/>
        </c:ser>
        <c:ser>
          <c:idx val="1"/>
          <c:order val="1"/>
          <c:spPr>
            <a:ln w="300000" cap="rnd">
              <a:solidFill>
                <a:srgbClr val="FBBF24"/>
              </a:solidFill>
              <a:prstDash val="solid"/>
            </a:ln>
          </c:spPr>
          <c:marker>
            <c:symbol val="none"/>
          </c:marker>
          <c:xVal>
            <c:numRef>
              <c:f>'Analysis'!$Z$15:$Z$26</c:f>
              <c:numCache>
                <c:formatCode>General</c:formatCode>
                <c:ptCount val="12"/>
                <c:pt idx="0">
                  <c:v>-0.8</c:v>
                </c:pt>
                <c:pt idx="1">
                  <c:v>-0.78</c:v>
                </c:pt>
                <c:pt idx="2">
                  <c:v>-0.76</c:v>
                </c:pt>
                <c:pt idx="3">
                  <c:v>-0.74</c:v>
                </c:pt>
                <c:pt idx="4">
                  <c:v>-0.72</c:v>
                </c:pt>
                <c:pt idx="5">
                  <c:v>-0.7</c:v>
                </c:pt>
                <c:pt idx="6">
                  <c:v>-0.68</c:v>
                </c:pt>
                <c:pt idx="7">
                  <c:v>-0.66</c:v>
                </c:pt>
                <c:pt idx="8">
                  <c:v>-0.64</c:v>
                </c:pt>
                <c:pt idx="9">
                  <c:v>-0.62</c:v>
                </c:pt>
                <c:pt idx="10">
                  <c:v>-0.6</c:v>
                </c:pt>
                <c:pt idx="11">
                  <c:v>-0.58</c:v>
                </c:pt>
              </c:numCache>
            </c:numRef>
          </c:xVal>
          <c:yVal>
            <c:numRef>
              <c:f>'Analysis'!$AA$15:$AA$26</c:f>
              <c:numCache>
                <c:formatCode>General</c:formatCode>
                <c:ptCount val="12"/>
                <c:pt idx="0">
                  <c:v>0.5999999999999999</c:v>
                </c:pt>
                <c:pt idx="1">
                  <c:v>0.6257795138864806</c:v>
                </c:pt>
                <c:pt idx="2">
                  <c:v>0.6499230723708769</c:v>
                </c:pt>
                <c:pt idx="3">
                  <c:v>0.6726068688320095</c:v>
                </c:pt>
                <c:pt idx="4">
                  <c:v>0.6939740629158989</c:v>
                </c:pt>
                <c:pt idx="5">
                  <c:v>0.714142842854285</c:v>
                </c:pt>
                <c:pt idx="6">
                  <c:v>0.7332121111929343</c:v>
                </c:pt>
                <c:pt idx="7">
                  <c:v>0.751265598839718</c:v>
                </c:pt>
                <c:pt idx="8">
                  <c:v>0.7683749084919419</c:v>
                </c:pt>
                <c:pt idx="9">
                  <c:v>0.7846018098373212</c:v>
                </c:pt>
                <c:pt idx="10">
                  <c:v>0.8</c:v>
                </c:pt>
                <c:pt idx="11">
                  <c:v>0.8146164741766521</c:v>
                </c:pt>
              </c:numCache>
            </c:numRef>
          </c:yVal>
          <c:smooth val="1"/>
        </c:ser>
        <c:ser>
          <c:idx val="2"/>
          <c:order val="2"/>
          <c:spPr>
            <a:ln w="300000" cap="rnd">
              <a:solidFill>
                <a:srgbClr val="FB923C"/>
              </a:solidFill>
              <a:prstDash val="solid"/>
            </a:ln>
          </c:spPr>
          <c:marker>
            <c:symbol val="none"/>
          </c:marker>
          <c:xVal>
            <c:numRef>
              <c:f>'Analysis'!$Z$26:$Z$47</c:f>
              <c:numCache>
                <c:formatCode>General</c:formatCode>
                <c:ptCount val="22"/>
                <c:pt idx="0">
                  <c:v>-0.58</c:v>
                </c:pt>
                <c:pt idx="1">
                  <c:v>-0.56</c:v>
                </c:pt>
                <c:pt idx="2">
                  <c:v>-0.54</c:v>
                </c:pt>
                <c:pt idx="3">
                  <c:v>-0.52</c:v>
                </c:pt>
                <c:pt idx="4">
                  <c:v>-0.5</c:v>
                </c:pt>
                <c:pt idx="5">
                  <c:v>-0.48</c:v>
                </c:pt>
                <c:pt idx="6">
                  <c:v>-0.46</c:v>
                </c:pt>
                <c:pt idx="7">
                  <c:v>-0.44</c:v>
                </c:pt>
                <c:pt idx="8">
                  <c:v>-0.42</c:v>
                </c:pt>
                <c:pt idx="9">
                  <c:v>-0.4</c:v>
                </c:pt>
                <c:pt idx="10">
                  <c:v>-0.38</c:v>
                </c:pt>
                <c:pt idx="11">
                  <c:v>-0.36</c:v>
                </c:pt>
                <c:pt idx="12">
                  <c:v>-0.34</c:v>
                </c:pt>
                <c:pt idx="13">
                  <c:v>-0.32</c:v>
                </c:pt>
                <c:pt idx="14">
                  <c:v>-0.3</c:v>
                </c:pt>
                <c:pt idx="15">
                  <c:v>-0.28</c:v>
                </c:pt>
                <c:pt idx="16">
                  <c:v>-0.26</c:v>
                </c:pt>
                <c:pt idx="17">
                  <c:v>-0.24</c:v>
                </c:pt>
                <c:pt idx="18">
                  <c:v>-0.22</c:v>
                </c:pt>
                <c:pt idx="19">
                  <c:v>-0.2</c:v>
                </c:pt>
                <c:pt idx="20">
                  <c:v>-0.18</c:v>
                </c:pt>
                <c:pt idx="21">
                  <c:v>-0.16</c:v>
                </c:pt>
              </c:numCache>
            </c:numRef>
          </c:xVal>
          <c:yVal>
            <c:numRef>
              <c:f>'Analysis'!$AA$26:$AA$47</c:f>
              <c:numCache>
                <c:formatCode>General</c:formatCode>
                <c:ptCount val="22"/>
                <c:pt idx="0">
                  <c:v>0.8146164741766521</c:v>
                </c:pt>
                <c:pt idx="1">
                  <c:v>0.8284926070883191</c:v>
                </c:pt>
                <c:pt idx="2">
                  <c:v>0.8416650165000324</c:v>
                </c:pt>
                <c:pt idx="3">
                  <c:v>0.854166260162505</c:v>
                </c:pt>
                <c:pt idx="4">
                  <c:v>0.8660254037844386</c:v>
                </c:pt>
                <c:pt idx="5">
                  <c:v>0.8772684879784524</c:v>
                </c:pt>
                <c:pt idx="6">
                  <c:v>0.8879189152169246</c:v>
                </c:pt>
                <c:pt idx="7">
                  <c:v>0.8979977728257459</c:v>
                </c:pt>
                <c:pt idx="8">
                  <c:v>0.9075241043630742</c:v>
                </c:pt>
                <c:pt idx="9">
                  <c:v>0.916515138991168</c:v>
                </c:pt>
                <c:pt idx="10">
                  <c:v>0.9249864863877743</c:v>
                </c:pt>
                <c:pt idx="11">
                  <c:v>0.9329523031752481</c:v>
                </c:pt>
                <c:pt idx="12">
                  <c:v>0.9404254356406998</c:v>
                </c:pt>
                <c:pt idx="13">
                  <c:v>0.9474175425861608</c:v>
                </c:pt>
                <c:pt idx="14">
                  <c:v>0.9539392014169457</c:v>
                </c:pt>
                <c:pt idx="15">
                  <c:v>0.96</c:v>
                </c:pt>
                <c:pt idx="16">
                  <c:v>0.9656086163658649</c:v>
                </c:pt>
                <c:pt idx="17">
                  <c:v>0.9707728879609278</c:v>
                </c:pt>
                <c:pt idx="18">
                  <c:v>0.9754998718605759</c:v>
                </c:pt>
                <c:pt idx="19">
                  <c:v>0.9797958971132712</c:v>
                </c:pt>
                <c:pt idx="20">
                  <c:v>0.983666610188635</c:v>
                </c:pt>
                <c:pt idx="21">
                  <c:v>0.9871170143402453</c:v>
                </c:pt>
              </c:numCache>
            </c:numRef>
          </c:yVal>
          <c:smooth val="1"/>
        </c:ser>
        <c:ser>
          <c:idx val="3"/>
          <c:order val="3"/>
          <c:spPr>
            <a:ln w="300000" cap="rnd">
              <a:solidFill>
                <a:srgbClr val="F87171"/>
              </a:solidFill>
              <a:prstDash val="solid"/>
            </a:ln>
          </c:spPr>
          <c:marker>
            <c:symbol val="none"/>
          </c:marker>
          <c:xVal>
            <c:numRef>
              <c:f>'Analysis'!$Z$47:$Z$70</c:f>
              <c:numCache>
                <c:formatCode>General</c:formatCode>
                <c:ptCount val="24"/>
                <c:pt idx="0">
                  <c:v>-0.16</c:v>
                </c:pt>
                <c:pt idx="1">
                  <c:v>-0.14</c:v>
                </c:pt>
                <c:pt idx="2">
                  <c:v>-0.12</c:v>
                </c:pt>
                <c:pt idx="3">
                  <c:v>-0.1</c:v>
                </c:pt>
                <c:pt idx="4">
                  <c:v>-0.08</c:v>
                </c:pt>
                <c:pt idx="5">
                  <c:v>-0.06</c:v>
                </c:pt>
                <c:pt idx="6">
                  <c:v>-0.04</c:v>
                </c:pt>
                <c:pt idx="7">
                  <c:v>-0.02</c:v>
                </c:pt>
                <c:pt idx="8">
                  <c:v>0.0</c:v>
                </c:pt>
                <c:pt idx="9">
                  <c:v>0.02</c:v>
                </c:pt>
                <c:pt idx="10">
                  <c:v>0.04</c:v>
                </c:pt>
                <c:pt idx="11">
                  <c:v>0.06</c:v>
                </c:pt>
                <c:pt idx="12">
                  <c:v>0.08</c:v>
                </c:pt>
                <c:pt idx="13">
                  <c:v>0.1</c:v>
                </c:pt>
                <c:pt idx="14">
                  <c:v>0.12</c:v>
                </c:pt>
                <c:pt idx="15">
                  <c:v>0.14</c:v>
                </c:pt>
                <c:pt idx="16">
                  <c:v>0.16</c:v>
                </c:pt>
                <c:pt idx="17">
                  <c:v>0.18</c:v>
                </c:pt>
                <c:pt idx="18">
                  <c:v>0.2</c:v>
                </c:pt>
                <c:pt idx="19">
                  <c:v>0.22</c:v>
                </c:pt>
                <c:pt idx="20">
                  <c:v>0.24</c:v>
                </c:pt>
                <c:pt idx="21">
                  <c:v>0.26</c:v>
                </c:pt>
                <c:pt idx="22">
                  <c:v>0.28</c:v>
                </c:pt>
                <c:pt idx="23">
                  <c:v>0.3</c:v>
                </c:pt>
              </c:numCache>
            </c:numRef>
          </c:xVal>
          <c:yVal>
            <c:numRef>
              <c:f>'Analysis'!$AA$47:$AA$70</c:f>
              <c:numCache>
                <c:formatCode>General</c:formatCode>
                <c:ptCount val="24"/>
                <c:pt idx="0">
                  <c:v>0.9871170143402453</c:v>
                </c:pt>
                <c:pt idx="1">
                  <c:v>0.9901515035589251</c:v>
                </c:pt>
                <c:pt idx="2">
                  <c:v>0.9927738916792685</c:v>
                </c:pt>
                <c:pt idx="3">
                  <c:v>0.99498743710662</c:v>
                </c:pt>
                <c:pt idx="4">
                  <c:v>0.996794863550169</c:v>
                </c:pt>
                <c:pt idx="5">
                  <c:v>0.9981983770774224</c:v>
                </c:pt>
                <c:pt idx="6">
                  <c:v>0.9991996797437437</c:v>
                </c:pt>
                <c:pt idx="7">
                  <c:v>0.999799979995999</c:v>
                </c:pt>
                <c:pt idx="8">
                  <c:v>1.0</c:v>
                </c:pt>
                <c:pt idx="9">
                  <c:v>0.999799979995999</c:v>
                </c:pt>
                <c:pt idx="10">
                  <c:v>0.9991996797437437</c:v>
                </c:pt>
                <c:pt idx="11">
                  <c:v>0.9981983770774224</c:v>
                </c:pt>
                <c:pt idx="12">
                  <c:v>0.996794863550169</c:v>
                </c:pt>
                <c:pt idx="13">
                  <c:v>0.99498743710662</c:v>
                </c:pt>
                <c:pt idx="14">
                  <c:v>0.9927738916792685</c:v>
                </c:pt>
                <c:pt idx="15">
                  <c:v>0.9901515035589251</c:v>
                </c:pt>
                <c:pt idx="16">
                  <c:v>0.9871170143402453</c:v>
                </c:pt>
                <c:pt idx="17">
                  <c:v>0.983666610188635</c:v>
                </c:pt>
                <c:pt idx="18">
                  <c:v>0.9797958971132712</c:v>
                </c:pt>
                <c:pt idx="19">
                  <c:v>0.9754998718605759</c:v>
                </c:pt>
                <c:pt idx="20">
                  <c:v>0.9707728879609278</c:v>
                </c:pt>
                <c:pt idx="21">
                  <c:v>0.9656086163658649</c:v>
                </c:pt>
                <c:pt idx="22">
                  <c:v>0.96</c:v>
                </c:pt>
                <c:pt idx="23">
                  <c:v>0.9539392014169457</c:v>
                </c:pt>
              </c:numCache>
            </c:numRef>
          </c:yVal>
          <c:smooth val="1"/>
        </c:ser>
        <c:ser>
          <c:idx val="4"/>
          <c:order val="4"/>
          <c:spPr>
            <a:ln w="300000" cap="rnd">
              <a:solidFill>
                <a:srgbClr val="DC3639"/>
              </a:solidFill>
              <a:prstDash val="solid"/>
            </a:ln>
          </c:spPr>
          <c:marker>
            <c:symbol val="none"/>
          </c:marker>
          <c:xVal>
            <c:numRef>
              <c:f>'Analysis'!$Z$70:$Z$105</c:f>
              <c:numCache>
                <c:formatCode>General</c:formatCode>
                <c:ptCount val="36"/>
                <c:pt idx="0">
                  <c:v>0.3</c:v>
                </c:pt>
                <c:pt idx="1">
                  <c:v>0.32</c:v>
                </c:pt>
                <c:pt idx="2">
                  <c:v>0.34</c:v>
                </c:pt>
                <c:pt idx="3">
                  <c:v>0.36</c:v>
                </c:pt>
                <c:pt idx="4">
                  <c:v>0.38</c:v>
                </c:pt>
                <c:pt idx="5">
                  <c:v>0.4</c:v>
                </c:pt>
                <c:pt idx="6">
                  <c:v>0.42</c:v>
                </c:pt>
                <c:pt idx="7">
                  <c:v>0.44</c:v>
                </c:pt>
                <c:pt idx="8">
                  <c:v>0.46</c:v>
                </c:pt>
                <c:pt idx="9">
                  <c:v>0.48</c:v>
                </c:pt>
                <c:pt idx="10">
                  <c:v>0.5</c:v>
                </c:pt>
                <c:pt idx="11">
                  <c:v>0.52</c:v>
                </c:pt>
                <c:pt idx="12">
                  <c:v>0.54</c:v>
                </c:pt>
                <c:pt idx="13">
                  <c:v>0.56</c:v>
                </c:pt>
                <c:pt idx="14">
                  <c:v>0.58</c:v>
                </c:pt>
                <c:pt idx="15">
                  <c:v>0.6</c:v>
                </c:pt>
                <c:pt idx="16">
                  <c:v>0.62</c:v>
                </c:pt>
                <c:pt idx="17">
                  <c:v>0.64</c:v>
                </c:pt>
                <c:pt idx="18">
                  <c:v>0.66</c:v>
                </c:pt>
                <c:pt idx="19">
                  <c:v>0.68</c:v>
                </c:pt>
                <c:pt idx="20">
                  <c:v>0.7</c:v>
                </c:pt>
                <c:pt idx="21">
                  <c:v>0.72</c:v>
                </c:pt>
                <c:pt idx="22">
                  <c:v>0.74</c:v>
                </c:pt>
                <c:pt idx="23">
                  <c:v>0.76</c:v>
                </c:pt>
                <c:pt idx="24">
                  <c:v>0.78</c:v>
                </c:pt>
                <c:pt idx="25">
                  <c:v>0.8</c:v>
                </c:pt>
                <c:pt idx="26">
                  <c:v>0.82</c:v>
                </c:pt>
                <c:pt idx="27">
                  <c:v>0.84</c:v>
                </c:pt>
                <c:pt idx="28">
                  <c:v>0.86</c:v>
                </c:pt>
                <c:pt idx="29">
                  <c:v>0.88</c:v>
                </c:pt>
                <c:pt idx="30">
                  <c:v>0.9</c:v>
                </c:pt>
                <c:pt idx="31">
                  <c:v>0.92</c:v>
                </c:pt>
                <c:pt idx="32">
                  <c:v>0.94</c:v>
                </c:pt>
                <c:pt idx="33">
                  <c:v>0.96</c:v>
                </c:pt>
                <c:pt idx="34">
                  <c:v>0.98</c:v>
                </c:pt>
                <c:pt idx="35">
                  <c:v>1.0</c:v>
                </c:pt>
              </c:numCache>
            </c:numRef>
          </c:xVal>
          <c:yVal>
            <c:numRef>
              <c:f>'Analysis'!$AA$70:$AA$105</c:f>
              <c:numCache>
                <c:formatCode>General</c:formatCode>
                <c:ptCount val="36"/>
                <c:pt idx="0">
                  <c:v>0.9539392014169457</c:v>
                </c:pt>
                <c:pt idx="1">
                  <c:v>0.9474175425861608</c:v>
                </c:pt>
                <c:pt idx="2">
                  <c:v>0.9404254356406998</c:v>
                </c:pt>
                <c:pt idx="3">
                  <c:v>0.9329523031752481</c:v>
                </c:pt>
                <c:pt idx="4">
                  <c:v>0.9249864863877743</c:v>
                </c:pt>
                <c:pt idx="5">
                  <c:v>0.916515138991168</c:v>
                </c:pt>
                <c:pt idx="6">
                  <c:v>0.9075241043630742</c:v>
                </c:pt>
                <c:pt idx="7">
                  <c:v>0.8979977728257459</c:v>
                </c:pt>
                <c:pt idx="8">
                  <c:v>0.8879189152169246</c:v>
                </c:pt>
                <c:pt idx="9">
                  <c:v>0.8772684879784524</c:v>
                </c:pt>
                <c:pt idx="10">
                  <c:v>0.8660254037844386</c:v>
                </c:pt>
                <c:pt idx="11">
                  <c:v>0.854166260162505</c:v>
                </c:pt>
                <c:pt idx="12">
                  <c:v>0.8416650165000324</c:v>
                </c:pt>
                <c:pt idx="13">
                  <c:v>0.8284926070883191</c:v>
                </c:pt>
                <c:pt idx="14">
                  <c:v>0.8146164741766521</c:v>
                </c:pt>
                <c:pt idx="15">
                  <c:v>0.8</c:v>
                </c:pt>
                <c:pt idx="16">
                  <c:v>0.7846018098373212</c:v>
                </c:pt>
                <c:pt idx="17">
                  <c:v>0.7683749084919419</c:v>
                </c:pt>
                <c:pt idx="18">
                  <c:v>0.751265598839718</c:v>
                </c:pt>
                <c:pt idx="19">
                  <c:v>0.7332121111929343</c:v>
                </c:pt>
                <c:pt idx="20">
                  <c:v>0.714142842854285</c:v>
                </c:pt>
                <c:pt idx="21">
                  <c:v>0.6939740629158989</c:v>
                </c:pt>
                <c:pt idx="22">
                  <c:v>0.6726068688320095</c:v>
                </c:pt>
                <c:pt idx="23">
                  <c:v>0.6499230723708769</c:v>
                </c:pt>
                <c:pt idx="24">
                  <c:v>0.6257795138864806</c:v>
                </c:pt>
                <c:pt idx="25">
                  <c:v>0.5999999999999999</c:v>
                </c:pt>
                <c:pt idx="26">
                  <c:v>0.5723635208501675</c:v>
                </c:pt>
                <c:pt idx="27">
                  <c:v>0.5425863986500216</c:v>
                </c:pt>
                <c:pt idx="28">
                  <c:v>0.510294032886923</c:v>
                </c:pt>
                <c:pt idx="29">
                  <c:v>0.4749736834815167</c:v>
                </c:pt>
                <c:pt idx="30">
                  <c:v>0.4358898943540673</c:v>
                </c:pt>
                <c:pt idx="31">
                  <c:v>0.39191835884530846</c:v>
                </c:pt>
                <c:pt idx="32">
                  <c:v>0.3411744421846397</c:v>
                </c:pt>
                <c:pt idx="33">
                  <c:v>0.28</c:v>
                </c:pt>
                <c:pt idx="34">
                  <c:v>0.1989974874213242</c:v>
                </c:pt>
                <c:pt idx="35">
                  <c:v>0.0</c:v>
                </c:pt>
              </c:numCache>
            </c:numRef>
          </c:yVal>
          <c:smooth val="1"/>
        </c:ser>
        <c:ser>
          <c:idx val="5"/>
          <c:order val="5"/>
          <c:spPr>
            <a:ln w="24000" cap="rnd">
              <a:solidFill>
                <a:srgbClr val="0F172A"/>
              </a:solidFill>
              <a:prstDash val="solid"/>
            </a:ln>
          </c:spPr>
          <c:marker>
            <c:symbol val="none"/>
          </c:marker>
          <c:dPt>
            <c:idx val="1"/>
            <c:marker>
              <c:symbol val="circle"/>
              <c:size val="11"/>
              <c:spPr>
                <a:solidFill>
                  <a:srgbClr val="0F172A"/>
                </a:solidFill>
                <a:ln>
                  <a:noFill/>
                </a:ln>
              </c:spPr>
            </c:marker>
          </c:dPt>
          <c:xVal>
            <c:numRef>
              <c:f>'Analysis'!$Z$2:$Z$3</c:f>
              <c:numCache>
                <c:formatCode>General</c:formatCode>
                <c:ptCount val="2"/>
                <c:pt idx="0">
                  <c:v>-0.9695374966287063</c:v>
                </c:pt>
                <c:pt idx="1">
                  <c:v>0.0</c:v>
                </c:pt>
              </c:numCache>
            </c:numRef>
          </c:xVal>
          <c:yVal>
            <c:numRef>
              <c:f>'Analysis'!$AA$2:$AA$3</c:f>
              <c:numCache>
                <c:formatCode>General</c:formatCode>
                <c:ptCount val="2"/>
                <c:pt idx="0">
                  <c:v>0.24494293749961735</c:v>
                </c:pt>
                <c:pt idx="1">
                  <c:v>0.0</c:v>
                </c:pt>
              </c:numCache>
            </c:numRef>
          </c:yVal>
          <c:smooth val="0"/>
        </c:ser>
        <c:axId val="100001"/>
        <c:axId val="100002"/>
      </c:scatterChart>
      <c:valAx>
        <c:axId val="100001"/>
        <c:scaling>
          <c:orientation val="minMax"/>
          <c:max val="1.12"/>
          <c:min val="-1.12"/>
        </c:scaling>
        <c:delete val="1"/>
        <c:axPos val="b"/>
        <c:majorTickMark val="none"/>
        <c:minorTickMark val="none"/>
        <c:tickLblPos val="none"/>
        <c:crossAx val="100002"/>
        <c:crosses val="autoZero"/>
        <c:crossBetween val="midCat"/>
      </c:valAx>
      <c:valAx>
        <c:axId val="100002"/>
        <c:scaling>
          <c:orientation val="minMax"/>
          <c:max val="1.12"/>
          <c:min val="-0.08"/>
        </c:scaling>
        <c:delete val="1"/>
        <c:axPos val="l"/>
        <c:majorTickMark val="none"/>
        <c:minorTickMark val="none"/>
        <c:tickLblPos val="none"/>
        <c:crossAx val="100001"/>
        <c:crosses val="autoZero"/>
        <c:crossBetween val="midCat"/>
      </c:valAx>
    </c:plotArea>
    <c:plotVisOnly val="0"/>
    <c:dispBlanksAs val="zero"/>
    <c:showDLblsOverMax val="1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300000" cap="rnd">
              <a:solidFill>
                <a:srgbClr val="FEF08A"/>
              </a:solidFill>
              <a:prstDash val="solid"/>
            </a:ln>
          </c:spPr>
          <c:marker>
            <c:symbol val="none"/>
          </c:marker>
          <c:xVal>
            <c:numRef>
              <c:f>'Analysis'!$AH$5:$AH$15</c:f>
              <c:numCache>
                <c:formatCode>General</c:formatCode>
                <c:ptCount val="11"/>
                <c:pt idx="0">
                  <c:v>-1.0</c:v>
                </c:pt>
                <c:pt idx="1">
                  <c:v>-0.98</c:v>
                </c:pt>
                <c:pt idx="2">
                  <c:v>-0.96</c:v>
                </c:pt>
                <c:pt idx="3">
                  <c:v>-0.94</c:v>
                </c:pt>
                <c:pt idx="4">
                  <c:v>-0.92</c:v>
                </c:pt>
                <c:pt idx="5">
                  <c:v>-0.9</c:v>
                </c:pt>
                <c:pt idx="6">
                  <c:v>-0.88</c:v>
                </c:pt>
                <c:pt idx="7">
                  <c:v>-0.86</c:v>
                </c:pt>
                <c:pt idx="8">
                  <c:v>-0.84</c:v>
                </c:pt>
                <c:pt idx="9">
                  <c:v>-0.82</c:v>
                </c:pt>
                <c:pt idx="10">
                  <c:v>-0.8</c:v>
                </c:pt>
              </c:numCache>
            </c:numRef>
          </c:xVal>
          <c:yVal>
            <c:numRef>
              <c:f>'Analysis'!$AI$5:$AI$15</c:f>
              <c:numCache>
                <c:formatCode>General</c:formatCode>
                <c:ptCount val="11"/>
                <c:pt idx="0">
                  <c:v>0.0</c:v>
                </c:pt>
                <c:pt idx="1">
                  <c:v>0.1989974874213242</c:v>
                </c:pt>
                <c:pt idx="2">
                  <c:v>0.28</c:v>
                </c:pt>
                <c:pt idx="3">
                  <c:v>0.3411744421846397</c:v>
                </c:pt>
                <c:pt idx="4">
                  <c:v>0.39191835884530846</c:v>
                </c:pt>
                <c:pt idx="5">
                  <c:v>0.4358898943540673</c:v>
                </c:pt>
                <c:pt idx="6">
                  <c:v>0.4749736834815167</c:v>
                </c:pt>
                <c:pt idx="7">
                  <c:v>0.510294032886923</c:v>
                </c:pt>
                <c:pt idx="8">
                  <c:v>0.5425863986500216</c:v>
                </c:pt>
                <c:pt idx="9">
                  <c:v>0.5723635208501675</c:v>
                </c:pt>
                <c:pt idx="10">
                  <c:v>0.5999999999999999</c:v>
                </c:pt>
              </c:numCache>
            </c:numRef>
          </c:yVal>
          <c:smooth val="1"/>
        </c:ser>
        <c:ser>
          <c:idx val="1"/>
          <c:order val="1"/>
          <c:spPr>
            <a:ln w="300000" cap="rnd">
              <a:solidFill>
                <a:srgbClr val="FBBF24"/>
              </a:solidFill>
              <a:prstDash val="solid"/>
            </a:ln>
          </c:spPr>
          <c:marker>
            <c:symbol val="none"/>
          </c:marker>
          <c:xVal>
            <c:numRef>
              <c:f>'Analysis'!$AH$15:$AH$26</c:f>
              <c:numCache>
                <c:formatCode>General</c:formatCode>
                <c:ptCount val="12"/>
                <c:pt idx="0">
                  <c:v>-0.8</c:v>
                </c:pt>
                <c:pt idx="1">
                  <c:v>-0.78</c:v>
                </c:pt>
                <c:pt idx="2">
                  <c:v>-0.76</c:v>
                </c:pt>
                <c:pt idx="3">
                  <c:v>-0.74</c:v>
                </c:pt>
                <c:pt idx="4">
                  <c:v>-0.72</c:v>
                </c:pt>
                <c:pt idx="5">
                  <c:v>-0.7</c:v>
                </c:pt>
                <c:pt idx="6">
                  <c:v>-0.68</c:v>
                </c:pt>
                <c:pt idx="7">
                  <c:v>-0.66</c:v>
                </c:pt>
                <c:pt idx="8">
                  <c:v>-0.64</c:v>
                </c:pt>
                <c:pt idx="9">
                  <c:v>-0.62</c:v>
                </c:pt>
                <c:pt idx="10">
                  <c:v>-0.6</c:v>
                </c:pt>
                <c:pt idx="11">
                  <c:v>-0.58</c:v>
                </c:pt>
              </c:numCache>
            </c:numRef>
          </c:xVal>
          <c:yVal>
            <c:numRef>
              <c:f>'Analysis'!$AI$15:$AI$26</c:f>
              <c:numCache>
                <c:formatCode>General</c:formatCode>
                <c:ptCount val="12"/>
                <c:pt idx="0">
                  <c:v>0.5999999999999999</c:v>
                </c:pt>
                <c:pt idx="1">
                  <c:v>0.6257795138864806</c:v>
                </c:pt>
                <c:pt idx="2">
                  <c:v>0.6499230723708769</c:v>
                </c:pt>
                <c:pt idx="3">
                  <c:v>0.6726068688320095</c:v>
                </c:pt>
                <c:pt idx="4">
                  <c:v>0.6939740629158989</c:v>
                </c:pt>
                <c:pt idx="5">
                  <c:v>0.714142842854285</c:v>
                </c:pt>
                <c:pt idx="6">
                  <c:v>0.7332121111929343</c:v>
                </c:pt>
                <c:pt idx="7">
                  <c:v>0.751265598839718</c:v>
                </c:pt>
                <c:pt idx="8">
                  <c:v>0.7683749084919419</c:v>
                </c:pt>
                <c:pt idx="9">
                  <c:v>0.7846018098373212</c:v>
                </c:pt>
                <c:pt idx="10">
                  <c:v>0.8</c:v>
                </c:pt>
                <c:pt idx="11">
                  <c:v>0.8146164741766521</c:v>
                </c:pt>
              </c:numCache>
            </c:numRef>
          </c:yVal>
          <c:smooth val="1"/>
        </c:ser>
        <c:ser>
          <c:idx val="2"/>
          <c:order val="2"/>
          <c:spPr>
            <a:ln w="300000" cap="rnd">
              <a:solidFill>
                <a:srgbClr val="FB923C"/>
              </a:solidFill>
              <a:prstDash val="solid"/>
            </a:ln>
          </c:spPr>
          <c:marker>
            <c:symbol val="none"/>
          </c:marker>
          <c:xVal>
            <c:numRef>
              <c:f>'Analysis'!$AH$26:$AH$47</c:f>
              <c:numCache>
                <c:formatCode>General</c:formatCode>
                <c:ptCount val="22"/>
                <c:pt idx="0">
                  <c:v>-0.58</c:v>
                </c:pt>
                <c:pt idx="1">
                  <c:v>-0.56</c:v>
                </c:pt>
                <c:pt idx="2">
                  <c:v>-0.54</c:v>
                </c:pt>
                <c:pt idx="3">
                  <c:v>-0.52</c:v>
                </c:pt>
                <c:pt idx="4">
                  <c:v>-0.5</c:v>
                </c:pt>
                <c:pt idx="5">
                  <c:v>-0.48</c:v>
                </c:pt>
                <c:pt idx="6">
                  <c:v>-0.46</c:v>
                </c:pt>
                <c:pt idx="7">
                  <c:v>-0.44</c:v>
                </c:pt>
                <c:pt idx="8">
                  <c:v>-0.42</c:v>
                </c:pt>
                <c:pt idx="9">
                  <c:v>-0.4</c:v>
                </c:pt>
                <c:pt idx="10">
                  <c:v>-0.38</c:v>
                </c:pt>
                <c:pt idx="11">
                  <c:v>-0.36</c:v>
                </c:pt>
                <c:pt idx="12">
                  <c:v>-0.34</c:v>
                </c:pt>
                <c:pt idx="13">
                  <c:v>-0.32</c:v>
                </c:pt>
                <c:pt idx="14">
                  <c:v>-0.3</c:v>
                </c:pt>
                <c:pt idx="15">
                  <c:v>-0.28</c:v>
                </c:pt>
                <c:pt idx="16">
                  <c:v>-0.26</c:v>
                </c:pt>
                <c:pt idx="17">
                  <c:v>-0.24</c:v>
                </c:pt>
                <c:pt idx="18">
                  <c:v>-0.22</c:v>
                </c:pt>
                <c:pt idx="19">
                  <c:v>-0.2</c:v>
                </c:pt>
                <c:pt idx="20">
                  <c:v>-0.18</c:v>
                </c:pt>
                <c:pt idx="21">
                  <c:v>-0.16</c:v>
                </c:pt>
              </c:numCache>
            </c:numRef>
          </c:xVal>
          <c:yVal>
            <c:numRef>
              <c:f>'Analysis'!$AI$26:$AI$47</c:f>
              <c:numCache>
                <c:formatCode>General</c:formatCode>
                <c:ptCount val="22"/>
                <c:pt idx="0">
                  <c:v>0.8146164741766521</c:v>
                </c:pt>
                <c:pt idx="1">
                  <c:v>0.8284926070883191</c:v>
                </c:pt>
                <c:pt idx="2">
                  <c:v>0.8416650165000324</c:v>
                </c:pt>
                <c:pt idx="3">
                  <c:v>0.854166260162505</c:v>
                </c:pt>
                <c:pt idx="4">
                  <c:v>0.8660254037844386</c:v>
                </c:pt>
                <c:pt idx="5">
                  <c:v>0.8772684879784524</c:v>
                </c:pt>
                <c:pt idx="6">
                  <c:v>0.8879189152169246</c:v>
                </c:pt>
                <c:pt idx="7">
                  <c:v>0.8979977728257459</c:v>
                </c:pt>
                <c:pt idx="8">
                  <c:v>0.9075241043630742</c:v>
                </c:pt>
                <c:pt idx="9">
                  <c:v>0.916515138991168</c:v>
                </c:pt>
                <c:pt idx="10">
                  <c:v>0.9249864863877743</c:v>
                </c:pt>
                <c:pt idx="11">
                  <c:v>0.9329523031752481</c:v>
                </c:pt>
                <c:pt idx="12">
                  <c:v>0.9404254356406998</c:v>
                </c:pt>
                <c:pt idx="13">
                  <c:v>0.9474175425861608</c:v>
                </c:pt>
                <c:pt idx="14">
                  <c:v>0.9539392014169457</c:v>
                </c:pt>
                <c:pt idx="15">
                  <c:v>0.96</c:v>
                </c:pt>
                <c:pt idx="16">
                  <c:v>0.9656086163658649</c:v>
                </c:pt>
                <c:pt idx="17">
                  <c:v>0.9707728879609278</c:v>
                </c:pt>
                <c:pt idx="18">
                  <c:v>0.9754998718605759</c:v>
                </c:pt>
                <c:pt idx="19">
                  <c:v>0.9797958971132712</c:v>
                </c:pt>
                <c:pt idx="20">
                  <c:v>0.983666610188635</c:v>
                </c:pt>
                <c:pt idx="21">
                  <c:v>0.9871170143402453</c:v>
                </c:pt>
              </c:numCache>
            </c:numRef>
          </c:yVal>
          <c:smooth val="1"/>
        </c:ser>
        <c:ser>
          <c:idx val="3"/>
          <c:order val="3"/>
          <c:spPr>
            <a:ln w="300000" cap="rnd">
              <a:solidFill>
                <a:srgbClr val="F87171"/>
              </a:solidFill>
              <a:prstDash val="solid"/>
            </a:ln>
          </c:spPr>
          <c:marker>
            <c:symbol val="none"/>
          </c:marker>
          <c:xVal>
            <c:numRef>
              <c:f>'Analysis'!$AH$47:$AH$70</c:f>
              <c:numCache>
                <c:formatCode>General</c:formatCode>
                <c:ptCount val="24"/>
                <c:pt idx="0">
                  <c:v>-0.16</c:v>
                </c:pt>
                <c:pt idx="1">
                  <c:v>-0.14</c:v>
                </c:pt>
                <c:pt idx="2">
                  <c:v>-0.12</c:v>
                </c:pt>
                <c:pt idx="3">
                  <c:v>-0.1</c:v>
                </c:pt>
                <c:pt idx="4">
                  <c:v>-0.08</c:v>
                </c:pt>
                <c:pt idx="5">
                  <c:v>-0.06</c:v>
                </c:pt>
                <c:pt idx="6">
                  <c:v>-0.04</c:v>
                </c:pt>
                <c:pt idx="7">
                  <c:v>-0.02</c:v>
                </c:pt>
                <c:pt idx="8">
                  <c:v>0.0</c:v>
                </c:pt>
                <c:pt idx="9">
                  <c:v>0.02</c:v>
                </c:pt>
                <c:pt idx="10">
                  <c:v>0.04</c:v>
                </c:pt>
                <c:pt idx="11">
                  <c:v>0.06</c:v>
                </c:pt>
                <c:pt idx="12">
                  <c:v>0.08</c:v>
                </c:pt>
                <c:pt idx="13">
                  <c:v>0.1</c:v>
                </c:pt>
                <c:pt idx="14">
                  <c:v>0.12</c:v>
                </c:pt>
                <c:pt idx="15">
                  <c:v>0.14</c:v>
                </c:pt>
                <c:pt idx="16">
                  <c:v>0.16</c:v>
                </c:pt>
                <c:pt idx="17">
                  <c:v>0.18</c:v>
                </c:pt>
                <c:pt idx="18">
                  <c:v>0.2</c:v>
                </c:pt>
                <c:pt idx="19">
                  <c:v>0.22</c:v>
                </c:pt>
                <c:pt idx="20">
                  <c:v>0.24</c:v>
                </c:pt>
                <c:pt idx="21">
                  <c:v>0.26</c:v>
                </c:pt>
                <c:pt idx="22">
                  <c:v>0.28</c:v>
                </c:pt>
                <c:pt idx="23">
                  <c:v>0.3</c:v>
                </c:pt>
              </c:numCache>
            </c:numRef>
          </c:xVal>
          <c:yVal>
            <c:numRef>
              <c:f>'Analysis'!$AI$47:$AI$70</c:f>
              <c:numCache>
                <c:formatCode>General</c:formatCode>
                <c:ptCount val="24"/>
                <c:pt idx="0">
                  <c:v>0.9871170143402453</c:v>
                </c:pt>
                <c:pt idx="1">
                  <c:v>0.9901515035589251</c:v>
                </c:pt>
                <c:pt idx="2">
                  <c:v>0.9927738916792685</c:v>
                </c:pt>
                <c:pt idx="3">
                  <c:v>0.99498743710662</c:v>
                </c:pt>
                <c:pt idx="4">
                  <c:v>0.996794863550169</c:v>
                </c:pt>
                <c:pt idx="5">
                  <c:v>0.9981983770774224</c:v>
                </c:pt>
                <c:pt idx="6">
                  <c:v>0.9991996797437437</c:v>
                </c:pt>
                <c:pt idx="7">
                  <c:v>0.999799979995999</c:v>
                </c:pt>
                <c:pt idx="8">
                  <c:v>1.0</c:v>
                </c:pt>
                <c:pt idx="9">
                  <c:v>0.999799979995999</c:v>
                </c:pt>
                <c:pt idx="10">
                  <c:v>0.9991996797437437</c:v>
                </c:pt>
                <c:pt idx="11">
                  <c:v>0.9981983770774224</c:v>
                </c:pt>
                <c:pt idx="12">
                  <c:v>0.996794863550169</c:v>
                </c:pt>
                <c:pt idx="13">
                  <c:v>0.99498743710662</c:v>
                </c:pt>
                <c:pt idx="14">
                  <c:v>0.9927738916792685</c:v>
                </c:pt>
                <c:pt idx="15">
                  <c:v>0.9901515035589251</c:v>
                </c:pt>
                <c:pt idx="16">
                  <c:v>0.9871170143402453</c:v>
                </c:pt>
                <c:pt idx="17">
                  <c:v>0.983666610188635</c:v>
                </c:pt>
                <c:pt idx="18">
                  <c:v>0.9797958971132712</c:v>
                </c:pt>
                <c:pt idx="19">
                  <c:v>0.9754998718605759</c:v>
                </c:pt>
                <c:pt idx="20">
                  <c:v>0.9707728879609278</c:v>
                </c:pt>
                <c:pt idx="21">
                  <c:v>0.9656086163658649</c:v>
                </c:pt>
                <c:pt idx="22">
                  <c:v>0.96</c:v>
                </c:pt>
                <c:pt idx="23">
                  <c:v>0.9539392014169457</c:v>
                </c:pt>
              </c:numCache>
            </c:numRef>
          </c:yVal>
          <c:smooth val="1"/>
        </c:ser>
        <c:ser>
          <c:idx val="4"/>
          <c:order val="4"/>
          <c:spPr>
            <a:ln w="300000" cap="rnd">
              <a:solidFill>
                <a:srgbClr val="DC3639"/>
              </a:solidFill>
              <a:prstDash val="solid"/>
            </a:ln>
          </c:spPr>
          <c:marker>
            <c:symbol val="none"/>
          </c:marker>
          <c:xVal>
            <c:numRef>
              <c:f>'Analysis'!$AH$70:$AH$105</c:f>
              <c:numCache>
                <c:formatCode>General</c:formatCode>
                <c:ptCount val="36"/>
                <c:pt idx="0">
                  <c:v>0.3</c:v>
                </c:pt>
                <c:pt idx="1">
                  <c:v>0.32</c:v>
                </c:pt>
                <c:pt idx="2">
                  <c:v>0.34</c:v>
                </c:pt>
                <c:pt idx="3">
                  <c:v>0.36</c:v>
                </c:pt>
                <c:pt idx="4">
                  <c:v>0.38</c:v>
                </c:pt>
                <c:pt idx="5">
                  <c:v>0.4</c:v>
                </c:pt>
                <c:pt idx="6">
                  <c:v>0.42</c:v>
                </c:pt>
                <c:pt idx="7">
                  <c:v>0.44</c:v>
                </c:pt>
                <c:pt idx="8">
                  <c:v>0.46</c:v>
                </c:pt>
                <c:pt idx="9">
                  <c:v>0.48</c:v>
                </c:pt>
                <c:pt idx="10">
                  <c:v>0.5</c:v>
                </c:pt>
                <c:pt idx="11">
                  <c:v>0.52</c:v>
                </c:pt>
                <c:pt idx="12">
                  <c:v>0.54</c:v>
                </c:pt>
                <c:pt idx="13">
                  <c:v>0.56</c:v>
                </c:pt>
                <c:pt idx="14">
                  <c:v>0.58</c:v>
                </c:pt>
                <c:pt idx="15">
                  <c:v>0.6</c:v>
                </c:pt>
                <c:pt idx="16">
                  <c:v>0.62</c:v>
                </c:pt>
                <c:pt idx="17">
                  <c:v>0.64</c:v>
                </c:pt>
                <c:pt idx="18">
                  <c:v>0.66</c:v>
                </c:pt>
                <c:pt idx="19">
                  <c:v>0.68</c:v>
                </c:pt>
                <c:pt idx="20">
                  <c:v>0.7</c:v>
                </c:pt>
                <c:pt idx="21">
                  <c:v>0.72</c:v>
                </c:pt>
                <c:pt idx="22">
                  <c:v>0.74</c:v>
                </c:pt>
                <c:pt idx="23">
                  <c:v>0.76</c:v>
                </c:pt>
                <c:pt idx="24">
                  <c:v>0.78</c:v>
                </c:pt>
                <c:pt idx="25">
                  <c:v>0.8</c:v>
                </c:pt>
                <c:pt idx="26">
                  <c:v>0.82</c:v>
                </c:pt>
                <c:pt idx="27">
                  <c:v>0.84</c:v>
                </c:pt>
                <c:pt idx="28">
                  <c:v>0.86</c:v>
                </c:pt>
                <c:pt idx="29">
                  <c:v>0.88</c:v>
                </c:pt>
                <c:pt idx="30">
                  <c:v>0.9</c:v>
                </c:pt>
                <c:pt idx="31">
                  <c:v>0.92</c:v>
                </c:pt>
                <c:pt idx="32">
                  <c:v>0.94</c:v>
                </c:pt>
                <c:pt idx="33">
                  <c:v>0.96</c:v>
                </c:pt>
                <c:pt idx="34">
                  <c:v>0.98</c:v>
                </c:pt>
                <c:pt idx="35">
                  <c:v>1.0</c:v>
                </c:pt>
              </c:numCache>
            </c:numRef>
          </c:xVal>
          <c:yVal>
            <c:numRef>
              <c:f>'Analysis'!$AI$70:$AI$105</c:f>
              <c:numCache>
                <c:formatCode>General</c:formatCode>
                <c:ptCount val="36"/>
                <c:pt idx="0">
                  <c:v>0.9539392014169457</c:v>
                </c:pt>
                <c:pt idx="1">
                  <c:v>0.9474175425861608</c:v>
                </c:pt>
                <c:pt idx="2">
                  <c:v>0.9404254356406998</c:v>
                </c:pt>
                <c:pt idx="3">
                  <c:v>0.9329523031752481</c:v>
                </c:pt>
                <c:pt idx="4">
                  <c:v>0.9249864863877743</c:v>
                </c:pt>
                <c:pt idx="5">
                  <c:v>0.916515138991168</c:v>
                </c:pt>
                <c:pt idx="6">
                  <c:v>0.9075241043630742</c:v>
                </c:pt>
                <c:pt idx="7">
                  <c:v>0.8979977728257459</c:v>
                </c:pt>
                <c:pt idx="8">
                  <c:v>0.8879189152169246</c:v>
                </c:pt>
                <c:pt idx="9">
                  <c:v>0.8772684879784524</c:v>
                </c:pt>
                <c:pt idx="10">
                  <c:v>0.8660254037844386</c:v>
                </c:pt>
                <c:pt idx="11">
                  <c:v>0.854166260162505</c:v>
                </c:pt>
                <c:pt idx="12">
                  <c:v>0.8416650165000324</c:v>
                </c:pt>
                <c:pt idx="13">
                  <c:v>0.8284926070883191</c:v>
                </c:pt>
                <c:pt idx="14">
                  <c:v>0.8146164741766521</c:v>
                </c:pt>
                <c:pt idx="15">
                  <c:v>0.8</c:v>
                </c:pt>
                <c:pt idx="16">
                  <c:v>0.7846018098373212</c:v>
                </c:pt>
                <c:pt idx="17">
                  <c:v>0.7683749084919419</c:v>
                </c:pt>
                <c:pt idx="18">
                  <c:v>0.751265598839718</c:v>
                </c:pt>
                <c:pt idx="19">
                  <c:v>0.7332121111929343</c:v>
                </c:pt>
                <c:pt idx="20">
                  <c:v>0.714142842854285</c:v>
                </c:pt>
                <c:pt idx="21">
                  <c:v>0.6939740629158989</c:v>
                </c:pt>
                <c:pt idx="22">
                  <c:v>0.6726068688320095</c:v>
                </c:pt>
                <c:pt idx="23">
                  <c:v>0.6499230723708769</c:v>
                </c:pt>
                <c:pt idx="24">
                  <c:v>0.6257795138864806</c:v>
                </c:pt>
                <c:pt idx="25">
                  <c:v>0.5999999999999999</c:v>
                </c:pt>
                <c:pt idx="26">
                  <c:v>0.5723635208501675</c:v>
                </c:pt>
                <c:pt idx="27">
                  <c:v>0.5425863986500216</c:v>
                </c:pt>
                <c:pt idx="28">
                  <c:v>0.510294032886923</c:v>
                </c:pt>
                <c:pt idx="29">
                  <c:v>0.4749736834815167</c:v>
                </c:pt>
                <c:pt idx="30">
                  <c:v>0.4358898943540673</c:v>
                </c:pt>
                <c:pt idx="31">
                  <c:v>0.39191835884530846</c:v>
                </c:pt>
                <c:pt idx="32">
                  <c:v>0.3411744421846397</c:v>
                </c:pt>
                <c:pt idx="33">
                  <c:v>0.28</c:v>
                </c:pt>
                <c:pt idx="34">
                  <c:v>0.1989974874213242</c:v>
                </c:pt>
                <c:pt idx="35">
                  <c:v>0.0</c:v>
                </c:pt>
              </c:numCache>
            </c:numRef>
          </c:yVal>
          <c:smooth val="1"/>
        </c:ser>
        <c:ser>
          <c:idx val="5"/>
          <c:order val="5"/>
          <c:spPr>
            <a:ln w="24000" cap="rnd">
              <a:solidFill>
                <a:srgbClr val="0F172A"/>
              </a:solidFill>
              <a:prstDash val="solid"/>
            </a:ln>
          </c:spPr>
          <c:marker>
            <c:symbol val="none"/>
          </c:marker>
          <c:dPt>
            <c:idx val="1"/>
            <c:marker>
              <c:symbol val="circle"/>
              <c:size val="11"/>
              <c:spPr>
                <a:solidFill>
                  <a:srgbClr val="0F172A"/>
                </a:solidFill>
                <a:ln>
                  <a:noFill/>
                </a:ln>
              </c:spPr>
            </c:marker>
          </c:dPt>
          <c:xVal>
            <c:numRef>
              <c:f>'Analysis'!$AH$2:$AH$3</c:f>
              <c:numCache>
                <c:formatCode>General</c:formatCode>
                <c:ptCount val="2"/>
                <c:pt idx="0">
                  <c:v>-0.8235325976284275</c:v>
                </c:pt>
                <c:pt idx="1">
                  <c:v>0.0</c:v>
                </c:pt>
              </c:numCache>
            </c:numRef>
          </c:xVal>
          <c:yVal>
            <c:numRef>
              <c:f>'Analysis'!$AI$2:$AI$3</c:f>
              <c:numCache>
                <c:formatCode>General</c:formatCode>
                <c:ptCount val="2"/>
                <c:pt idx="0">
                  <c:v>0.5672689491267565</c:v>
                </c:pt>
                <c:pt idx="1">
                  <c:v>0.0</c:v>
                </c:pt>
              </c:numCache>
            </c:numRef>
          </c:yVal>
          <c:smooth val="0"/>
        </c:ser>
        <c:axId val="100001"/>
        <c:axId val="100002"/>
      </c:scatterChart>
      <c:valAx>
        <c:axId val="100001"/>
        <c:scaling>
          <c:orientation val="minMax"/>
          <c:max val="1.12"/>
          <c:min val="-1.12"/>
        </c:scaling>
        <c:delete val="1"/>
        <c:axPos val="b"/>
        <c:majorTickMark val="none"/>
        <c:minorTickMark val="none"/>
        <c:tickLblPos val="none"/>
        <c:crossAx val="100002"/>
        <c:crosses val="autoZero"/>
        <c:crossBetween val="midCat"/>
      </c:valAx>
      <c:valAx>
        <c:axId val="100002"/>
        <c:scaling>
          <c:orientation val="minMax"/>
          <c:max val="1.12"/>
          <c:min val="-0.08"/>
        </c:scaling>
        <c:delete val="1"/>
        <c:axPos val="l"/>
        <c:majorTickMark val="none"/>
        <c:minorTickMark val="none"/>
        <c:tickLblPos val="none"/>
        <c:crossAx val="100001"/>
        <c:crosses val="autoZero"/>
        <c:crossBetween val="midCat"/>
      </c:valAx>
    </c:plotArea>
    <c:plotVisOnly val="0"/>
    <c:dispBlanksAs val="zero"/>
    <c:showDLblsOverMax val="1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 sz="1100" b="1">
                <a:latin typeface="Arial"/>
                <a:ea typeface="Arial"/>
                <a:cs typeface="Arial"/>
              </a:rPr>
              <a:t>Aging Distribution Profile (VND)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Filtered Balance</c:v>
          </c:tx>
          <c:spPr>
            <a:solidFill>
              <a:srgbClr val="304991"/>
            </a:solidFill>
            <a:ln>
              <a:noFill/>
            </a:ln>
          </c:spPr>
          <c:invertIfNegative val="1"/>
          <c:dPt>
            <c:idx val="0"/>
            <c:spPr>
              <a:solidFill>
                <a:srgbClr val="304991"/>
              </a:solidFill>
            </c:spPr>
          </c:dPt>
          <c:dPt>
            <c:idx val="1"/>
            <c:spPr>
              <a:solidFill>
                <a:srgbClr val="94A3B8"/>
              </a:solidFill>
            </c:spPr>
          </c:dPt>
          <c:dPt>
            <c:idx val="2"/>
            <c:spPr>
              <a:solidFill>
                <a:srgbClr val="D98412"/>
              </a:solidFill>
            </c:spPr>
          </c:dPt>
          <c:dPt>
            <c:idx val="3"/>
            <c:spPr>
              <a:solidFill>
                <a:srgbClr val="F66A19"/>
              </a:solidFill>
            </c:spPr>
          </c:dPt>
          <c:dPt>
            <c:idx val="4"/>
            <c:spPr>
              <a:solidFill>
                <a:srgbClr val="DC3639"/>
              </a:solidFill>
            </c:spPr>
          </c:dPt>
          <c:dPt>
            <c:idx val="5"/>
            <c:spPr>
              <a:solidFill>
                <a:srgbClr val="B91C1C"/>
              </a:solidFill>
            </c:spPr>
          </c:dPt>
          <c:dPt>
            <c:idx val="6"/>
            <c:spPr>
              <a:solidFill>
                <a:srgbClr val="991B1B"/>
              </a:solidFill>
            </c:spPr>
          </c:dPt>
          <c:dLbls>
            <c:dLbl>
              <c:idx val="0"/>
              <c:tx>
                <c:strRef>
                  <c:f>'Analysis'!$BB$38</c:f>
                  <c:strCache>
                    <c:ptCount val="1"/>
                    <c:pt idx="0">
                      <c:v>41.22B</c:v>
                    </c:pt>
                  </c:strCache>
                </c:strRef>
              </c:tx>
              <c:numFmt formatCode="[&gt;=1000000000]0.00,,,&quot; tỷ&quot;;[&gt;=1000000]0.00,,&quot; tr&quot;;0.00,&quot;k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 anchorCtr="1">
                  <a:spAutoFit/>
                </a:bodyPr>
                <a:lstStyle/>
                <a:p>
                  <a:pPr>
                    <a:defRPr sz="800" b="1">
                      <a:solidFill>
                        <a:srgbClr val="30343B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{85314D07-5047-4FD9-9727-FB2FFBF09948}</c15:txfldGUID>
                      <c15:f>'Analysis'!$BB$38</c15:f>
                      <c15:dlblFieldTableCache>
                        <c:ptCount val="1"/>
                        <c:pt idx="0">
                          <c:v>39.35B VND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87CC-4C2A-B5B5-774812BB6E55}"/>
                </c:ext>
              </c:extLst>
            </c:dLbl>
            <c:dLbl>
              <c:idx val="1"/>
              <c:tx>
                <c:strRef>
                  <c:f>'Analysis'!$BB$39</c:f>
                  <c:strCache>
                    <c:ptCount val="1"/>
                    <c:pt idx="0">
                      <c:v>36.9M</c:v>
                    </c:pt>
                  </c:strCache>
                </c:strRef>
              </c:tx>
              <c:numFmt formatCode="[&gt;=1000000000]0.00,,,&quot; tỷ&quot;;[&gt;=1000000]0.00,,&quot; tr&quot;;0.00,&quot;k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 anchorCtr="1">
                  <a:spAutoFit/>
                </a:bodyPr>
                <a:lstStyle/>
                <a:p>
                  <a:pPr>
                    <a:defRPr sz="800" b="1">
                      <a:solidFill>
                        <a:srgbClr val="30343B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{19DFB259-1298-4B1A-9B8B-0F8A647F9146}</c15:txfldGUID>
                      <c15:f>'Analysis'!$BB$39</c15:f>
                      <c15:dlblFieldTableCache>
                        <c:ptCount val="1"/>
                        <c:pt idx="0">
                          <c:v>35.22M VND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87CC-4C2A-B5B5-774812BB6E55}"/>
                </c:ext>
              </c:extLst>
            </c:dLbl>
            <c:dLbl>
              <c:idx val="2"/>
              <c:tx>
                <c:strRef>
                  <c:f>'Analysis'!$BB$40</c:f>
                  <c:strCache>
                    <c:ptCount val="1"/>
                    <c:pt idx="0">
                      <c:v>5.24B</c:v>
                    </c:pt>
                  </c:strCache>
                </c:strRef>
              </c:tx>
              <c:numFmt formatCode="[&gt;=1000000000]0.00,,,&quot; tỷ&quot;;[&gt;=1000000]0.00,,&quot; tr&quot;;0.00,&quot;k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 anchorCtr="1">
                  <a:spAutoFit/>
                </a:bodyPr>
                <a:lstStyle/>
                <a:p>
                  <a:pPr>
                    <a:defRPr sz="800" b="1">
                      <a:solidFill>
                        <a:srgbClr val="30343B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{003DBC05-5D6B-4894-AE3D-36637B57F3F8}</c15:txfldGUID>
                      <c15:f>'Analysis'!$BB$40</c15:f>
                      <c15:dlblFieldTableCache>
                        <c:ptCount val="1"/>
                        <c:pt idx="0">
                          <c:v>5B VND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87CC-4C2A-B5B5-774812BB6E55}"/>
                </c:ext>
              </c:extLst>
            </c:dLbl>
            <c:dLbl>
              <c:idx val="3"/>
              <c:tx>
                <c:strRef>
                  <c:f>'Analysis'!$BB$41</c:f>
                  <c:strCache>
                    <c:ptCount val="1"/>
                    <c:pt idx="0">
                      <c:v>545.7M</c:v>
                    </c:pt>
                  </c:strCache>
                </c:strRef>
              </c:tx>
              <c:numFmt formatCode="[&gt;=1000000000]0.00,,,&quot; tỷ&quot;;[&gt;=1000000]0.00,,&quot; tr&quot;;0.00,&quot;k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 anchorCtr="1">
                  <a:spAutoFit/>
                </a:bodyPr>
                <a:lstStyle/>
                <a:p>
                  <a:pPr>
                    <a:defRPr sz="800" b="1">
                      <a:solidFill>
                        <a:srgbClr val="30343B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{FF0A8749-9625-4E49-94AA-7D3A08863668}</c15:txfldGUID>
                      <c15:f>'Analysis'!$BB$41</c15:f>
                      <c15:dlblFieldTableCache>
                        <c:ptCount val="1"/>
                        <c:pt idx="0">
                          <c:v>521.04M VND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87CC-4C2A-B5B5-774812BB6E55}"/>
                </c:ext>
              </c:extLst>
            </c:dLbl>
            <c:dLbl>
              <c:idx val="4"/>
              <c:tx>
                <c:strRef>
                  <c:f>'Analysis'!$BB$42</c:f>
                  <c:strCache>
                    <c:ptCount val="1"/>
                    <c:pt idx="0">
                      <c:v>4.02B</c:v>
                    </c:pt>
                  </c:strCache>
                </c:strRef>
              </c:tx>
              <c:numFmt formatCode="[&gt;=1000000000]0.00,,,&quot; tỷ&quot;;[&gt;=1000000]0.00,,&quot; tr&quot;;0.00,&quot;k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 anchorCtr="1">
                  <a:spAutoFit/>
                </a:bodyPr>
                <a:lstStyle/>
                <a:p>
                  <a:pPr>
                    <a:defRPr sz="800" b="1">
                      <a:solidFill>
                        <a:srgbClr val="30343B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{2D4718B8-FC3A-420C-81E9-17F7DE91EEBD}</c15:txfldGUID>
                      <c15:f>'Analysis'!$BB$42</c15:f>
                      <c15:dlblFieldTableCache>
                        <c:ptCount val="1"/>
                        <c:pt idx="0">
                          <c:v>3.84B VND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87CC-4C2A-B5B5-774812BB6E55}"/>
                </c:ext>
              </c:extLst>
            </c:dLbl>
            <c:dLbl>
              <c:idx val="5"/>
              <c:delete val="1"/>
            </c:dLbl>
            <c:dLbl>
              <c:idx val="6"/>
              <c:delete val="1"/>
            </c:dLbl>
            <c:numFmt formatCode="[&gt;=1000000000]0.00,,,&quot;B&quot;;[&gt;=1000000]0.0,,&quot;M&quot;;0,&quot;K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'Analysis'!$CB$38:$CB$44</c:f>
              <c:strCache>
                <c:ptCount val="7"/>
                <c:pt idx="0">
                  <c:v>Current
(not due)</c:v>
                </c:pt>
                <c:pt idx="1">
                  <c:v>Due
today</c:v>
                </c:pt>
                <c:pt idx="2">
                  <c:v>1–30d
overdue</c:v>
                </c:pt>
                <c:pt idx="3">
                  <c:v>31–60d
overdue</c:v>
                </c:pt>
                <c:pt idx="4">
                  <c:v>61–90d
&gt;60 days</c:v>
                </c:pt>
                <c:pt idx="5">
                  <c:v>91–180d
&gt;60 days</c:v>
                </c:pt>
                <c:pt idx="6">
                  <c:v>&gt;180d
&gt;60 days</c:v>
                </c:pt>
              </c:strCache>
            </c:strRef>
          </c:cat>
          <c:val>
            <c:numRef>
              <c:f>'Analysis'!$B$38:$B$44</c:f>
              <c:numCache>
                <c:formatCode>General</c:formatCode>
                <c:ptCount val="7"/>
                <c:pt idx="0">
                  <c:v>41216259755.0</c:v>
                </c:pt>
                <c:pt idx="1">
                  <c:v>36887245.0</c:v>
                </c:pt>
                <c:pt idx="2">
                  <c:v>5235411407.0</c:v>
                </c:pt>
                <c:pt idx="3">
                  <c:v>545684593.0</c:v>
                </c:pt>
                <c:pt idx="4">
                  <c:v>4021632000.0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87CC-4C2A-B5B5-774812BB6E55}"/>
            </c:ext>
          </c:extLst>
        </c:ser>
        <c:dLbls>
          <c:txPr>
            <a:bodyPr/>
            <a:lstStyle/>
            <a:p>
              <a:pPr>
                <a:defRPr sz="800" b="0">
                  <a:latin typeface="Arial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 sz="800" b="0">
                <a:latin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[&gt;=1000000000]0.00,,,&quot;B&quot;;[&gt;=1000000]0.0,,&quot;M&quot;;0,&quot;K&quot;" sourceLinked="0"/>
        <c:majorTickMark val="none"/>
        <c:minorTickMark val="none"/>
        <c:tickLblPos val="nextTo"/>
        <c:txPr>
          <a:bodyPr/>
          <a:lstStyle/>
          <a:p>
            <a:pPr>
              <a:defRPr sz="800" b="0">
                <a:latin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0"/>
    <c:dispBlanksAs val="zero"/>
    <c:showDLblsOverMax val="1"/>
  </c:chart>
  <c:spPr>
    <a:ln w="9525">
      <a:noFill/>
    </a:ln>
  </c:spPr>
  <c:txPr>
    <a:bodyPr/>
    <a:lstStyle/>
    <a:p>
      <a:pPr>
        <a:defRPr sz="900" b="0">
          <a:latin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vi-VN" sz="1100" b="1">
                <a:latin typeface="Arial"/>
                <a:ea typeface="Arial"/>
                <a:cs typeface="Arial"/>
              </a:rPr>
              <a:t>Enterprise Customer Risk Exposure (VND)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Current / In-Term</c:v>
          </c:tx>
          <c:spPr>
            <a:solidFill>
              <a:srgbClr val="94A3B8"/>
            </a:solidFill>
            <a:ln>
              <a:noFill/>
            </a:ln>
          </c:spPr>
          <c:invertIfNegative val="1"/>
          <c:dLbls>
            <c:dLbl>
              <c:idx val="0"/>
              <c:tx>
                <c:strRef>
                  <c:f>'Analysis'!$CC$170</c:f>
                  <c:strCache>
                    <c:ptCount val="1"/>
                    <c:pt idx="0">
                      <c:v/>
                    </c:pt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strRef>
                  <c:f>'Analysis'!$CC$171</c:f>
                  <c:strCache>
                    <c:ptCount val="1"/>
                    <c:pt idx="0">
                      <c:v/>
                    </c:pt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strRef>
                  <c:f>'Analysis'!$CC$172</c:f>
                  <c:strCache>
                    <c:ptCount val="1"/>
                    <c:pt idx="0">
                      <c:v>36.50B</c:v>
                    </c:pt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strRef>
                  <c:f>'Analysis'!$CC$173</c:f>
                  <c:strCache>
                    <c:ptCount val="1"/>
                    <c:pt idx="0">
                      <c:v/>
                    </c:pt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tx>
                <c:strRef>
                  <c:f>'Analysis'!$CC$174</c:f>
                  <c:strCache>
                    <c:ptCount val="1"/>
                    <c:pt idx="0">
                      <c:v/>
                    </c:pt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strRef>
                  <c:f>'Analysis'!$CC$175</c:f>
                  <c:strCache>
                    <c:ptCount val="1"/>
                    <c:pt idx="0">
                      <c:v/>
                    </c:pt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tx>
                <c:strRef>
                  <c:f>'Analysis'!$CC$176</c:f>
                  <c:strCache>
                    <c:ptCount val="1"/>
                    <c:pt idx="0">
                      <c:v/>
                    </c:pt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'Analysis'!$CA$170:$CA$176</c:f>
              <c:strCache>
                <c:ptCount val="7"/>
                <c:pt idx="0">
                  <c:v>Client Beta</c:v>
                </c:pt>
                <c:pt idx="1">
                  <c:v>Client Delta</c:v>
                </c:pt>
                <c:pt idx="2">
                  <c:v>Client Alpha</c:v>
                </c:pt>
                <c:pt idx="3">
                  <c:v>Client Alpha (SC)</c:v>
                </c:pt>
                <c:pt idx="4">
                  <c:v>Client Epsilon</c:v>
                </c:pt>
                <c:pt idx="5">
                  <c:v>Client Zeta</c:v>
                </c:pt>
                <c:pt idx="6">
                  <c:v>Client Gamma</c:v>
                </c:pt>
              </c:strCache>
            </c:strRef>
          </c:cat>
          <c:val>
            <c:numRef>
              <c:f>'Analysis'!$D$170:$D$176</c:f>
              <c:numCache>
                <c:formatCode>General</c:formatCode>
                <c:ptCount val="7"/>
                <c:pt idx="0">
                  <c:v>450339000.0</c:v>
                </c:pt>
                <c:pt idx="1">
                  <c:v>2283113999.0</c:v>
                </c:pt>
                <c:pt idx="2">
                  <c:v>36498405001.0</c:v>
                </c:pt>
                <c:pt idx="3">
                  <c:v>1977501387.0</c:v>
                </c:pt>
                <c:pt idx="4">
                  <c:v>43462950.0</c:v>
                </c:pt>
                <c:pt idx="5">
                  <c:v>324663.0</c:v>
                </c:pt>
                <c:pt idx="6">
                  <c:v>0.0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DD67-4775-BB6F-38E88333B9AB}"/>
            </c:ext>
          </c:extLst>
        </c:ser>
        <c:ser>
          <c:idx val="1"/>
          <c:order val="1"/>
          <c:tx>
            <c:v>Overdue &amp; Doubtful</c:v>
          </c:tx>
          <c:spPr>
            <a:solidFill>
              <a:srgbClr val="B91C1C"/>
            </a:solidFill>
            <a:ln>
              <a:noFill/>
            </a:ln>
          </c:spPr>
          <c:invertIfNegative val="1"/>
          <c:dLbls>
            <c:dLbl>
              <c:idx val="0"/>
              <c:tx>
                <c:strRef>
                  <c:f>'Analysis'!$CD$170</c:f>
                  <c:strCache>
                    <c:ptCount val="1"/>
                    <c:pt idx="0">
                      <c:v/>
                    </c:pt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strRef>
                  <c:f>'Analysis'!$CD$171</c:f>
                  <c:strCache>
                    <c:ptCount val="1"/>
                    <c:pt idx="0">
                      <c:v/>
                    </c:pt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strRef>
                  <c:f>'Analysis'!$CD$172</c:f>
                  <c:strCache>
                    <c:ptCount val="1"/>
                    <c:pt idx="0">
                      <c:v/>
                    </c:pt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strRef>
                  <c:f>'Analysis'!$CD$173</c:f>
                  <c:strCache>
                    <c:ptCount val="1"/>
                    <c:pt idx="0">
                      <c:v/>
                    </c:pt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tx>
                <c:strRef>
                  <c:f>'Analysis'!$CD$174</c:f>
                  <c:strCache>
                    <c:ptCount val="1"/>
                    <c:pt idx="0">
                      <c:v/>
                    </c:pt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strRef>
                  <c:f>'Analysis'!$CD$175</c:f>
                  <c:strCache>
                    <c:ptCount val="1"/>
                    <c:pt idx="0">
                      <c:v/>
                    </c:pt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tx>
                <c:strRef>
                  <c:f>'Analysis'!$CD$176</c:f>
                  <c:strCache>
                    <c:ptCount val="1"/>
                    <c:pt idx="0">
                      <c:v/>
                    </c:pt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'Analysis'!$CA$170:$CA$176</c:f>
              <c:strCache>
                <c:ptCount val="7"/>
                <c:pt idx="0">
                  <c:v>Client Beta</c:v>
                </c:pt>
                <c:pt idx="1">
                  <c:v>Client Delta</c:v>
                </c:pt>
                <c:pt idx="2">
                  <c:v>Client Alpha</c:v>
                </c:pt>
                <c:pt idx="3">
                  <c:v>Client Alpha (SC)</c:v>
                </c:pt>
                <c:pt idx="4">
                  <c:v>Client Epsilon</c:v>
                </c:pt>
                <c:pt idx="5">
                  <c:v>Client Zeta</c:v>
                </c:pt>
                <c:pt idx="6">
                  <c:v>Client Gamma</c:v>
                </c:pt>
              </c:strCache>
            </c:strRef>
          </c:cat>
          <c:val>
            <c:numRef>
              <c:f>'Analysis'!$E$170:$E$176</c:f>
              <c:numCache>
                <c:formatCode>General</c:formatCode>
                <c:ptCount val="7"/>
                <c:pt idx="0">
                  <c:v>1550004001.0</c:v>
                </c:pt>
                <c:pt idx="1">
                  <c:v>0.0</c:v>
                </c:pt>
                <c:pt idx="2">
                  <c:v>2555411999.0</c:v>
                </c:pt>
                <c:pt idx="3">
                  <c:v>1675680000.0</c:v>
                </c:pt>
                <c:pt idx="4">
                  <c:v>0.0</c:v>
                </c:pt>
                <c:pt idx="5">
                  <c:v>0.0</c:v>
                </c:pt>
                <c:pt idx="6">
                  <c:v>4021632000.0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DD67-4775-BB6F-38E88333B9AB}"/>
            </c:ext>
          </c:extLst>
        </c:ser>
        <c:dLbls>
          <c:txPr>
            <a:bodyPr/>
            <a:lstStyle/>
            <a:p>
              <a:pPr>
                <a:defRPr sz="800" b="0">
                  <a:latin typeface="Arial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1"/>
        </c:dLbls>
        <c:gapWidth val="110"/>
        <c:overlap val="100"/>
        <c:axId val="48650112"/>
        <c:axId val="48672768"/>
      </c:barChart>
      <c:lineChart>
        <c:grouping val="standard"/>
        <c:ser>
          <c:idx val="20"/>
          <c:order val="20"/>
          <c:tx>
            <c:v>Label placement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strRef>
                  <c:f>'Analysis'!$CE$170</c:f>
                  <c:strCache>
                    <c:ptCount val="1"/>
                    <c:pt idx="0">
                      <c:v>450.34M</c:v>
                    </c:pt>
                  </c:strCache>
                </c:strRef>
              </c:tx>
              <c:spPr>
                <a:solidFill>
                  <a:srgbClr val="94A3B8">
                    <a:alpha val="30000"/>
                  </a:srgbClr>
                </a:solidFill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strRef>
                  <c:f>'Analysis'!$CE$171</c:f>
                  <c:strCache>
                    <c:ptCount val="1"/>
                    <c:pt idx="0">
                      <c:v>2.28B</c:v>
                    </c:pt>
                  </c:strCache>
                </c:strRef>
              </c:tx>
              <c:spPr>
                <a:solidFill>
                  <a:srgbClr val="94A3B8">
                    <a:alpha val="30000"/>
                  </a:srgbClr>
                </a:solidFill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strRef>
                  <c:f>'Analysis'!$CE$172</c:f>
                  <c:strCache>
                    <c:ptCount val="1"/>
                    <c:pt idx="0">
                      <c:v/>
                    </c:pt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strRef>
                  <c:f>'Analysis'!$CE$173</c:f>
                  <c:strCache>
                    <c:ptCount val="1"/>
                    <c:pt idx="0">
                      <c:v>1.98B</c:v>
                    </c:pt>
                  </c:strCache>
                </c:strRef>
              </c:tx>
              <c:spPr>
                <a:solidFill>
                  <a:srgbClr val="94A3B8">
                    <a:alpha val="30000"/>
                  </a:srgbClr>
                </a:solidFill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tx>
                <c:strRef>
                  <c:f>'Analysis'!$CE$174</c:f>
                  <c:strCache>
                    <c:ptCount val="1"/>
                    <c:pt idx="0">
                      <c:v>43.46M</c:v>
                    </c:pt>
                  </c:strCache>
                </c:strRef>
              </c:tx>
              <c:spPr>
                <a:solidFill>
                  <a:srgbClr val="94A3B8">
                    <a:alpha val="30000"/>
                  </a:srgbClr>
                </a:solidFill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strRef>
                  <c:f>'Analysis'!$CE$175</c:f>
                  <c:strCache>
                    <c:ptCount val="1"/>
                    <c:pt idx="0">
                      <c:v>324.66K</c:v>
                    </c:pt>
                  </c:strCache>
                </c:strRef>
              </c:tx>
              <c:spPr>
                <a:solidFill>
                  <a:srgbClr val="94A3B8">
                    <a:alpha val="30000"/>
                  </a:srgbClr>
                </a:solidFill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tx>
                <c:strRef>
                  <c:f>'Analysis'!$CE$176</c:f>
                  <c:strCache>
                    <c:ptCount val="1"/>
                    <c:pt idx="0">
                      <c:v/>
                    </c:pt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'Analysis'!$CA$170:$CA$176</c:f>
              <c:strCache>
                <c:ptCount val="7"/>
                <c:pt idx="0">
                  <c:v>Client Beta</c:v>
                </c:pt>
                <c:pt idx="1">
                  <c:v>Client Delta</c:v>
                </c:pt>
                <c:pt idx="2">
                  <c:v>Client Alpha</c:v>
                </c:pt>
                <c:pt idx="3">
                  <c:v>Client Alpha (SC)</c:v>
                </c:pt>
                <c:pt idx="4">
                  <c:v>Client Epsilon</c:v>
                </c:pt>
                <c:pt idx="5">
                  <c:v>Client Zeta</c:v>
                </c:pt>
                <c:pt idx="6">
                  <c:v>Client Gamma</c:v>
                </c:pt>
              </c:strCache>
            </c:strRef>
          </c:cat>
          <c:val>
            <c:numRef>
              <c:f>'Analysis'!$CG$170:$CG$176</c:f>
              <c:numCache>
                <c:formatCode>General</c:formatCode>
                <c:ptCount val="7"/>
                <c:pt idx="0">
                  <c:v>3171957511.0</c:v>
                </c:pt>
                <c:pt idx="1">
                  <c:v>3454728509.0</c:v>
                </c:pt>
                <c:pt idx="2">
                  <c:v>0</c:v>
                </c:pt>
                <c:pt idx="3">
                  <c:v>4824795897.0</c:v>
                </c:pt>
                <c:pt idx="4">
                  <c:v>1215077460.0</c:v>
                </c:pt>
                <c:pt idx="5">
                  <c:v>1171939173.0</c:v>
                </c:pt>
                <c:pt idx="6">
                  <c:v>0</c:v>
                </c:pt>
              </c:numCache>
            </c:numRef>
          </c:val>
          <c:smooth val="0"/>
        </c:ser>
        <c:ser>
          <c:idx val="21"/>
          <c:order val="21"/>
          <c:tx>
            <c:v>Label placement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strRef>
                  <c:f>'Analysis'!$CF$170</c:f>
                  <c:strCache>
                    <c:ptCount val="1"/>
                    <c:pt idx="0">
                      <c:v>1.55B</c:v>
                    </c:pt>
                  </c:strCache>
                </c:strRef>
              </c:tx>
              <c:spPr>
                <a:solidFill>
                  <a:srgbClr val="B91C1C">
                    <a:alpha val="30000"/>
                  </a:srgbClr>
                </a:solidFill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strRef>
                  <c:f>'Analysis'!$CF$171</c:f>
                  <c:strCache>
                    <c:ptCount val="1"/>
                    <c:pt idx="0">
                      <c:v/>
                    </c:pt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strRef>
                  <c:f>'Analysis'!$CF$172</c:f>
                  <c:strCache>
                    <c:ptCount val="1"/>
                    <c:pt idx="0">
                      <c:v>2.56B</c:v>
                    </c:pt>
                  </c:strCache>
                </c:strRef>
              </c:tx>
              <c:spPr>
                <a:solidFill>
                  <a:srgbClr val="B91C1C">
                    <a:alpha val="30000"/>
                  </a:srgbClr>
                </a:solidFill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strRef>
                  <c:f>'Analysis'!$CF$173</c:f>
                  <c:strCache>
                    <c:ptCount val="1"/>
                    <c:pt idx="0">
                      <c:v>1.68B</c:v>
                    </c:pt>
                  </c:strCache>
                </c:strRef>
              </c:tx>
              <c:spPr>
                <a:solidFill>
                  <a:srgbClr val="B91C1C">
                    <a:alpha val="30000"/>
                  </a:srgbClr>
                </a:solidFill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tx>
                <c:strRef>
                  <c:f>'Analysis'!$CF$174</c:f>
                  <c:strCache>
                    <c:ptCount val="1"/>
                    <c:pt idx="0">
                      <c:v/>
                    </c:pt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strRef>
                  <c:f>'Analysis'!$CF$175</c:f>
                  <c:strCache>
                    <c:ptCount val="1"/>
                    <c:pt idx="0">
                      <c:v/>
                    </c:pt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tx>
                <c:strRef>
                  <c:f>'Analysis'!$CF$176</c:f>
                  <c:strCache>
                    <c:ptCount val="1"/>
                    <c:pt idx="0">
                      <c:v>4.02B</c:v>
                    </c:pt>
                  </c:strCache>
                </c:strRef>
              </c:tx>
              <c:spPr>
                <a:solidFill>
                  <a:srgbClr val="B91C1C">
                    <a:alpha val="30000"/>
                  </a:srgbClr>
                </a:solidFill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'Analysis'!$CA$170:$CA$176</c:f>
              <c:strCache>
                <c:ptCount val="7"/>
                <c:pt idx="0">
                  <c:v>Client Beta</c:v>
                </c:pt>
                <c:pt idx="1">
                  <c:v>Client Delta</c:v>
                </c:pt>
                <c:pt idx="2">
                  <c:v>Client Alpha</c:v>
                </c:pt>
                <c:pt idx="3">
                  <c:v>Client Alpha (SC)</c:v>
                </c:pt>
                <c:pt idx="4">
                  <c:v>Client Epsilon</c:v>
                </c:pt>
                <c:pt idx="5">
                  <c:v>Client Zeta</c:v>
                </c:pt>
                <c:pt idx="6">
                  <c:v>Client Gamma</c:v>
                </c:pt>
              </c:strCache>
            </c:strRef>
          </c:cat>
          <c:val>
            <c:numRef>
              <c:f>'Analysis'!$CH$170:$CH$176</c:f>
              <c:numCache>
                <c:formatCode>General</c:formatCode>
                <c:ptCount val="7"/>
                <c:pt idx="0">
                  <c:v>5905724701.0</c:v>
                </c:pt>
                <c:pt idx="1">
                  <c:v>0</c:v>
                </c:pt>
                <c:pt idx="2">
                  <c:v>40225431510.0</c:v>
                </c:pt>
                <c:pt idx="3">
                  <c:v>7558563087.0</c:v>
                </c:pt>
                <c:pt idx="4">
                  <c:v>0</c:v>
                </c:pt>
                <c:pt idx="5">
                  <c:v>0</c:v>
                </c:pt>
                <c:pt idx="6">
                  <c:v>5193246510.0</c:v>
                </c:pt>
              </c:numCache>
            </c:numRef>
          </c:val>
          <c:smooth val="0"/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 sz="800" b="0">
                <a:latin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[&gt;=1000000000]0.00,,,&quot;B&quot;;[&gt;=1000000]0.0,,&quot;M&quot;;0,&quot;K&quot;" sourceLinked="0"/>
        <c:majorTickMark val="none"/>
        <c:minorTickMark val="none"/>
        <c:tickLblPos val="nextTo"/>
        <c:txPr>
          <a:bodyPr/>
          <a:lstStyle/>
          <a:p>
            <a:pPr>
              <a:defRPr sz="800" b="0">
                <a:latin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Entry>
        <c:idx val="3"/>
        <c:delete val="1"/>
      </c:legendEntry>
      <c:legendEntry>
        <c:idx val="2"/>
        <c:delete val="1"/>
      </c:legendEntry>
      <c:legendPos val="b"/>
      <c:overlay val="0"/>
      <c:txPr>
        <a:bodyPr/>
        <a:lstStyle/>
        <a:p>
          <a:pPr>
            <a:defRPr sz="800" b="0">
              <a:latin typeface="Arial"/>
            </a:defRPr>
          </a:pPr>
          <a:endParaRPr lang="en-US"/>
        </a:p>
      </c:txPr>
    </c:legend>
    <c:plotVisOnly val="0"/>
    <c:dispBlanksAs val="zero"/>
    <c:showDLblsOverMax val="1"/>
  </c:chart>
  <c:spPr>
    <a:ln w="9525">
      <a:noFill/>
    </a:ln>
  </c:spPr>
  <c:txPr>
    <a:bodyPr/>
    <a:lstStyle/>
    <a:p>
      <a:pPr>
        <a:defRPr sz="900" b="0">
          <a:latin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vi-VN" sz="1100" b="1">
                <a:latin typeface="Arial"/>
                <a:ea typeface="Arial"/>
                <a:cs typeface="Arial"/>
              </a:rPr>
              <a:t>Sales Representative Portfolio Accountability (VND)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Current / In-Term</c:v>
          </c:tx>
          <c:spPr>
            <a:solidFill>
              <a:srgbClr val="94A3B8"/>
            </a:solidFill>
            <a:ln>
              <a:noFill/>
            </a:ln>
          </c:spPr>
          <c:invertIfNegative val="1"/>
          <c:dLbls>
            <c:dLbl>
              <c:idx val="0"/>
              <c:tx>
                <c:strRef>
                  <c:f>'Analysis'!$BT$170</c:f>
                  <c:strCache>
                    <c:ptCount val="1"/>
                    <c:pt idx="0">
                      <c:v>10.51B</c:v>
                    </c:pt>
                  </c:strCache>
                </c:strRef>
              </c:tx>
              <c:numFmt formatCode="[&gt;=1000000000]0.00,,,&quot; tỷ&quot;;[&gt;=1000000]0.00,,&quot; tr&quot;;0.00,&quot;k&quot;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 anchorCtr="1">
                  <a:spAutoFit/>
                </a:bodyPr>
                <a:lstStyle/>
                <a:p>
                  <a:pPr algn="ctr">
                    <a:defRPr sz="800" b="1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{4BA83B96-B305-47C9-8D71-33976402B60D}</c15:txfldGUID>
                      <c15:f>'Analysis'!$BT$170</c15:f>
                      <c15:dlblFieldTableCache>
                        <c:ptCount val="1"/>
                        <c:pt idx="0">
                          <c:v>10.03B VND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7036-4D60-BAD6-201848087796}"/>
                </c:ext>
              </c:extLst>
            </c:dLbl>
            <c:dLbl>
              <c:idx val="1"/>
              <c:tx>
                <c:strRef>
                  <c:f>'Analysis'!$BT$171</c:f>
                  <c:strCache>
                    <c:ptCount val="1"/>
                    <c:pt idx="0">
                      <c:v>28.42B</c:v>
                    </c:pt>
                  </c:strCache>
                </c:strRef>
              </c:tx>
              <c:numFmt formatCode="[&gt;=1000000000]0.00,,,&quot; tỷ&quot;;[&gt;=1000000]0.00,,&quot; tr&quot;;0.00,&quot;k&quot;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 anchorCtr="1">
                  <a:spAutoFit/>
                </a:bodyPr>
                <a:lstStyle/>
                <a:p>
                  <a:pPr algn="ctr">
                    <a:defRPr sz="800" b="1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{15325C63-3AD7-4F98-B85E-6CB832B79D36}</c15:txfldGUID>
                      <c15:f>'Analysis'!$BT$171</c15:f>
                      <c15:dlblFieldTableCache>
                        <c:ptCount val="1"/>
                        <c:pt idx="0">
                          <c:v>27.13B VND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7036-4D60-BAD6-201848087796}"/>
                </c:ext>
              </c:extLst>
            </c:dLbl>
            <c:dLbl>
              <c:idx val="2"/>
              <c:tx>
                <c:strRef>
                  <c:f>'Analysis'!$BT$172</c:f>
                  <c:strCache>
                    <c:ptCount val="1"/>
                    <c:pt idx="0">
                      <c:v>2.28B</c:v>
                    </c:pt>
                  </c:strCache>
                </c:strRef>
              </c:tx>
              <c:numFmt formatCode="[&gt;=1000000000]0.00,,,&quot; tỷ&quot;;[&gt;=1000000]0.00,,&quot; tr&quot;;0.00,&quot;k&quot;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 anchorCtr="1">
                  <a:spAutoFit/>
                </a:bodyPr>
                <a:lstStyle/>
                <a:p>
                  <a:pPr algn="ctr">
                    <a:defRPr sz="800" b="1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{72784481-2351-4010-A4F8-B5FB732298B5}</c15:txfldGUID>
                      <c15:f>'Analysis'!$BT$172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7036-4D60-BAD6-201848087796}"/>
                </c:ext>
              </c:extLst>
            </c:dLbl>
            <c:dLbl>
              <c:idx val="3"/>
              <c:tx>
                <c:strRef>
                  <c:f>'Analysis'!$BT$173</c:f>
                  <c:strCache>
                    <c:ptCount val="1"/>
                    <c:pt idx="0">
                      <c:v>43.5M</c:v>
                    </c:pt>
                  </c:strCache>
                </c:strRef>
              </c:tx>
              <c:numFmt formatCode="[&gt;=1000000000]0.00,,,&quot; tỷ&quot;;[&gt;=1000000]0.00,,&quot; tr&quot;;0.00,&quot;k&quot;" sourceLinked="0"/>
              <c:spPr>
                <a:noFill/>
                <a:ln>
                  <a:noFill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rgbClr val="9CA3AF">
                          <a:alpha val="30000"/>
                        </a:srgbClr>
                      </a:solidFill>
                    </a14:hiddenFill>
                  </a:ext>
                </a:extLst>
              </c:spPr>
              <c:txPr>
                <a:bodyPr wrap="none" lIns="12700" tIns="12700" rIns="12700" bIns="12700" anchor="ctr" anchorCtr="1">
                  <a:spAutoFit/>
                </a:bodyPr>
                <a:lstStyle/>
                <a:p>
                  <a:pPr algn="ctr">
                    <a:defRPr sz="800" b="1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>
                        <a:gd name="adj" fmla="val 25000"/>
                      </a:avLst>
                    </a:prstGeom>
                  </c15:spPr>
                  <c15:dlblFieldTable>
                    <c15:dlblFTEntry>
                      <c15:txfldGUID>{39BEE2C6-AC4D-4395-BEF1-8FA29B3E8666}</c15:txfldGUID>
                      <c15:f>'Analysis'!$BT$173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7036-4D60-BAD6-201848087796}"/>
                </c:ext>
              </c:extLst>
            </c:dLbl>
            <c:dLbl>
              <c:idx val="4"/>
              <c:tx>
                <c:strRef>
                  <c:f>'Analysis'!$BT$174</c:f>
                  <c:strCache>
                    <c:ptCount val="1"/>
                    <c:pt idx="0">
                      <c:v>325K</c:v>
                    </c:pt>
                  </c:strCache>
                </c:strRef>
              </c:tx>
              <c:numFmt formatCode="[&gt;=1000000000]0.00,,,&quot; tỷ&quot;;[&gt;=1000000]0.00,,&quot; tr&quot;;0.00,&quot;k&quot;" sourceLinked="0"/>
              <c:spPr>
                <a:noFill/>
                <a:ln>
                  <a:noFill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rgbClr val="9CA3AF">
                          <a:alpha val="30000"/>
                        </a:srgbClr>
                      </a:solidFill>
                    </a14:hiddenFill>
                  </a:ext>
                </a:extLst>
              </c:spPr>
              <c:txPr>
                <a:bodyPr wrap="none" lIns="12700" tIns="12700" rIns="12700" bIns="12700" anchor="ctr" anchorCtr="1">
                  <a:spAutoFit/>
                </a:bodyPr>
                <a:lstStyle/>
                <a:p>
                  <a:pPr algn="ctr">
                    <a:defRPr sz="800" b="1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>
                        <a:gd name="adj" fmla="val 25000"/>
                      </a:avLst>
                    </a:prstGeom>
                  </c15:spPr>
                  <c15:dlblFieldTable>
                    <c15:dlblFTEntry>
                      <c15:txfldGUID>{194EE2FA-B5A3-4EDF-83A5-701371F18117}</c15:txfldGUID>
                      <c15:f>'Analysis'!$BT$174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7036-4D60-BAD6-201848087796}"/>
                </c:ext>
              </c:extLst>
            </c:dLbl>
            <c:dLbl>
              <c:idx val="5"/>
              <c:delete val="1"/>
            </c:dLbl>
            <c:dLbl>
              <c:idx val="6"/>
              <c:numFmt formatCode="[&gt;=1000000000]0.00,,,&quot; tỷ&quot;;[&gt;=1000000]0.00,,&quot; tr&quot;;0.00,&quot;k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 anchorCtr="1">
                  <a:spAutoFit/>
                </a:bodyPr>
                <a:lstStyle/>
                <a:p>
                  <a:pPr>
                    <a:defRPr sz="800" b="1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036-4D60-BAD6-201848087796}"/>
                </c:ext>
              </c:extLst>
            </c:dLbl>
            <c:numFmt formatCode="[&gt;=1000000000]0.00,,,&quot;B&quot;;[&gt;=1000000]0.0,,&quot;M&quot;;0,&quot;K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'Analysis'!$G$170:$G$175</c:f>
              <c:strCache>
                <c:ptCount val="6"/>
                <c:pt idx="0">
                  <c:v>Senior Sales Rep 1</c:v>
                </c:pt>
                <c:pt idx="1">
                  <c:v>Senior Sales Rep 2</c:v>
                </c:pt>
                <c:pt idx="2">
                  <c:v>Sales Rep 6</c:v>
                </c:pt>
                <c:pt idx="3">
                  <c:v>Sales Rep 4</c:v>
                </c:pt>
                <c:pt idx="4">
                  <c:v>Sales Rep 5</c:v>
                </c:pt>
                <c:pt idx="5">
                  <c:v>Sales Rep 3</c:v>
                </c:pt>
              </c:strCache>
            </c:strRef>
          </c:cat>
          <c:val>
            <c:numRef>
              <c:f>'Analysis'!$J$170:$J$175</c:f>
              <c:numCache>
                <c:formatCode>General</c:formatCode>
                <c:ptCount val="6"/>
                <c:pt idx="0">
                  <c:v>10509252379.0</c:v>
                </c:pt>
                <c:pt idx="1">
                  <c:v>28416993009.0</c:v>
                </c:pt>
                <c:pt idx="2">
                  <c:v>2283113999.0</c:v>
                </c:pt>
                <c:pt idx="3">
                  <c:v>43462950.0</c:v>
                </c:pt>
                <c:pt idx="4">
                  <c:v>324663.0</c:v>
                </c:pt>
                <c:pt idx="5">
                  <c:v>0.0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7036-4D60-BAD6-201848087796}"/>
            </c:ext>
          </c:extLst>
        </c:ser>
        <c:ser>
          <c:idx val="1"/>
          <c:order val="1"/>
          <c:tx>
            <c:v>Overdue &amp; Doubtful</c:v>
          </c:tx>
          <c:spPr>
            <a:solidFill>
              <a:srgbClr val="B91C1C"/>
            </a:solidFill>
            <a:ln>
              <a:noFill/>
            </a:ln>
          </c:spPr>
          <c:invertIfNegative val="1"/>
          <c:dLbls>
            <c:dLbl>
              <c:idx val="0"/>
              <c:tx>
                <c:strRef>
                  <c:f>'Analysis'!$BU$170</c:f>
                  <c:strCache>
                    <c:ptCount val="1"/>
                    <c:pt idx="0">
                      <c:v>4.11B</c:v>
                    </c:pt>
                  </c:strCache>
                </c:strRef>
              </c:tx>
              <c:numFmt formatCode="[&gt;=1000000000]0.00,,,&quot; tỷ&quot;;[&gt;=1000000]0.00,,&quot; tr&quot;;0.00,&quot;k&quot;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 anchorCtr="1">
                  <a:spAutoFit/>
                </a:bodyPr>
                <a:lstStyle/>
                <a:p>
                  <a:pPr algn="ctr">
                    <a:defRPr sz="800" b="1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{6D9D80CC-198A-483B-B55E-07636D35BDBE}</c15:txfldGUID>
                      <c15:f>'Analysis'!$BU$170</c15:f>
                      <c15:dlblFieldTableCache>
                        <c:ptCount val="1"/>
                        <c:pt idx="0">
                          <c:v>3.92B VND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7036-4D60-BAD6-201848087796}"/>
                </c:ext>
              </c:extLst>
            </c:dLbl>
            <c:dLbl>
              <c:idx val="1"/>
              <c:tx>
                <c:strRef>
                  <c:f>'Analysis'!$BU$171</c:f>
                  <c:strCache>
                    <c:ptCount val="1"/>
                    <c:pt idx="0">
                      <c:v>1.68B</c:v>
                    </c:pt>
                  </c:strCache>
                </c:strRef>
              </c:tx>
              <c:numFmt formatCode="[&gt;=1000000000]0.00,,,&quot; tỷ&quot;;[&gt;=1000000]0.00,,&quot; tr&quot;;0.00,&quot;k&quot;" sourceLinked="0"/>
              <c:spPr>
                <a:noFill/>
                <a:ln>
                  <a:noFill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rgbClr val="B91C1C">
                          <a:alpha val="30000"/>
                        </a:srgbClr>
                      </a:solidFill>
                    </a14:hiddenFill>
                  </a:ext>
                </a:extLst>
              </c:spPr>
              <c:txPr>
                <a:bodyPr wrap="none" lIns="12700" tIns="12700" rIns="12700" bIns="12700" anchor="ctr" anchorCtr="1">
                  <a:spAutoFit/>
                </a:bodyPr>
                <a:lstStyle/>
                <a:p>
                  <a:pPr algn="ctr">
                    <a:defRPr sz="800" b="1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>
                        <a:gd name="adj" fmla="val 25000"/>
                      </a:avLst>
                    </a:prstGeom>
                  </c15:spPr>
                  <c15:dlblFieldTable>
                    <c15:dlblFTEntry>
                      <c15:txfldGUID>{8A700AD5-EB26-432C-9300-A6934B29407F}</c15:txfldGUID>
                      <c15:f>'Analysis'!$BU$171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7036-4D60-BAD6-201848087796}"/>
                </c:ext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tx>
                <c:strRef>
                  <c:f>'Analysis'!$BU$175</c:f>
                  <c:strCache>
                    <c:ptCount val="1"/>
                    <c:pt idx="0">
                      <c:v>4.02B</c:v>
                    </c:pt>
                  </c:strCache>
                </c:strRef>
              </c:tx>
              <c:numFmt formatCode="[&gt;=1000000000]0.00,,,&quot; tỷ&quot;;[&gt;=1000000]0.00,,&quot; tr&quot;;0.00,&quot;k&quot;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 anchorCtr="1">
                  <a:spAutoFit/>
                </a:bodyPr>
                <a:lstStyle/>
                <a:p>
                  <a:pPr algn="ctr">
                    <a:defRPr sz="800" b="1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{3BC62B64-FD85-41D3-8F3F-449587D7C6FD}</c15:txfldGUID>
                      <c15:f>'Analysis'!$BU$175</c15:f>
                      <c15:dlblFieldTableCache>
                        <c:ptCount val="1"/>
                        <c:pt idx="0">
                          <c:v>3.84B VND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7036-4D60-BAD6-201848087796}"/>
                </c:ext>
              </c:extLst>
            </c:dLbl>
            <c:dLbl>
              <c:idx val="6"/>
              <c:numFmt formatCode="[&gt;=1000000000]0.00,,,&quot; tỷ&quot;;[&gt;=1000000]0.00,,&quot; tr&quot;;0.00,&quot;k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 anchorCtr="1">
                  <a:spAutoFit/>
                </a:bodyPr>
                <a:lstStyle/>
                <a:p>
                  <a:pPr>
                    <a:defRPr sz="800" b="1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036-4D60-BAD6-201848087796}"/>
                </c:ext>
              </c:extLst>
            </c:dLbl>
            <c:numFmt formatCode="[&gt;=1000000000]0.00,,,&quot;B&quot;;[&gt;=1000000]0.0,,&quot;M&quot;;0,&quot;K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'Analysis'!$G$170:$G$175</c:f>
              <c:strCache>
                <c:ptCount val="6"/>
                <c:pt idx="0">
                  <c:v>Senior Sales Rep 1</c:v>
                </c:pt>
                <c:pt idx="1">
                  <c:v>Senior Sales Rep 2</c:v>
                </c:pt>
                <c:pt idx="2">
                  <c:v>Sales Rep 6</c:v>
                </c:pt>
                <c:pt idx="3">
                  <c:v>Sales Rep 4</c:v>
                </c:pt>
                <c:pt idx="4">
                  <c:v>Sales Rep 5</c:v>
                </c:pt>
                <c:pt idx="5">
                  <c:v>Sales Rep 3</c:v>
                </c:pt>
              </c:strCache>
            </c:strRef>
          </c:cat>
          <c:val>
            <c:numRef>
              <c:f>'Analysis'!$K$170:$K$175</c:f>
              <c:numCache>
                <c:formatCode>General</c:formatCode>
                <c:ptCount val="6"/>
                <c:pt idx="0">
                  <c:v>4105416000.0</c:v>
                </c:pt>
                <c:pt idx="1">
                  <c:v>1675680000.0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4021632000.0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7036-4D60-BAD6-201848087796}"/>
            </c:ext>
          </c:extLst>
        </c:ser>
        <c:dLbls>
          <c:txPr>
            <a:bodyPr/>
            <a:lstStyle/>
            <a:p>
              <a:pPr>
                <a:defRPr sz="800" b="0">
                  <a:latin typeface="Arial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1"/>
        </c:dLbls>
        <c:gapWidth val="125"/>
        <c:overlap val="100"/>
        <c:axId val="48650112"/>
        <c:axId val="48672768"/>
      </c:barChart>
      <c:catAx>
        <c:axId val="48650112"/>
        <c:scaling>
          <c:orientation val="maxMin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 sz="800" b="0">
                <a:latin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[&gt;=1000000000]0.00,,,&quot;B&quot;;[&gt;=1000000]0.0,,&quot;M&quot;;0,&quot;K&quot;" sourceLinked="0"/>
        <c:majorTickMark val="none"/>
        <c:minorTickMark val="none"/>
        <c:tickLblPos val="nextTo"/>
        <c:txPr>
          <a:bodyPr/>
          <a:lstStyle/>
          <a:p>
            <a:pPr>
              <a:defRPr sz="800" b="0">
                <a:latin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txPr>
        <a:bodyPr/>
        <a:lstStyle/>
        <a:p>
          <a:pPr>
            <a:defRPr sz="800" b="0">
              <a:latin typeface="Arial"/>
            </a:defRPr>
          </a:pPr>
          <a:endParaRPr lang="en-US"/>
        </a:p>
      </c:txPr>
    </c:legend>
    <c:plotVisOnly val="0"/>
    <c:dispBlanksAs val="zero"/>
    <c:showDLblsOverMax val="1"/>
  </c:chart>
  <c:spPr>
    <a:ln w="9525">
      <a:noFill/>
    </a:ln>
  </c:spPr>
  <c:txPr>
    <a:bodyPr/>
    <a:lstStyle/>
    <a:p>
      <a:pPr>
        <a:defRPr sz="900" b="0">
          <a:latin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 sz="1100" b="1">
                <a:latin typeface="Arial"/>
                <a:ea typeface="Arial"/>
                <a:cs typeface="Arial"/>
              </a:rPr>
              <a:t>Upcoming Due in Next 30 Days (VND)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Filtered Balance</c:v>
          </c:tx>
          <c:spPr>
            <a:solidFill>
              <a:srgbClr val="304991"/>
            </a:solidFill>
            <a:ln>
              <a:noFill/>
            </a:ln>
          </c:spPr>
          <c:invertIfNegative val="1"/>
          <c:dLbls>
            <c:dLbl>
              <c:idx val="0"/>
              <c:tx>
                <c:strRef>
                  <c:f>'Analysis'!$BC$48</c:f>
                  <c:strCache>
                    <c:ptCount val="1"/>
                    <c:pt idx="0">
                      <c:v>621.93M VND</c:v>
                    </c:pt>
                  </c:strCache>
                </c:strRef>
              </c:tx>
              <c:numFmt formatCode="0.00,,,;\-0.00,,,;&quot;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 anchorCtr="1">
                  <a:spAutoFit/>
                </a:bodyPr>
                <a:lstStyle/>
                <a:p>
                  <a:pPr>
                    <a:defRPr sz="800" b="1">
                      <a:solidFill>
                        <a:srgbClr val="30343B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{C904EDA0-DA6B-489C-8A80-489D5FFA6CF4}</c15:txfldGUID>
                      <c15:f>'Analysis'!$BC$48</c15:f>
                      <c15:dlblFieldTableCache>
                        <c:ptCount val="1"/>
                        <c:pt idx="0">
                          <c:v>621.93M VND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BE50-4219-9E2A-21CA87D735EC}"/>
                </c:ext>
              </c:extLst>
            </c:dLbl>
            <c:dLbl>
              <c:idx val="1"/>
              <c:tx>
                <c:strRef>
                  <c:f>'Analysis'!$BC$49</c:f>
                  <c:strCache>
                    <c:ptCount val="1"/>
                    <c:pt idx="0">
                      <c:v>3.02B VND</c:v>
                    </c:pt>
                  </c:strCache>
                </c:strRef>
              </c:tx>
              <c:numFmt formatCode="0.00,,,;\-0.00,,,;&quot;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 anchorCtr="1">
                  <a:spAutoFit/>
                </a:bodyPr>
                <a:lstStyle/>
                <a:p>
                  <a:pPr>
                    <a:defRPr sz="800" b="1">
                      <a:solidFill>
                        <a:srgbClr val="30343B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{645B3FBE-C44F-4DF6-946A-07B0CC6CA6FE}</c15:txfldGUID>
                      <c15:f>'Analysis'!$BC$49</c15:f>
                      <c15:dlblFieldTableCache>
                        <c:ptCount val="1"/>
                        <c:pt idx="0">
                          <c:v>3.02B VND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BE50-4219-9E2A-21CA87D735EC}"/>
                </c:ext>
              </c:extLst>
            </c:dLbl>
            <c:dLbl>
              <c:idx val="2"/>
              <c:delete val="1"/>
            </c:dLbl>
            <c:dLbl>
              <c:idx val="3"/>
              <c:tx>
                <c:strRef>
                  <c:f>'Analysis'!$BC$51</c:f>
                  <c:strCache>
                    <c:ptCount val="1"/>
                    <c:pt idx="0">
                      <c:v>471.81M VND</c:v>
                    </c:pt>
                  </c:strCache>
                </c:strRef>
              </c:tx>
              <c:numFmt formatCode="0.00,,,;\-0.00,,,;&quot;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 anchorCtr="1">
                  <a:spAutoFit/>
                </a:bodyPr>
                <a:lstStyle/>
                <a:p>
                  <a:pPr>
                    <a:defRPr sz="800" b="1">
                      <a:solidFill>
                        <a:srgbClr val="30343B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{E89BA762-22D3-4FED-82C4-EA4A9C0D3D98}</c15:txfldGUID>
                      <c15:f>'Analysis'!$BC$51</c15:f>
                      <c15:dlblFieldTableCache>
                        <c:ptCount val="1"/>
                        <c:pt idx="0">
                          <c:v>471.81M VND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BE50-4219-9E2A-21CA87D735EC}"/>
                </c:ext>
              </c:extLst>
            </c:dLbl>
            <c:dLbl>
              <c:idx val="4"/>
              <c:tx>
                <c:strRef>
                  <c:f>'Analysis'!$BC$52</c:f>
                  <c:strCache>
                    <c:ptCount val="1"/>
                    <c:pt idx="0">
                      <c:v>890.10M VND</c:v>
                    </c:pt>
                  </c:strCache>
                </c:strRef>
              </c:tx>
              <c:numFmt formatCode="0.00,,,;\-0.00,,,;&quot;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 anchorCtr="1">
                  <a:spAutoFit/>
                </a:bodyPr>
                <a:lstStyle/>
                <a:p>
                  <a:pPr>
                    <a:defRPr sz="800" b="1">
                      <a:solidFill>
                        <a:srgbClr val="30343B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{5F1567E1-FB61-4A54-9DD4-AC547E3EE358}</c15:txfldGUID>
                      <c15:f>'Analysis'!$BC$52</c15:f>
                      <c15:dlblFieldTableCache>
                        <c:ptCount val="1"/>
                        <c:pt idx="0">
                          <c:v>890.10M VND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BE50-4219-9E2A-21CA87D735EC}"/>
                </c:ext>
              </c:extLst>
            </c:dLbl>
            <c:numFmt formatCode="[&gt;=1000000000]0.00,,,&quot;B&quot;;[&gt;=1000000]0.0,,&quot;M&quot;;0,&quot;K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'Analysis'!$A$48:$A$52</c:f>
              <c:strCache>
                <c:ptCount val="5"/>
                <c:pt idx="0">
                  <c:v>Days 0–6</c:v>
                </c:pt>
                <c:pt idx="1">
                  <c:v>Days 7–13</c:v>
                </c:pt>
                <c:pt idx="2">
                  <c:v>Days 14–20</c:v>
                </c:pt>
                <c:pt idx="3">
                  <c:v>Days 21–27</c:v>
                </c:pt>
                <c:pt idx="4">
                  <c:v>Days 28–30</c:v>
                </c:pt>
              </c:strCache>
            </c:strRef>
          </c:cat>
          <c:val>
            <c:numRef>
              <c:f>'Analysis'!$B$48:$B$52</c:f>
              <c:numCache>
                <c:formatCode>General</c:formatCode>
                <c:ptCount val="5"/>
                <c:pt idx="0">
                  <c:v>651346787.3433</c:v>
                </c:pt>
                <c:pt idx="1">
                  <c:v>3159449851.1681995</c:v>
                </c:pt>
                <c:pt idx="2">
                  <c:v>0.0</c:v>
                </c:pt>
                <c:pt idx="3">
                  <c:v>494126612.99999994</c:v>
                </c:pt>
                <c:pt idx="4">
                  <c:v>932204904.3662999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BE50-4219-9E2A-21CA87D735EC}"/>
            </c:ext>
          </c:extLst>
        </c:ser>
        <c:dLbls>
          <c:txPr>
            <a:bodyPr/>
            <a:lstStyle/>
            <a:p>
              <a:pPr>
                <a:defRPr sz="800" b="0">
                  <a:latin typeface="Arial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1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 sz="800" b="0">
                <a:latin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[&gt;=1000000000]0.00,,,&quot;B&quot;;[&gt;=1000000]0.0,,&quot;M&quot;;0,&quot;K&quot;" sourceLinked="0"/>
        <c:majorTickMark val="none"/>
        <c:minorTickMark val="none"/>
        <c:tickLblPos val="nextTo"/>
        <c:txPr>
          <a:bodyPr/>
          <a:lstStyle/>
          <a:p>
            <a:pPr>
              <a:defRPr sz="800" b="0">
                <a:latin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0"/>
    <c:dispBlanksAs val="zero"/>
    <c:showDLblsOverMax val="1"/>
  </c:chart>
  <c:spPr>
    <a:ln w="9525">
      <a:noFill/>
    </a:ln>
  </c:spPr>
  <c:txPr>
    <a:bodyPr/>
    <a:lstStyle/>
    <a:p>
      <a:pPr>
        <a:defRPr sz="900" b="0">
          <a:latin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 sz="1100" b="1">
                <a:latin typeface="Arial"/>
                <a:ea typeface="Arial"/>
                <a:cs typeface="Arial"/>
              </a:rPr>
              <a:t>Average Overdue Days by Sales Representative (Days)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Average Overdue Days</c:v>
          </c:tx>
          <c:spPr>
            <a:solidFill>
              <a:srgbClr val="304991"/>
            </a:solidFill>
            <a:ln>
              <a:noFill/>
            </a:ln>
          </c:spPr>
          <c:invertIfNegative val="1"/>
          <c:dLbls>
            <c:numFmt formatCode="0&quot; days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  <c:dLbl>
              <c:idx val="0"/>
              <c:tx>
                <c:strRef>
                  <c:f>'Analysis'!$CI$170</c:f>
                  <c:strCache>
                    <c:ptCount val="1"/>
                    <c:pt idx="0">
                      <c:v>13.04 days</c:v>
                    </c:pt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strRef>
                  <c:f>'Analysis'!$CI$171</c:f>
                  <c:strCache>
                    <c:ptCount val="1"/>
                    <c:pt idx="0">
                      <c:v>16.71 days</c:v>
                    </c:pt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strRef>
                  <c:f>'Analysis'!$CI$172</c:f>
                  <c:strCache>
                    <c:ptCount val="1"/>
                    <c:pt idx="0">
                      <c:v/>
                    </c:pt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strRef>
                  <c:f>'Analysis'!$CI$173</c:f>
                  <c:strCache>
                    <c:ptCount val="1"/>
                    <c:pt idx="0">
                      <c:v/>
                    </c:pt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tx>
                <c:strRef>
                  <c:f>'Analysis'!$CI$174</c:f>
                  <c:strCache>
                    <c:ptCount val="1"/>
                    <c:pt idx="0">
                      <c:v/>
                    </c:pt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strRef>
                  <c:f>'Analysis'!$CI$175</c:f>
                  <c:strCache>
                    <c:ptCount val="1"/>
                    <c:pt idx="0">
                      <c:v>76 days</c:v>
                    </c:pt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</c:dLbls>
          <c:cat>
            <c:strRef>
              <c:f>'Analysis'!$BF$170:$BF$175</c:f>
              <c:strCache>
                <c:ptCount val="6"/>
                <c:pt idx="0">
                  <c:v>Senior Sales Rep 1</c:v>
                </c:pt>
                <c:pt idx="1">
                  <c:v>Senior Sales Rep 2</c:v>
                </c:pt>
                <c:pt idx="2">
                  <c:v>Sales Rep 6</c:v>
                </c:pt>
                <c:pt idx="3">
                  <c:v>Sales Rep 4</c:v>
                </c:pt>
                <c:pt idx="4">
                  <c:v>Sales Rep 5</c:v>
                </c:pt>
                <c:pt idx="5">
                  <c:v>Sales Rep 3</c:v>
                </c:pt>
              </c:strCache>
            </c:strRef>
          </c:cat>
          <c:val>
            <c:numRef>
              <c:f>'Analysis'!$BG$170:$BG$175</c:f>
              <c:numCache>
                <c:formatCode>General</c:formatCode>
                <c:ptCount val="6"/>
                <c:pt idx="0">
                  <c:v>13.042532815316973</c:v>
                </c:pt>
                <c:pt idx="1">
                  <c:v>16.70918235625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76.0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D3E-4D32-A816-61562B6FD8F5}"/>
            </c:ext>
          </c:extLst>
        </c:ser>
        <c:dLbls>
          <c:txPr>
            <a:bodyPr/>
            <a:lstStyle/>
            <a:p>
              <a:pPr>
                <a:defRPr sz="800" b="0">
                  <a:latin typeface="Arial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1"/>
          <c:dLbl>
            <c:idx val="0"/>
            <c:tx>
              <c:strRef>
                <c:f>'Analysis'!$CI$170</c:f>
                <c:strCache>
                  <c:ptCount val="1"/>
                  <c:pt idx="0">
                    <c:v>13.04 days</c:v>
                  </c:pt>
                </c:strCache>
              </c:strRef>
            </c:tx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1">
                    <a:solidFill>
                      <a:srgbClr val="0F172A"/>
                    </a:solidFill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>
          <c:dLbl>
            <c:idx val="1"/>
            <c:tx>
              <c:strRef>
                <c:f>'Analysis'!$CI$171</c:f>
                <c:strCache>
                  <c:ptCount val="1"/>
                  <c:pt idx="0">
                    <c:v>16.71 days</c:v>
                  </c:pt>
                </c:strCache>
              </c:strRef>
            </c:tx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1">
                    <a:solidFill>
                      <a:srgbClr val="0F172A"/>
                    </a:solidFill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>
          <c:dLbl>
            <c:idx val="2"/>
            <c:tx>
              <c:strRef>
                <c:f>'Analysis'!$CI$172</c:f>
                <c:strCache>
                  <c:ptCount val="1"/>
                  <c:pt idx="0">
                    <c:v/>
                  </c:pt>
                </c:strCache>
              </c:strRef>
            </c:tx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1">
                    <a:solidFill>
                      <a:srgbClr val="0F172A"/>
                    </a:solidFill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>
          <c:dLbl>
            <c:idx val="3"/>
            <c:tx>
              <c:strRef>
                <c:f>'Analysis'!$CI$173</c:f>
                <c:strCache>
                  <c:ptCount val="1"/>
                  <c:pt idx="0">
                    <c:v/>
                  </c:pt>
                </c:strCache>
              </c:strRef>
            </c:tx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1">
                    <a:solidFill>
                      <a:srgbClr val="0F172A"/>
                    </a:solidFill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>
          <c:dLbl>
            <c:idx val="4"/>
            <c:tx>
              <c:strRef>
                <c:f>'Analysis'!$CI$174</c:f>
                <c:strCache>
                  <c:ptCount val="1"/>
                  <c:pt idx="0">
                    <c:v/>
                  </c:pt>
                </c:strCache>
              </c:strRef>
            </c:tx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1">
                    <a:solidFill>
                      <a:srgbClr val="0F172A"/>
                    </a:solidFill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>
          <c:dLbl>
            <c:idx val="5"/>
            <c:tx>
              <c:strRef>
                <c:f>'Analysis'!$CI$175</c:f>
                <c:strCache>
                  <c:ptCount val="1"/>
                  <c:pt idx="0">
                    <c:v>76 days</c:v>
                  </c:pt>
                </c:strCache>
              </c:strRef>
            </c:tx>
            <c:spPr>
              <a:noFill/>
              <a:ln>
                <a:noFill/>
              </a:ln>
            </c:spPr>
            <c:txPr>
              <a:bodyPr wrap="none"/>
              <a:lstStyle/>
              <a:p>
                <a:pPr>
                  <a:defRPr sz="800" b="1">
                    <a:solidFill>
                      <a:srgbClr val="0F172A"/>
                    </a:solidFill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rot="0"/>
          <a:lstStyle/>
          <a:p>
            <a:pPr>
              <a:defRPr sz="800" b="0">
                <a:latin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9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/>
          <a:lstStyle/>
          <a:p>
            <a:pPr>
              <a:defRPr sz="800" b="0">
                <a:latin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0"/>
    <c:dispBlanksAs val="zero"/>
    <c:showDLblsOverMax val="1"/>
  </c:chart>
  <c:spPr>
    <a:ln w="9525">
      <a:noFill/>
    </a:ln>
  </c:spPr>
  <c:txPr>
    <a:bodyPr/>
    <a:lstStyle/>
    <a:p>
      <a:pPr>
        <a:defRPr sz="900" b="0">
          <a:latin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'1.0' encoding='UTF-8' standalone='yes'?>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5</xdr:col>
      <xdr:colOff>440690</xdr:colOff>
      <xdr:row>19</xdr:row>
      <xdr:rowOff>50243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91B499ED-E20C-47AF-9C15-C5227148D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742950</xdr:colOff>
      <xdr:row>12</xdr:row>
      <xdr:rowOff>0</xdr:rowOff>
    </xdr:from>
    <xdr:to>
      <xdr:col>9</xdr:col>
      <xdr:colOff>186690</xdr:colOff>
      <xdr:row>19</xdr:row>
      <xdr:rowOff>50243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92AD7E6-7A85-4A6E-94D9-0FFCC9E0B3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488950</xdr:colOff>
      <xdr:row>12</xdr:row>
      <xdr:rowOff>0</xdr:rowOff>
    </xdr:from>
    <xdr:to>
      <xdr:col>14</xdr:col>
      <xdr:colOff>320040</xdr:colOff>
      <xdr:row>19</xdr:row>
      <xdr:rowOff>50243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D5CCEDAE-618B-4B89-8E50-C12DE489AC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594285</xdr:colOff>
      <xdr:row>28</xdr:row>
      <xdr:rowOff>104962</xdr:rowOff>
    </xdr:from>
    <xdr:to>
      <xdr:col>17</xdr:col>
      <xdr:colOff>222624</xdr:colOff>
      <xdr:row>41</xdr:row>
      <xdr:rowOff>95250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A0D0ABCB-711B-4814-8E45-F17988C2F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15688</xdr:colOff>
      <xdr:row>28</xdr:row>
      <xdr:rowOff>104962</xdr:rowOff>
    </xdr:from>
    <xdr:to>
      <xdr:col>9</xdr:col>
      <xdr:colOff>594285</xdr:colOff>
      <xdr:row>41</xdr:row>
      <xdr:rowOff>95250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D0A21F8E-9513-44E9-9F38-D845462E33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15688</xdr:colOff>
      <xdr:row>43</xdr:row>
      <xdr:rowOff>93756</xdr:rowOff>
    </xdr:from>
    <xdr:to>
      <xdr:col>9</xdr:col>
      <xdr:colOff>594285</xdr:colOff>
      <xdr:row>56</xdr:row>
      <xdr:rowOff>84044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55D43B32-F604-4E27-8425-FB3C4440C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594285</xdr:colOff>
      <xdr:row>43</xdr:row>
      <xdr:rowOff>93756</xdr:rowOff>
    </xdr:from>
    <xdr:to>
      <xdr:col>17</xdr:col>
      <xdr:colOff>222624</xdr:colOff>
      <xdr:row>56</xdr:row>
      <xdr:rowOff>84044</xdr:rowOff>
    </xdr:to>
    <xdr:graphicFrame macro="">
      <xdr:nvGraphicFramePr>
        <xdr:cNvPr id="8" name="Chart">
          <a:extLst>
            <a:ext uri="{FF2B5EF4-FFF2-40B4-BE49-F238E27FC236}">
              <a16:creationId xmlns:a16="http://schemas.microsoft.com/office/drawing/2014/main" id="{86185E6E-1C0E-4EA0-B3BD-CB762118D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58</xdr:row>
      <xdr:rowOff>82550</xdr:rowOff>
    </xdr:from>
    <xdr:to>
      <xdr:col>8</xdr:col>
      <xdr:colOff>800100</xdr:colOff>
      <xdr:row>65</xdr:row>
      <xdr:rowOff>190500</xdr:rowOff>
    </xdr:to>
    <xdr:graphicFrame macro="">
      <xdr:nvGraphicFramePr>
        <xdr:cNvPr id="9" name="Chart">
          <a:extLst>
            <a:ext uri="{FF2B5EF4-FFF2-40B4-BE49-F238E27FC236}">
              <a16:creationId xmlns:a16="http://schemas.microsoft.com/office/drawing/2014/main" id="{23D98A8D-DC7D-483B-BBEF-66E83A60EA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223664</xdr:colOff>
      <xdr:row>15</xdr:row>
      <xdr:rowOff>212845</xdr:rowOff>
    </xdr:from>
    <xdr:to>
      <xdr:col>4</xdr:col>
      <xdr:colOff>553576</xdr:colOff>
      <xdr:row>17</xdr:row>
      <xdr:rowOff>131883</xdr:rowOff>
    </xdr:to>
    <xdr:sp macro="" textlink="Dashboard!$AH$1">
      <xdr:nvSpPr>
        <xdr:cNvPr id="25" name="GaugePercent_1">
          <a:extLst>
            <a:ext uri="{FF2B5EF4-FFF2-40B4-BE49-F238E27FC236}">
              <a16:creationId xmlns:a16="http://schemas.microsoft.com/office/drawing/2014/main" id="{1E82AF02-0D8C-1151-6333-343A05B11E7A}"/>
            </a:ext>
          </a:extLst>
        </xdr:cNvPr>
        <xdr:cNvSpPr/>
      </xdr:nvSpPr>
      <xdr:spPr>
        <a:xfrm>
          <a:off x="1055514" y="5191245"/>
          <a:ext cx="1574512" cy="503238"/>
        </a:xfrm>
        <a:prstGeom prst="roundRect">
          <a:avLst>
            <a:gd name="adj" fmla="val 32500"/>
          </a:avLst>
        </a:prstGeom>
        <a:noFill/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2500" b="1" i="0" u="none" strike="noStrike">
              <a:solidFill>
                <a:srgbClr val="0F172A"/>
              </a:solidFill>
              <a:latin typeface="Arial" panose="02020603050405020304" pitchFamily="18" charset="0"/>
              <a:cs typeface="Arial"/>
            </a:rPr>
            <a:t>11.3%</a:t>
          </a:r>
          <a:endParaRPr lang="en-GB" sz="2712" b="1">
            <a:solidFill>
              <a:srgbClr val="30343B"/>
            </a:solidFill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0</xdr:colOff>
      <xdr:row>19</xdr:row>
      <xdr:rowOff>50243</xdr:rowOff>
    </xdr:from>
    <xdr:to>
      <xdr:col>5</xdr:col>
      <xdr:colOff>440690</xdr:colOff>
      <xdr:row>19</xdr:row>
      <xdr:rowOff>273763</xdr:rowOff>
    </xdr:to>
    <xdr:sp macro="" textlink="Dashboard!$AE$1">
      <xdr:nvSpPr>
        <xdr:cNvPr id="26" name="GaugeDetail_1_29">
          <a:extLst>
            <a:ext uri="{FF2B5EF4-FFF2-40B4-BE49-F238E27FC236}">
              <a16:creationId xmlns:a16="http://schemas.microsoft.com/office/drawing/2014/main" id="{27344D2B-3C1B-6420-3B62-1CC13439F384}"/>
            </a:ext>
          </a:extLst>
        </xdr:cNvPr>
        <xdr:cNvSpPr txBox="1"/>
      </xdr:nvSpPr>
      <xdr:spPr>
        <a:xfrm>
          <a:off x="209550" y="4727018"/>
          <a:ext cx="3117215" cy="223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r>
            <a:rPr lang="en-US" sz="1050" b="0" i="0" u="none" strike="noStrike">
              <a:solidFill>
                <a:srgbClr val="64748B"/>
              </a:solidFill>
              <a:latin typeface="Arial" panose="020B0604020202020204" pitchFamily="34" charset="0"/>
              <a:cs typeface="Arial"/>
            </a:rPr>
            <a:t>Current: 5.78B VND</a:t>
          </a:r>
          <a:endParaRPr lang="en-GB" sz="1000" b="0">
            <a:solidFill>
              <a:srgbClr val="223D79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0</xdr:colOff>
      <xdr:row>19</xdr:row>
      <xdr:rowOff>273763</xdr:rowOff>
    </xdr:from>
    <xdr:to>
      <xdr:col>5</xdr:col>
      <xdr:colOff>440690</xdr:colOff>
      <xdr:row>20</xdr:row>
      <xdr:rowOff>211533</xdr:rowOff>
    </xdr:to>
    <xdr:sp macro="" textlink="Dashboard!$AF$1">
      <xdr:nvSpPr>
        <xdr:cNvPr id="27" name="GaugeDetail_1_30">
          <a:extLst>
            <a:ext uri="{FF2B5EF4-FFF2-40B4-BE49-F238E27FC236}">
              <a16:creationId xmlns:a16="http://schemas.microsoft.com/office/drawing/2014/main" id="{80D05E9D-993A-F815-EBA1-0B0EB0A20CBE}"/>
            </a:ext>
          </a:extLst>
        </xdr:cNvPr>
        <xdr:cNvSpPr txBox="1"/>
      </xdr:nvSpPr>
      <xdr:spPr>
        <a:xfrm>
          <a:off x="209550" y="4950538"/>
          <a:ext cx="3117215" cy="223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r>
            <a:rPr lang="en-US" sz="1050" b="0" i="0" u="none" strike="noStrike">
              <a:solidFill>
                <a:srgbClr val="64748B"/>
              </a:solidFill>
              <a:latin typeface="Arial" panose="020B0604020202020204" pitchFamily="34" charset="0"/>
              <a:cs typeface="Arial"/>
            </a:rPr>
            <a:t>Prior: 5.83B VND</a:t>
          </a:r>
          <a:endParaRPr lang="en-GB" sz="1000" b="0">
            <a:solidFill>
              <a:srgbClr val="223D79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0</xdr:colOff>
      <xdr:row>20</xdr:row>
      <xdr:rowOff>211533</xdr:rowOff>
    </xdr:from>
    <xdr:to>
      <xdr:col>5</xdr:col>
      <xdr:colOff>440690</xdr:colOff>
      <xdr:row>21</xdr:row>
      <xdr:rowOff>149303</xdr:rowOff>
    </xdr:to>
    <xdr:sp macro="" textlink="Dashboard!$AA$1">
      <xdr:nvSpPr>
        <xdr:cNvPr id="28" name="GaugeDetail_1_31">
          <a:extLst>
            <a:ext uri="{FF2B5EF4-FFF2-40B4-BE49-F238E27FC236}">
              <a16:creationId xmlns:a16="http://schemas.microsoft.com/office/drawing/2014/main" id="{4DB46C75-04A2-B487-EB57-79DBDB798150}"/>
            </a:ext>
          </a:extLst>
        </xdr:cNvPr>
        <xdr:cNvSpPr txBox="1"/>
      </xdr:nvSpPr>
      <xdr:spPr>
        <a:xfrm>
          <a:off x="209550" y="5174058"/>
          <a:ext cx="3117215" cy="223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endParaRPr lang="en-GB" sz="900" b="0">
            <a:solidFill>
              <a:srgbClr val="6B7280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751537</xdr:colOff>
      <xdr:row>15</xdr:row>
      <xdr:rowOff>212845</xdr:rowOff>
    </xdr:from>
    <xdr:to>
      <xdr:col>8</xdr:col>
      <xdr:colOff>178103</xdr:colOff>
      <xdr:row>17</xdr:row>
      <xdr:rowOff>131883</xdr:rowOff>
    </xdr:to>
    <xdr:sp macro="" textlink="Dashboard!$AH$2">
      <xdr:nvSpPr>
        <xdr:cNvPr id="30" name="GaugePercent_2">
          <a:extLst>
            <a:ext uri="{FF2B5EF4-FFF2-40B4-BE49-F238E27FC236}">
              <a16:creationId xmlns:a16="http://schemas.microsoft.com/office/drawing/2014/main" id="{7F09B257-BC7F-187D-438C-EECD1DB36CF3}"/>
            </a:ext>
          </a:extLst>
        </xdr:cNvPr>
        <xdr:cNvSpPr/>
      </xdr:nvSpPr>
      <xdr:spPr>
        <a:xfrm>
          <a:off x="4732987" y="5191245"/>
          <a:ext cx="1331566" cy="503238"/>
        </a:xfrm>
        <a:prstGeom prst="roundRect">
          <a:avLst>
            <a:gd name="adj" fmla="val 32500"/>
          </a:avLst>
        </a:prstGeom>
        <a:noFill/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2500" b="1" i="0" u="none" strike="noStrike">
              <a:solidFill>
                <a:srgbClr val="0F172A"/>
              </a:solidFill>
              <a:latin typeface="Arial" panose="02020603050405020304" pitchFamily="18" charset="0"/>
              <a:cs typeface="Arial"/>
            </a:rPr>
            <a:t>7.9%</a:t>
          </a:r>
          <a:endParaRPr lang="en-GB" sz="2728" b="1">
            <a:solidFill>
              <a:srgbClr val="30343B"/>
            </a:solidFill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742950</xdr:colOff>
      <xdr:row>19</xdr:row>
      <xdr:rowOff>50243</xdr:rowOff>
    </xdr:from>
    <xdr:to>
      <xdr:col>9</xdr:col>
      <xdr:colOff>186690</xdr:colOff>
      <xdr:row>19</xdr:row>
      <xdr:rowOff>273763</xdr:rowOff>
    </xdr:to>
    <xdr:sp macro="" textlink="Dashboard!$AE$2">
      <xdr:nvSpPr>
        <xdr:cNvPr id="34" name="GaugeDetail_2_29">
          <a:extLst>
            <a:ext uri="{FF2B5EF4-FFF2-40B4-BE49-F238E27FC236}">
              <a16:creationId xmlns:a16="http://schemas.microsoft.com/office/drawing/2014/main" id="{E7DE9914-9D06-8FAF-C4FF-AADDCD3256F3}"/>
            </a:ext>
          </a:extLst>
        </xdr:cNvPr>
        <xdr:cNvSpPr txBox="1"/>
      </xdr:nvSpPr>
      <xdr:spPr>
        <a:xfrm>
          <a:off x="3629025" y="4727018"/>
          <a:ext cx="3063240" cy="223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r>
            <a:rPr lang="en-US" sz="1050" b="0" i="0" u="none" strike="noStrike">
              <a:solidFill>
                <a:srgbClr val="64748B"/>
              </a:solidFill>
              <a:latin typeface="Arial" panose="020B0604020202020204" pitchFamily="34" charset="0"/>
              <a:cs typeface="Arial"/>
            </a:rPr>
            <a:t>Current: 4.02B VND</a:t>
          </a:r>
          <a:endParaRPr lang="en-GB" sz="1000" b="0">
            <a:solidFill>
              <a:srgbClr val="223D79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742950</xdr:colOff>
      <xdr:row>19</xdr:row>
      <xdr:rowOff>273763</xdr:rowOff>
    </xdr:from>
    <xdr:to>
      <xdr:col>9</xdr:col>
      <xdr:colOff>186690</xdr:colOff>
      <xdr:row>20</xdr:row>
      <xdr:rowOff>211533</xdr:rowOff>
    </xdr:to>
    <xdr:sp macro="" textlink="Dashboard!$AF$2">
      <xdr:nvSpPr>
        <xdr:cNvPr id="35" name="GaugeDetail_2_30">
          <a:extLst>
            <a:ext uri="{FF2B5EF4-FFF2-40B4-BE49-F238E27FC236}">
              <a16:creationId xmlns:a16="http://schemas.microsoft.com/office/drawing/2014/main" id="{FAFD1F0F-1B33-BB4F-932A-CEEC38F719F4}"/>
            </a:ext>
          </a:extLst>
        </xdr:cNvPr>
        <xdr:cNvSpPr txBox="1"/>
      </xdr:nvSpPr>
      <xdr:spPr>
        <a:xfrm>
          <a:off x="3629025" y="4950538"/>
          <a:ext cx="3063240" cy="223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r>
            <a:rPr lang="en-US" sz="1050" b="0" i="0" u="none" strike="noStrike">
              <a:solidFill>
                <a:srgbClr val="64748B"/>
              </a:solidFill>
              <a:latin typeface="Arial" panose="020B0604020202020204" pitchFamily="34" charset="0"/>
              <a:cs typeface="Arial"/>
            </a:rPr>
            <a:t>Prior: 4.10B VND</a:t>
          </a:r>
          <a:endParaRPr lang="en-GB" sz="1000" b="0">
            <a:solidFill>
              <a:srgbClr val="223D79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742950</xdr:colOff>
      <xdr:row>20</xdr:row>
      <xdr:rowOff>211533</xdr:rowOff>
    </xdr:from>
    <xdr:to>
      <xdr:col>9</xdr:col>
      <xdr:colOff>186690</xdr:colOff>
      <xdr:row>21</xdr:row>
      <xdr:rowOff>149303</xdr:rowOff>
    </xdr:to>
    <xdr:sp macro="" textlink="Dashboard!$AA$2">
      <xdr:nvSpPr>
        <xdr:cNvPr id="36" name="GaugeDetail_2_31">
          <a:extLst>
            <a:ext uri="{FF2B5EF4-FFF2-40B4-BE49-F238E27FC236}">
              <a16:creationId xmlns:a16="http://schemas.microsoft.com/office/drawing/2014/main" id="{AD34D425-F6D5-7CBA-7CB2-A37336EAEB32}"/>
            </a:ext>
          </a:extLst>
        </xdr:cNvPr>
        <xdr:cNvSpPr txBox="1"/>
      </xdr:nvSpPr>
      <xdr:spPr>
        <a:xfrm>
          <a:off x="3629025" y="5174058"/>
          <a:ext cx="3063240" cy="223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r>
            <a:rPr lang="en-US" sz="1050" b="0" i="0" u="none" strike="noStrike">
              <a:solidFill>
                <a:srgbClr val="64748B"/>
              </a:solidFill>
              <a:latin typeface="Arial" panose="020B0604020202020204" pitchFamily="34" charset="0"/>
              <a:cs typeface="Arial"/>
            </a:rPr>
            <a:t/>
          </a:r>
          <a:endParaRPr lang="en-GB" sz="900" b="0">
            <a:solidFill>
              <a:srgbClr val="6B7280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361020</xdr:colOff>
      <xdr:row>15</xdr:row>
      <xdr:rowOff>212845</xdr:rowOff>
    </xdr:from>
    <xdr:to>
      <xdr:col>13</xdr:col>
      <xdr:colOff>111420</xdr:colOff>
      <xdr:row>17</xdr:row>
      <xdr:rowOff>131883</xdr:rowOff>
    </xdr:to>
    <xdr:sp macro="" textlink="Dashboard!$AH$3">
      <xdr:nvSpPr>
        <xdr:cNvPr id="46" name="GaugePercent_3">
          <a:extLst>
            <a:ext uri="{FF2B5EF4-FFF2-40B4-BE49-F238E27FC236}">
              <a16:creationId xmlns:a16="http://schemas.microsoft.com/office/drawing/2014/main" id="{99DECA6A-CE5B-455F-AA92-5407FE8F2E05}"/>
            </a:ext>
          </a:extLst>
        </xdr:cNvPr>
        <xdr:cNvSpPr/>
      </xdr:nvSpPr>
      <xdr:spPr>
        <a:xfrm>
          <a:off x="8152470" y="5191245"/>
          <a:ext cx="1604600" cy="503238"/>
        </a:xfrm>
        <a:prstGeom prst="roundRect">
          <a:avLst>
            <a:gd name="adj" fmla="val 32500"/>
          </a:avLst>
        </a:prstGeom>
        <a:noFill/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2500" b="1" i="0" u="none" strike="noStrike">
              <a:solidFill>
                <a:srgbClr val="0F172A"/>
              </a:solidFill>
              <a:latin typeface="Arial" panose="02020603050405020304" pitchFamily="18" charset="0"/>
              <a:cs typeface="Arial"/>
            </a:rPr>
            <a:t>19.2%</a:t>
          </a:r>
          <a:endParaRPr lang="en-GB" sz="2715" b="1">
            <a:solidFill>
              <a:srgbClr val="30343B"/>
            </a:solidFill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488950</xdr:colOff>
      <xdr:row>19</xdr:row>
      <xdr:rowOff>50243</xdr:rowOff>
    </xdr:from>
    <xdr:to>
      <xdr:col>14</xdr:col>
      <xdr:colOff>320040</xdr:colOff>
      <xdr:row>19</xdr:row>
      <xdr:rowOff>273763</xdr:rowOff>
    </xdr:to>
    <xdr:sp macro="" textlink="Dashboard!$AE$3">
      <xdr:nvSpPr>
        <xdr:cNvPr id="47" name="GaugeDetail_3_29">
          <a:extLst>
            <a:ext uri="{FF2B5EF4-FFF2-40B4-BE49-F238E27FC236}">
              <a16:creationId xmlns:a16="http://schemas.microsoft.com/office/drawing/2014/main" id="{96232991-0EC8-B10B-33DC-4B5D85834B8C}"/>
            </a:ext>
          </a:extLst>
        </xdr:cNvPr>
        <xdr:cNvSpPr txBox="1"/>
      </xdr:nvSpPr>
      <xdr:spPr>
        <a:xfrm>
          <a:off x="6994525" y="4727018"/>
          <a:ext cx="3107690" cy="223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r>
            <a:rPr lang="en-US" sz="1050" b="0" i="0" u="none" strike="noStrike">
              <a:solidFill>
                <a:srgbClr val="64748B"/>
              </a:solidFill>
              <a:latin typeface="Arial" panose="020B0604020202020204" pitchFamily="34" charset="0"/>
              <a:cs typeface="Arial"/>
            </a:rPr>
            <a:t>Current: 9.80B VND</a:t>
          </a:r>
          <a:endParaRPr lang="en-GB" sz="1000" b="0">
            <a:solidFill>
              <a:srgbClr val="223D79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488950</xdr:colOff>
      <xdr:row>19</xdr:row>
      <xdr:rowOff>273763</xdr:rowOff>
    </xdr:from>
    <xdr:to>
      <xdr:col>14</xdr:col>
      <xdr:colOff>320040</xdr:colOff>
      <xdr:row>20</xdr:row>
      <xdr:rowOff>211533</xdr:rowOff>
    </xdr:to>
    <xdr:sp macro="" textlink="Dashboard!$AF$3">
      <xdr:nvSpPr>
        <xdr:cNvPr id="48" name="GaugeDetail_3_30">
          <a:extLst>
            <a:ext uri="{FF2B5EF4-FFF2-40B4-BE49-F238E27FC236}">
              <a16:creationId xmlns:a16="http://schemas.microsoft.com/office/drawing/2014/main" id="{FC4D62F8-8313-2C85-2CFC-1C95064F7C4A}"/>
            </a:ext>
          </a:extLst>
        </xdr:cNvPr>
        <xdr:cNvSpPr txBox="1"/>
      </xdr:nvSpPr>
      <xdr:spPr>
        <a:xfrm>
          <a:off x="6994525" y="4950538"/>
          <a:ext cx="3107690" cy="223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r>
            <a:rPr lang="en-US" sz="1050" b="0" i="0" u="none" strike="noStrike">
              <a:solidFill>
                <a:srgbClr val="64748B"/>
              </a:solidFill>
              <a:latin typeface="Arial" panose="020B0604020202020204" pitchFamily="34" charset="0"/>
              <a:cs typeface="Arial"/>
            </a:rPr>
            <a:t>Prior: 9.93B VND</a:t>
          </a:r>
          <a:endParaRPr lang="en-GB" sz="1000" b="0">
            <a:solidFill>
              <a:srgbClr val="223D79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488950</xdr:colOff>
      <xdr:row>20</xdr:row>
      <xdr:rowOff>211533</xdr:rowOff>
    </xdr:from>
    <xdr:to>
      <xdr:col>14</xdr:col>
      <xdr:colOff>320040</xdr:colOff>
      <xdr:row>21</xdr:row>
      <xdr:rowOff>149303</xdr:rowOff>
    </xdr:to>
    <xdr:sp macro="" textlink="Dashboard!$AA$3">
      <xdr:nvSpPr>
        <xdr:cNvPr id="49" name="GaugeDetail_3_31">
          <a:extLst>
            <a:ext uri="{FF2B5EF4-FFF2-40B4-BE49-F238E27FC236}">
              <a16:creationId xmlns:a16="http://schemas.microsoft.com/office/drawing/2014/main" id="{1C91C0F1-0EE3-2910-21CF-04D7273E313A}"/>
            </a:ext>
          </a:extLst>
        </xdr:cNvPr>
        <xdr:cNvSpPr txBox="1"/>
      </xdr:nvSpPr>
      <xdr:spPr>
        <a:xfrm>
          <a:off x="6994525" y="5174058"/>
          <a:ext cx="3107690" cy="223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endParaRPr lang="en-GB" sz="900" b="0">
            <a:solidFill>
              <a:srgbClr val="6B7280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0</xdr:colOff>
      <xdr:row>20</xdr:row>
      <xdr:rowOff>211533</xdr:rowOff>
    </xdr:from>
    <xdr:to>
      <xdr:col>5</xdr:col>
      <xdr:colOff>440690</xdr:colOff>
      <xdr:row>21</xdr:row>
      <xdr:rowOff>149303</xdr:rowOff>
    </xdr:to>
    <xdr:sp macro="" textlink="Dashboard!$AB$1">
      <xdr:nvSpPr>
        <xdr:cNvPr id="16" name="GaugeDetail_1_31_Up">
          <a:extLst>
            <a:ext uri="{FF2B5EF4-FFF2-40B4-BE49-F238E27FC236}">
              <a16:creationId xmlns:a16="http://schemas.microsoft.com/office/drawing/2014/main" id="{52C3D136-1F9D-7076-FA22-945E900ADA91}"/>
            </a:ext>
          </a:extLst>
        </xdr:cNvPr>
        <xdr:cNvSpPr txBox="1"/>
      </xdr:nvSpPr>
      <xdr:spPr>
        <a:xfrm>
          <a:off x="209550" y="5174058"/>
          <a:ext cx="3117215" cy="223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r>
            <a:rPr lang="en-US" sz="1050" b="0" i="0" u="none" strike="noStrike">
              <a:solidFill>
                <a:srgbClr val="64748B"/>
              </a:solidFill>
              <a:latin typeface="Arial" panose="020B0604020202020204" pitchFamily="34" charset="0"/>
            </a:rPr>
            <a:t/>
          </a:r>
          <a:endParaRPr lang="en-GB" sz="900" b="0">
            <a:solidFill>
              <a:srgbClr val="B91C1C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0</xdr:colOff>
      <xdr:row>20</xdr:row>
      <xdr:rowOff>211533</xdr:rowOff>
    </xdr:from>
    <xdr:to>
      <xdr:col>5</xdr:col>
      <xdr:colOff>440690</xdr:colOff>
      <xdr:row>21</xdr:row>
      <xdr:rowOff>149303</xdr:rowOff>
    </xdr:to>
    <xdr:sp macro="" textlink="Dashboard!$AC$1">
      <xdr:nvSpPr>
        <xdr:cNvPr id="17" name="GaugeDetail_1_31_Down">
          <a:extLst>
            <a:ext uri="{FF2B5EF4-FFF2-40B4-BE49-F238E27FC236}">
              <a16:creationId xmlns:a16="http://schemas.microsoft.com/office/drawing/2014/main" id="{A627D8F6-CF93-8DC3-15D6-C382679AB945}"/>
            </a:ext>
          </a:extLst>
        </xdr:cNvPr>
        <xdr:cNvSpPr txBox="1"/>
      </xdr:nvSpPr>
      <xdr:spPr>
        <a:xfrm>
          <a:off x="209550" y="5174058"/>
          <a:ext cx="3117215" cy="223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endParaRPr lang="en-GB" sz="900" b="0">
            <a:solidFill>
              <a:srgbClr val="15803D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742950</xdr:colOff>
      <xdr:row>20</xdr:row>
      <xdr:rowOff>211533</xdr:rowOff>
    </xdr:from>
    <xdr:to>
      <xdr:col>9</xdr:col>
      <xdr:colOff>186690</xdr:colOff>
      <xdr:row>21</xdr:row>
      <xdr:rowOff>149303</xdr:rowOff>
    </xdr:to>
    <xdr:sp macro="" textlink="Dashboard!$AB$2">
      <xdr:nvSpPr>
        <xdr:cNvPr id="18" name="GaugeDetail_2_31_Up">
          <a:extLst>
            <a:ext uri="{FF2B5EF4-FFF2-40B4-BE49-F238E27FC236}">
              <a16:creationId xmlns:a16="http://schemas.microsoft.com/office/drawing/2014/main" id="{01BE19E9-9342-8EE7-5613-BC88891D1D7D}"/>
            </a:ext>
          </a:extLst>
        </xdr:cNvPr>
        <xdr:cNvSpPr txBox="1"/>
      </xdr:nvSpPr>
      <xdr:spPr>
        <a:xfrm>
          <a:off x="3629025" y="5174058"/>
          <a:ext cx="3063240" cy="223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endParaRPr lang="en-GB" sz="900" b="0">
            <a:solidFill>
              <a:srgbClr val="B91C1C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742950</xdr:colOff>
      <xdr:row>20</xdr:row>
      <xdr:rowOff>211533</xdr:rowOff>
    </xdr:from>
    <xdr:to>
      <xdr:col>9</xdr:col>
      <xdr:colOff>186690</xdr:colOff>
      <xdr:row>21</xdr:row>
      <xdr:rowOff>149303</xdr:rowOff>
    </xdr:to>
    <xdr:sp macro="" textlink="Dashboard!$AC$2">
      <xdr:nvSpPr>
        <xdr:cNvPr id="31" name="GaugeDetail_2_31_Down">
          <a:extLst>
            <a:ext uri="{FF2B5EF4-FFF2-40B4-BE49-F238E27FC236}">
              <a16:creationId xmlns:a16="http://schemas.microsoft.com/office/drawing/2014/main" id="{8514E6E8-2A30-3449-CF2D-A5E36AE617A6}"/>
            </a:ext>
          </a:extLst>
        </xdr:cNvPr>
        <xdr:cNvSpPr txBox="1"/>
      </xdr:nvSpPr>
      <xdr:spPr>
        <a:xfrm>
          <a:off x="3629025" y="5174058"/>
          <a:ext cx="3063240" cy="223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endParaRPr lang="en-GB" sz="900" b="0">
            <a:solidFill>
              <a:srgbClr val="15803D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488950</xdr:colOff>
      <xdr:row>20</xdr:row>
      <xdr:rowOff>211533</xdr:rowOff>
    </xdr:from>
    <xdr:to>
      <xdr:col>14</xdr:col>
      <xdr:colOff>320040</xdr:colOff>
      <xdr:row>21</xdr:row>
      <xdr:rowOff>149303</xdr:rowOff>
    </xdr:to>
    <xdr:sp macro="" textlink="Dashboard!$AB$3">
      <xdr:nvSpPr>
        <xdr:cNvPr id="32" name="GaugeDetail_3_31_Up">
          <a:extLst>
            <a:ext uri="{FF2B5EF4-FFF2-40B4-BE49-F238E27FC236}">
              <a16:creationId xmlns:a16="http://schemas.microsoft.com/office/drawing/2014/main" id="{E508C04A-62E9-AB6E-6A34-4DD0B4FB72D2}"/>
            </a:ext>
          </a:extLst>
        </xdr:cNvPr>
        <xdr:cNvSpPr txBox="1"/>
      </xdr:nvSpPr>
      <xdr:spPr>
        <a:xfrm>
          <a:off x="6994525" y="5174058"/>
          <a:ext cx="3107690" cy="223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r>
            <a:rPr lang="en-US" sz="1050" b="0" i="0" u="none" strike="noStrike">
              <a:solidFill>
                <a:srgbClr val="64748B"/>
              </a:solidFill>
              <a:latin typeface="Arial" panose="020B0604020202020204" pitchFamily="34" charset="0"/>
            </a:rPr>
            <a:t/>
          </a:r>
          <a:endParaRPr lang="en-GB" sz="900" b="0">
            <a:solidFill>
              <a:srgbClr val="B91C1C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488950</xdr:colOff>
      <xdr:row>20</xdr:row>
      <xdr:rowOff>211533</xdr:rowOff>
    </xdr:from>
    <xdr:to>
      <xdr:col>14</xdr:col>
      <xdr:colOff>320040</xdr:colOff>
      <xdr:row>21</xdr:row>
      <xdr:rowOff>149303</xdr:rowOff>
    </xdr:to>
    <xdr:sp macro="" textlink="Dashboard!$AC$3">
      <xdr:nvSpPr>
        <xdr:cNvPr id="33" name="GaugeDetail_3_31_Down">
          <a:extLst>
            <a:ext uri="{FF2B5EF4-FFF2-40B4-BE49-F238E27FC236}">
              <a16:creationId xmlns:a16="http://schemas.microsoft.com/office/drawing/2014/main" id="{F481A264-A595-7383-004F-638672ADD1BA}"/>
            </a:ext>
          </a:extLst>
        </xdr:cNvPr>
        <xdr:cNvSpPr txBox="1"/>
      </xdr:nvSpPr>
      <xdr:spPr>
        <a:xfrm>
          <a:off x="6994525" y="5174058"/>
          <a:ext cx="3107690" cy="223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endParaRPr lang="en-GB" sz="900" b="0">
            <a:solidFill>
              <a:srgbClr val="15803D"/>
            </a:solidFill>
            <a:latin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9E283-ABF5-4758-A8C6-75CF5B82BB7E}">
  <sheetPr>
    <tabColor rgb="FF17365D"/>
  </sheetPr>
  <dimension ref="A1:AH95"/>
  <sheetViews>
    <sheetView showGridLines="0" zoomScaleNormal="100" workbookViewId="0">
      <pane ySplit="3" topLeftCell="A4" activePane="bottomLeft" state="frozenSplit"/>
      <selection pane="bottomLeft" activeCell="R10" sqref="R10"/>
    </sheetView>
  </sheetViews>
  <sheetFormatPr defaultColWidth="8.7109375" defaultRowHeight="14.25"/>
  <cols>
    <col min="1" max="1" width="3.140625" style="145" customWidth="1"/>
    <col min="2" max="4" width="8.85546875" style="145" customWidth="1"/>
    <col min="5" max="11" width="13.5703125" style="145" customWidth="1"/>
    <col min="12" max="13" width="6.5703125" style="145" customWidth="1"/>
    <col min="14" max="16" width="8.85546875" style="145" customWidth="1"/>
    <col min="17" max="25" width="10.85546875" style="145" customWidth="1"/>
    <col min="26" max="34" width="0" style="145" hidden="1" customWidth="1"/>
    <col min="35" max="16384" width="8.7109375" style="145"/>
  </cols>
  <sheetData>
    <row r="1" spans="1:34" ht="33.950000000000003" customHeight="1">
      <c r="A1" s="165"/>
      <c r="B1" s="207" t="inlineStr">
        <is>
          <t>ACCOUNTS RECEIVABLE DASHBOARD</t>
        </is>
      </c>
      <c r="C1" s="207"/>
      <c r="D1" s="207"/>
      <c r="E1" s="207"/>
      <c r="F1" s="207"/>
      <c r="G1" s="207"/>
      <c r="H1" s="207"/>
      <c r="I1" s="207"/>
      <c r="J1" s="207"/>
      <c r="K1" s="207"/>
      <c r="N1" s="210" t="inlineStr">
        <is>
          <t>Client Filter</t>
        </is>
      </c>
      <c r="O1" s="210"/>
      <c r="P1" s="177" t="inlineStr">
        <is>
          <t>All</t>
        </is>
      </c>
      <c r="Q1" s="178"/>
      <c r="R1" s="178"/>
      <c r="AA1" s="166" t="str">
        <f>IF(Analysis!D7=0,AD1,"")</f>
        <v/>
      </c>
      <c r="AB1" s="166" t="str">
        <f>IF(Analysis!D7&gt;0,AD1,"")</f>
        <v/>
      </c>
      <c r="AC1" s="166" t="str">
        <f>IF(Analysis!D7&lt;0,AD1,"")</f>
        <v>-0.05B (-0.8%)</v>
      </c>
      <c r="AD1" s="166" t="str">
        <f>TEXT(Analysis!D7/1000000000,"+0.00;-0.00;0.00")&amp;"B ("&amp;TEXT(Analysis!E7,"+0.0%;-0.0%;0.0%")&amp;")"</f>
        <v>-0.05B (-0.8%)</v>
      </c>
      <c r="AE1" s="166" t="str">
        <f>"Current: "&amp;TEXT(Analysis!B7/1000000000,"0.00")&amp;"B VND"</f>
        <v>Current: 5.78B VND</v>
      </c>
      <c r="AF1" s="166" t="str">
        <f>"Prior: "&amp;TEXT(Analysis!C7/1000000000,"0.00")&amp;"B VND"</f>
        <v>Prior: 5.83B VND</v>
      </c>
      <c r="AG1" s="166" t="inlineStr">
        <is>
          <t>Overdue Ratio (1–60 Days)</t>
        </is>
      </c>
      <c r="AH1" s="166" t="str">
        <f>TEXT(Analysis!B16,"0.0%")</f>
        <v>11.3%</v>
      </c>
    </row>
    <row r="2" spans="1:34" ht="17.45" customHeight="1">
      <c r="A2" s="165"/>
      <c r="B2" s="197" t="inlineStr">
        <is>
          <t>Report Date:</t>
        </is>
      </c>
      <c r="C2" s="197"/>
      <c r="D2" s="185">
        <v>46300</v>
      </c>
      <c r="E2" s="179"/>
      <c r="F2" s="179"/>
      <c r="G2" s="167"/>
      <c r="H2" s="167"/>
      <c r="I2" s="167"/>
      <c r="J2" s="167"/>
      <c r="K2" s="167"/>
      <c r="N2" s="210" t="inlineStr">
        <is>
          <t>Sales Rep Filter</t>
        </is>
      </c>
      <c r="O2" s="210"/>
      <c r="P2" s="177" t="inlineStr">
        <is>
          <t>All</t>
        </is>
      </c>
      <c r="Q2" s="178"/>
      <c r="R2" s="178"/>
      <c r="AA2" s="166" t="str">
        <f>IF(Analysis!D8=0,AD2,"")</f>
        <v/>
      </c>
      <c r="AB2" s="166" t="str">
        <f>IF(Analysis!D8&gt;0,AD2,"")</f>
        <v/>
      </c>
      <c r="AC2" s="166" t="str">
        <f>IF(Analysis!D8&lt;0,AD2,"")</f>
        <v>-0.08B (-1.9%)</v>
      </c>
      <c r="AD2" s="166" t="str">
        <f>TEXT(Analysis!D8/1000000000,"+0.00;-0.00;0.00")&amp;"B ("&amp;TEXT(Analysis!E8,"+0.0%;-0.0%;0.0%")&amp;")"</f>
        <v>-0.08B (-1.9%)</v>
      </c>
      <c r="AE2" s="166" t="str">
        <f>"Current: "&amp;TEXT(Analysis!B8/1000000000,"0.00")&amp;"B VND"</f>
        <v>Current: 4.02B VND</v>
      </c>
      <c r="AF2" s="166" t="str">
        <f>"Prior: "&amp;TEXT(Analysis!C8/1000000000,"0.00")&amp;"B VND"</f>
        <v>Prior: 4.10B VND</v>
      </c>
      <c r="AG2" s="166" t="inlineStr">
        <is>
          <t>Receivables Ratio (&gt;60 Days)</t>
        </is>
      </c>
      <c r="AH2" s="166" t="str">
        <f>TEXT(Analysis!B17,"0.0%")</f>
        <v>7.9%</v>
      </c>
    </row>
    <row r="3" spans="1:34" ht="17.45" customHeight="1">
      <c r="A3" s="165"/>
      <c r="B3" s="197" t="inlineStr">
        <is>
          <t>Current and prior invoice records. Public demonstration workbook.</t>
        </is>
      </c>
      <c r="C3" s="197"/>
      <c r="D3" s="197"/>
      <c r="E3" s="197"/>
      <c r="F3" s="197"/>
      <c r="G3" s="197"/>
      <c r="H3" s="197"/>
      <c r="I3" s="197"/>
      <c r="J3" s="197"/>
      <c r="K3" s="197"/>
      <c r="L3" s="181"/>
      <c r="M3" s="181"/>
      <c r="N3" s="210" t="inlineStr">
        <is>
          <t>Status Filter</t>
        </is>
      </c>
      <c r="O3" s="210"/>
      <c r="P3" s="177" t="inlineStr">
        <is>
          <t>All</t>
        </is>
      </c>
      <c r="Q3" s="178"/>
      <c r="R3" s="178"/>
      <c r="AA3" s="166" t="str">
        <f>IF(Analysis!D9=0,AD3,"")</f>
        <v/>
      </c>
      <c r="AB3" s="166" t="str">
        <f>IF(Analysis!D9&gt;0,AD3,"")</f>
        <v/>
      </c>
      <c r="AC3" s="166" t="str">
        <f>IF(Analysis!D9&lt;0,AD3,"")</f>
        <v>-0.13B (-1.3%)</v>
      </c>
      <c r="AD3" s="166" t="str">
        <f>TEXT(Analysis!D9/1000000000,"+0.00;-0.00;0.00")&amp;"B ("&amp;TEXT(Analysis!E9,"+0.0%;-0.0%;0.0%")&amp;")"</f>
        <v>-0.13B (-1.3%)</v>
      </c>
      <c r="AE3" s="166" t="str">
        <f>"Current: "&amp;TEXT(Analysis!B9/1000000000,"0.00")&amp;"B VND"</f>
        <v>Current: 9.80B VND</v>
      </c>
      <c r="AF3" s="166" t="str">
        <f>"Prior: "&amp;TEXT(Analysis!C9/1000000000,"0.00")&amp;"B VND"</f>
        <v>Prior: 9.93B VND</v>
      </c>
      <c r="AG3" s="166" t="inlineStr">
        <is>
          <t>Total Overdue Ratio</t>
        </is>
      </c>
      <c r="AH3" s="166" t="str">
        <f>TEXT(Analysis!B18,"0.0%")</f>
        <v>19.2%</v>
      </c>
    </row>
    <row r="4" spans="1:34" ht="3.95" customHeight="1">
      <c r="A4" s="165"/>
      <c r="B4" s="167"/>
      <c r="C4" s="167"/>
      <c r="D4" s="167"/>
      <c r="E4" s="167"/>
      <c r="F4" s="167"/>
      <c r="G4" s="167"/>
      <c r="H4" s="167"/>
      <c r="I4" s="167"/>
      <c r="J4" s="167"/>
      <c r="K4" s="167"/>
      <c r="N4" s="169"/>
      <c r="O4" s="169"/>
    </row>
    <row r="5" spans="1:34" ht="3" customHeight="1">
      <c r="A5" s="165"/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</row>
    <row r="6" spans="1:34" s="147" customFormat="1" ht="34" customHeight="1">
      <c r="A6" s="171"/>
      <c r="B6" s="242" t="inlineStr">
        <is>
          <t>Total Outstanding AR</t>
        </is>
      </c>
      <c r="C6" s="229"/>
      <c r="D6" s="229"/>
      <c r="E6" s="242" t="inlineStr">
        <is>
          <t>Avg Overdue Days</t>
        </is>
      </c>
      <c r="F6" s="229"/>
      <c r="G6" s="242" t="inlineStr">
        <is>
          <t>&gt;60d / Total Overdue</t>
        </is>
      </c>
      <c r="H6" s="229"/>
      <c r="I6" s="242" t="inlineStr">
        <is>
          <t>Top Client Share</t>
        </is>
      </c>
      <c r="J6" s="229"/>
      <c r="K6" s="242" t="inlineStr">
        <is>
          <t>Top 3 Clients Share</t>
        </is>
      </c>
      <c r="L6" s="229"/>
      <c r="M6" s="229"/>
      <c r="N6" s="242" t="inlineStr">
        <is>
          <t>Due in Next 10 Days</t>
        </is>
      </c>
      <c r="O6" s="229"/>
      <c r="P6" s="229"/>
      <c r="Z6" s="174">
        <f>'Analysis'!D6</f>
        <v>17123354999.999998</v>
      </c>
    </row>
    <row r="7" spans="1:34" ht="20" customHeight="1">
      <c r="A7" s="165"/>
      <c r="B7" s="243" t="str">
        <f>TEXT(Analysis!B6/1000000000,"0.00")&amp;"B VND"</f>
        <v>51.06B VND</v>
      </c>
      <c r="C7" s="230"/>
      <c r="D7" s="230"/>
      <c r="E7" s="246" t="str">
        <f>TEXT(Analysis!B56,"0.0")&amp;" Days"</f>
        <v>39.5 Days</v>
      </c>
      <c r="F7" s="231"/>
      <c r="G7" s="248" t="str">
        <f>TEXT(Analysis!B57,"0.0%")</f>
        <v>41.0%</v>
      </c>
      <c r="H7" s="232"/>
      <c r="I7" s="248" t="str">
        <f>TEXT(Analysis!B58,"0.0%")</f>
        <v>76.5%</v>
      </c>
      <c r="J7" s="232"/>
      <c r="K7" s="248" t="str">
        <f>TEXT(Analysis!B59,"0.0%")</f>
        <v>91.5%</v>
      </c>
      <c r="L7" s="232"/>
      <c r="M7" s="232"/>
      <c r="N7" s="243" t="str">
        <f>TEXT(Analysis!B11/1000000000,"0.00")&amp;"B VND"</f>
        <v>3.81B VND</v>
      </c>
      <c r="O7" s="230"/>
      <c r="P7" s="230"/>
    </row>
    <row r="8" spans="1:34" ht="20" customHeight="1">
      <c r="A8" s="165"/>
      <c r="B8" s="230"/>
      <c r="C8" s="230"/>
      <c r="D8" s="230"/>
      <c r="E8" s="231"/>
      <c r="F8" s="231"/>
      <c r="G8" s="232"/>
      <c r="H8" s="232"/>
      <c r="I8" s="232"/>
      <c r="J8" s="232"/>
      <c r="K8" s="232"/>
      <c r="L8" s="232"/>
      <c r="M8" s="232"/>
      <c r="N8" s="230"/>
      <c r="O8" s="230"/>
      <c r="P8" s="230"/>
    </row>
    <row r="9" spans="1:34" ht="23" customHeight="1">
      <c r="A9" s="165"/>
      <c r="B9" s="244" t="str">
        <f>"Prior: "&amp;TEXT(Analysis!C6/1000000000,"0.00")&amp;"B VND"</f>
        <v>Prior: 33.93B VND</v>
      </c>
      <c r="C9" s="233"/>
      <c r="D9" s="233"/>
      <c r="E9" s="244" t="str">
        <f>"Prior: "&amp;TEXT(Analysis!C56,"0.0")&amp;" Days"</f>
        <v>Prior: 40.0 Days</v>
      </c>
      <c r="F9" s="233"/>
      <c r="G9" s="244" t="str">
        <f>"Prior: "&amp;TEXT(Analysis!C57,"0.0%")</f>
        <v>Prior: 41.3%</v>
      </c>
      <c r="H9" s="233"/>
      <c r="I9" s="244" t="str">
        <f>"Prior: "&amp;TEXT(Analysis!C58,"0.0%")</f>
        <v>Prior: 69.9%</v>
      </c>
      <c r="J9" s="233"/>
      <c r="K9" s="244" t="str">
        <f>"Prior: "&amp;TEXT(Analysis!C59,"0.0%")</f>
        <v>Prior: 95.3%</v>
      </c>
      <c r="L9" s="233"/>
      <c r="M9" s="233"/>
      <c r="N9" s="244" t="str">
        <f>"Prior: "&amp;TEXT(Analysis!C11/1000000000,"0.00")&amp;"B VND"</f>
        <v>Prior: 3.35B VND</v>
      </c>
      <c r="O9" s="233"/>
      <c r="P9" s="233"/>
    </row>
    <row r="10" spans="1:34" ht="22" customHeight="1">
      <c r="A10" s="165"/>
      <c r="B10" s="245" t="str">
        <f>TEXT('Analysis'!D6/1000000000,"+0.00;-0.00;0.00")&amp;"B ("&amp;TEXT('Analysis'!E6,"+0.0%;-0.0%;0.0%")&amp;")"</f>
        <v>+17.12B (+50.5%)</v>
      </c>
      <c r="C10" s="235"/>
      <c r="D10" s="235"/>
      <c r="E10" s="247" t="str">
        <f>TEXT('Analysis'!D56,"+0.0;-0.0;0.0")&amp;" Days ("&amp;TEXT('Analysis'!E56,"+0.0%;-0.0%;0.0%")&amp;")"</f>
        <v>-0.5 Days (-1.3%)</v>
      </c>
      <c r="F10" s="235"/>
      <c r="G10" s="249" t="str">
        <f>TEXT('Analysis'!D57*100,"+0.0;-0.0;0.0")&amp;" pp"</f>
        <v>-0.3 pp</v>
      </c>
      <c r="H10" s="238"/>
      <c r="I10" s="250" t="str">
        <f>TEXT('Analysis'!D58*100,"+0.0;-0.0;0.0")&amp;" pp"</f>
        <v>+6.6 pp</v>
      </c>
      <c r="J10" s="238"/>
      <c r="K10" s="251" t="str">
        <f>TEXT('Analysis'!D59*100,"+0.0;-0.0;0.0")&amp;" pp"</f>
        <v>-3.7 pp</v>
      </c>
      <c r="L10" s="238"/>
      <c r="M10" s="238"/>
      <c r="N10" s="252" t="str">
        <f>TEXT('Analysis'!D11/1000000000,"+0.00;-0.00;0.00")&amp;"B ("&amp;TEXT('Analysis'!E11,"+0.0%;-0.0%;0.0%")&amp;")"</f>
        <v>+0.47B (+13.9%)</v>
      </c>
      <c r="O10" s="238"/>
      <c r="P10" s="238"/>
    </row>
    <row r="11" spans="1:34" ht="7" customHeight="1">
      <c r="A11" s="165"/>
      <c r="B11" s="170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Z11" s="176">
        <f>'Analysis'!D11</f>
        <v>465130870.4022</v>
      </c>
    </row>
    <row r="12" spans="1:34" ht="23" customHeight="1">
      <c r="A12" s="165"/>
      <c r="B12" s="253" t="inlineStr">
        <is>
          <t>Overdue Ratio (1–60 Days)</t>
        </is>
      </c>
      <c r="C12" s="192"/>
      <c r="D12" s="192"/>
      <c r="E12" s="192"/>
      <c r="F12" s="192"/>
      <c r="G12" s="253" t="inlineStr">
        <is>
          <t>Receivables Ratio (&gt;60 Days)</t>
        </is>
      </c>
      <c r="H12" s="192"/>
      <c r="I12" s="192"/>
      <c r="J12" s="192"/>
      <c r="K12" s="253" t="inlineStr">
        <is>
          <t>Total Overdue Ratio</t>
        </is>
      </c>
      <c r="L12" s="192"/>
      <c r="M12" s="192"/>
      <c r="N12" s="192"/>
      <c r="O12" s="192"/>
      <c r="P12" s="192"/>
    </row>
    <row r="13" spans="1:34" ht="23.1" customHeight="1">
      <c r="A13" s="165"/>
      <c r="B13" s="165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</row>
    <row r="14" spans="1:34" ht="23.1" customHeight="1">
      <c r="A14" s="165"/>
      <c r="B14" s="165"/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/>
    </row>
    <row r="15" spans="1:34" ht="23.1" customHeight="1">
      <c r="A15" s="165"/>
      <c r="B15" s="172"/>
      <c r="C15" s="165"/>
      <c r="D15" s="165"/>
      <c r="E15" s="172"/>
      <c r="F15" s="165"/>
      <c r="G15" s="172"/>
      <c r="H15" s="165"/>
      <c r="I15" s="172"/>
      <c r="J15" s="165"/>
      <c r="K15" s="172"/>
      <c r="L15" s="165"/>
      <c r="M15" s="165"/>
      <c r="N15" s="172"/>
      <c r="O15" s="165"/>
      <c r="P15"/>
    </row>
    <row r="16" spans="1:34" ht="23.1" customHeight="1">
      <c r="A16" s="165"/>
      <c r="B16" s="165"/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/>
    </row>
    <row r="17" spans="1:16" ht="23.1" customHeight="1">
      <c r="A17" s="165"/>
      <c r="B17" s="165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/>
    </row>
    <row r="18" spans="1:16" ht="23.1" customHeight="1">
      <c r="A18" s="165"/>
      <c r="B18" s="165"/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/>
    </row>
    <row r="19" spans="1:16" ht="23.1" customHeight="1">
      <c r="A19" s="165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</row>
    <row r="20" spans="1:16" ht="20" customHeight="1">
      <c r="A20" s="165"/>
      <c r="B20" s="165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</row>
    <row r="21" spans="1:16" ht="19" customHeight="1">
      <c r="A21" s="165"/>
      <c r="B21" s="196" t="str">
        <f>TEXT('Analysis'!B16,"0.0%")</f>
        <v>11.3%</v>
      </c>
      <c r="C21" s="196"/>
      <c r="D21" s="196"/>
      <c r="E21" s="196"/>
      <c r="F21" s="196"/>
      <c r="G21" s="196" t="str">
        <f>TEXT('Analysis'!B17,"0.0%")</f>
        <v>7.9%</v>
      </c>
      <c r="H21" s="196"/>
      <c r="I21" s="196"/>
      <c r="J21" s="196"/>
      <c r="K21" s="196" t="str">
        <f>TEXT('Analysis'!B18,"0.0%")</f>
        <v>19.2%</v>
      </c>
      <c r="L21" s="196"/>
      <c r="M21" s="196"/>
      <c r="N21" s="196"/>
      <c r="O21" s="196"/>
      <c r="P21" s="196"/>
    </row>
    <row r="22" spans="1:16" ht="17" customHeight="1">
      <c r="A22" s="165"/>
      <c r="B22" s="186" t="str">
        <f>"Current: "&amp;TEXT('Analysis'!B7/1000000000,"0.00")&amp;" B VND"</f>
        <v>Current: 5.52B VND</v>
      </c>
      <c r="C22" s="186"/>
      <c r="D22" s="186"/>
      <c r="E22" s="186"/>
      <c r="F22" s="186"/>
      <c r="G22" s="186" t="str">
        <f>"Current: "&amp;TEXT('Analysis'!B8/1000000000,"0.00")&amp;" B VND"</f>
        <v>Current: 3.84B VND</v>
      </c>
      <c r="H22" s="186"/>
      <c r="I22" s="186"/>
      <c r="J22" s="186"/>
      <c r="K22" s="186" t="str">
        <f>"Current: "&amp;TEXT('Analysis'!B9/1000000000,"0.00")&amp;" B VND"</f>
        <v>Current: 9.36B VND</v>
      </c>
      <c r="L22" s="186"/>
      <c r="M22" s="186"/>
      <c r="N22" s="186"/>
      <c r="O22" s="186"/>
      <c r="P22" s="186"/>
    </row>
    <row r="23" spans="1:16" ht="3" customHeight="1">
      <c r="A23" s="165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ht="3" customHeight="1">
      <c r="A24" s="165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ht="3" customHeight="1">
      <c r="A25" s="16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ht="3" customHeight="1">
      <c r="A26" s="165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>
      <c r="A27" s="165"/>
      <c r="B27" s="208" t="inlineStr">
        <is>
          <t>Customer/staff filters apply to the overview. Status also filters the charts and collection list.</t>
        </is>
      </c>
      <c r="C27" s="208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</row>
    <row r="28" spans="1:16">
      <c r="A28" s="165"/>
      <c r="B28" s="208" t="inlineStr">
        <is>
          <t>98 current invoices. All customer and staff groups reconcile to the current ledger total.</t>
        </is>
      </c>
      <c r="C28" s="208"/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</row>
    <row r="29" spans="1:16" ht="23.1" customHeight="1">
      <c r="A29" s="165"/>
      <c r="B29" s="165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</row>
    <row r="30" spans="1:16" ht="23.1" customHeight="1">
      <c r="A30" s="165"/>
      <c r="B30" s="165"/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</row>
    <row r="31" spans="1:16" ht="23.1" customHeight="1">
      <c r="A31" s="165"/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</row>
    <row r="32" spans="1:16" ht="23.1" customHeight="1">
      <c r="A32" s="165"/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</row>
    <row r="33" spans="1:16" ht="23.1" customHeight="1">
      <c r="A33" s="165"/>
      <c r="B33" s="165"/>
      <c r="C33" s="165"/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</row>
    <row r="34" spans="1:16" ht="23.1" customHeight="1">
      <c r="A34" s="165"/>
      <c r="B34" s="165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</row>
    <row r="35" spans="1:16" ht="23.1" customHeight="1">
      <c r="A35" s="165"/>
      <c r="B35" s="165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</row>
    <row r="36" spans="1:16" ht="23.1" customHeight="1">
      <c r="A36" s="165"/>
      <c r="B36" s="165"/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</row>
    <row r="37" spans="1:16" ht="23.1" customHeight="1">
      <c r="A37" s="165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</row>
    <row r="38" spans="1:16" ht="23.1" customHeight="1">
      <c r="A38" s="165"/>
      <c r="B38" s="165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65"/>
    </row>
    <row r="39" spans="1:16" ht="23.1" customHeight="1">
      <c r="A39" s="165"/>
      <c r="B39" s="165"/>
      <c r="C39" s="165"/>
      <c r="D39" s="165"/>
      <c r="E39" s="165"/>
      <c r="F39" s="165"/>
      <c r="G39" s="165"/>
      <c r="H39" s="165"/>
      <c r="I39" s="165"/>
      <c r="J39" s="209"/>
      <c r="K39" s="209"/>
      <c r="L39" s="209"/>
      <c r="M39" s="209"/>
      <c r="N39" s="209"/>
      <c r="O39" s="209"/>
      <c r="P39" s="209"/>
    </row>
    <row r="40" spans="1:16" ht="23.1" customHeight="1">
      <c r="A40" s="165"/>
      <c r="B40" s="165"/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</row>
    <row r="41" spans="1:16" ht="23.1" customHeight="1">
      <c r="A41" s="165"/>
      <c r="B41" s="165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</row>
    <row r="42" spans="1:16" ht="23.1" customHeight="1">
      <c r="A42" s="165"/>
      <c r="B42" s="165"/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</row>
    <row r="43" spans="1:16" ht="23.1" customHeight="1">
      <c r="A43" s="165"/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</row>
    <row r="44" spans="1:16" ht="23.1" customHeight="1">
      <c r="A44" s="165"/>
      <c r="B44" s="165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</row>
    <row r="45" spans="1:16" ht="23.1" customHeight="1">
      <c r="A45" s="165"/>
      <c r="B45" s="165"/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</row>
    <row r="46" spans="1:16" ht="23.1" customHeight="1">
      <c r="A46" s="165"/>
      <c r="B46" s="165"/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</row>
    <row r="47" spans="1:16" ht="23.1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</row>
    <row r="48" spans="1:16" ht="23.1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165"/>
    </row>
    <row r="49" spans="1:26" ht="23.1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165"/>
    </row>
    <row r="50" spans="1:26" ht="23.1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/>
    </row>
    <row r="51" spans="1:26" ht="23.1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5"/>
    </row>
    <row r="52" spans="1:26" ht="23.1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</row>
    <row r="53" spans="1:26" ht="23.1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</row>
    <row r="54" spans="1:26" ht="23.1" customHeight="1">
      <c r="A54" s="165"/>
      <c r="B54" s="165"/>
      <c r="C54" s="165"/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165"/>
    </row>
    <row r="55" spans="1:26" ht="23.1" customHeight="1">
      <c r="A55" s="165"/>
      <c r="B55" s="165"/>
      <c r="C55" s="165"/>
      <c r="D55" s="165"/>
      <c r="E55" s="165"/>
      <c r="F55" s="165"/>
      <c r="G55" s="165"/>
      <c r="H55" s="165"/>
      <c r="I55" s="165"/>
      <c r="J55" s="182"/>
      <c r="K55" s="182"/>
      <c r="L55" s="182"/>
      <c r="M55" s="182"/>
      <c r="N55" s="182"/>
      <c r="O55" s="182"/>
      <c r="P55" s="182"/>
    </row>
    <row r="56" spans="1:26" ht="23.1" customHeight="1">
      <c r="A56" s="165"/>
      <c r="B56" s="165"/>
      <c r="C56" s="165"/>
      <c r="D56" s="165"/>
      <c r="E56" s="165"/>
      <c r="F56" s="165"/>
      <c r="G56" s="165"/>
      <c r="H56" s="165"/>
      <c r="I56" s="165"/>
      <c r="J56" s="182"/>
      <c r="K56" s="182"/>
      <c r="L56" s="182"/>
      <c r="M56" s="182"/>
      <c r="N56" s="182"/>
      <c r="O56" s="182"/>
      <c r="P56" s="182"/>
      <c r="Z56" s="175">
        <f>'Analysis'!D56</f>
        <v>-0.52699735314996587</v>
      </c>
    </row>
    <row r="57" spans="1:26" ht="23.1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82"/>
      <c r="K57" s="182"/>
      <c r="L57" s="182"/>
      <c r="M57" s="182"/>
      <c r="N57" s="182"/>
      <c r="O57" s="182"/>
      <c r="P57" s="182"/>
      <c r="Z57" s="166">
        <f>'Analysis'!D57</f>
        <v>-2.6233793391769455E-3</v>
      </c>
    </row>
    <row r="58" spans="1:26" ht="23.1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82"/>
      <c r="K58" s="182"/>
      <c r="L58" s="182"/>
      <c r="M58" s="182"/>
      <c r="N58" s="182"/>
      <c r="O58" s="182"/>
      <c r="P58" s="182"/>
      <c r="Z58" s="166">
        <f>'Analysis'!D58</f>
        <v>6.5755063469323916E-2</v>
      </c>
    </row>
    <row r="59" spans="1:26" ht="23.1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82"/>
      <c r="K59" s="182"/>
      <c r="L59" s="182"/>
      <c r="M59" s="182"/>
      <c r="N59" s="182"/>
      <c r="O59" s="182"/>
      <c r="P59" s="182"/>
      <c r="Z59" s="166">
        <f>'Analysis'!D59</f>
        <v>-3.7499326656490695E-2</v>
      </c>
    </row>
    <row r="60" spans="1:26" ht="23.1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82"/>
      <c r="K60" s="182"/>
      <c r="L60" s="182"/>
      <c r="M60" s="182"/>
      <c r="N60" s="182"/>
      <c r="O60" s="182"/>
      <c r="P60" s="182"/>
    </row>
    <row r="61" spans="1:26" ht="23.1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82"/>
      <c r="K61" s="182"/>
      <c r="L61" s="182"/>
      <c r="M61" s="182"/>
      <c r="N61" s="182"/>
      <c r="O61" s="182"/>
      <c r="P61" s="182"/>
    </row>
    <row r="62" spans="1:26" ht="23.1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82"/>
      <c r="K62" s="182"/>
      <c r="L62" s="182"/>
      <c r="M62" s="182"/>
      <c r="N62" s="182"/>
      <c r="O62" s="182"/>
      <c r="P62" s="182"/>
    </row>
    <row r="63" spans="1:26" ht="23.1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73"/>
      <c r="K63" s="173"/>
      <c r="L63" s="173"/>
      <c r="M63" s="173"/>
      <c r="N63" s="173"/>
      <c r="O63" s="173"/>
      <c r="P63" s="173"/>
    </row>
    <row r="64" spans="1:26" ht="23.1" customHeight="1">
      <c r="A64" s="165"/>
      <c r="B64" s="165"/>
      <c r="C64" s="165"/>
      <c r="D64" s="165"/>
      <c r="E64" s="165"/>
      <c r="F64" s="165"/>
      <c r="G64" s="165"/>
      <c r="H64" s="165"/>
      <c r="I64" s="165"/>
      <c r="J64" s="168"/>
      <c r="K64" s="168"/>
      <c r="L64" s="168"/>
      <c r="M64" s="168"/>
      <c r="N64" s="168"/>
      <c r="O64" s="168"/>
      <c r="P64" s="168"/>
    </row>
    <row r="65" spans="1:17" ht="23.1" customHeight="1">
      <c r="A65" s="165"/>
      <c r="B65" s="165"/>
      <c r="C65" s="165"/>
      <c r="D65" s="165"/>
      <c r="E65" s="165"/>
      <c r="F65" s="165"/>
      <c r="G65" s="165"/>
      <c r="H65" s="165"/>
      <c r="I65" s="165"/>
      <c r="J65" s="168"/>
      <c r="K65" s="168"/>
      <c r="L65" s="168"/>
      <c r="M65" s="168"/>
      <c r="N65" s="168"/>
      <c r="O65" s="168"/>
      <c r="P65" s="168"/>
    </row>
    <row r="66" spans="1:17" ht="23.1" customHeight="1">
      <c r="A66" s="165"/>
      <c r="B66" s="165"/>
      <c r="C66" s="165"/>
      <c r="D66" s="165"/>
      <c r="E66" s="165"/>
      <c r="F66" s="165"/>
      <c r="G66" s="165"/>
      <c r="H66" s="165"/>
      <c r="I66" s="165"/>
      <c r="J66" s="165"/>
      <c r="K66" s="165"/>
      <c r="L66" s="165"/>
      <c r="M66" s="165"/>
      <c r="N66" s="165"/>
      <c r="O66" s="165"/>
      <c r="P66" s="165"/>
    </row>
    <row r="67" spans="1:17" ht="36" customHeight="1">
      <c r="A67" s="165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</row>
    <row r="68" spans="1:17" ht="23.1" customHeight="1">
      <c r="A68" s="165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</row>
    <row r="69" spans="1:17" ht="42" customHeight="1">
      <c r="A69" s="165"/>
      <c r="B69" s="190" t="inlineStr">
        <is>
          <t>Client Account</t>
        </is>
      </c>
      <c r="C69" s="190"/>
      <c r="D69" s="190" t="inlineStr">
        <is>
          <t>Current Balance</t>
        </is>
      </c>
      <c r="E69" s="190"/>
      <c r="F69" s="187" t="inlineStr">
        <is>
          <t>Prior Balance</t>
        </is>
      </c>
      <c r="G69" s="187" t="inlineStr">
        <is>
          <t>In-Term Debt</t>
        </is>
      </c>
      <c r="H69" s="187" t="inlineStr">
        <is>
          <t>Overdue Debt</t>
        </is>
      </c>
      <c r="I69" s="180"/>
      <c r="J69" s="187" t="inlineStr">
        <is>
          <t>Sales Representative</t>
        </is>
      </c>
      <c r="K69" s="187" t="inlineStr">
        <is>
          <t>Current Balance</t>
        </is>
      </c>
      <c r="L69" s="190" t="inlineStr">
        <is>
          <t>Prior Balance</t>
        </is>
      </c>
      <c r="M69" s="190"/>
      <c r="N69" s="190" t="inlineStr">
        <is>
          <t>In-Term Debt</t>
        </is>
      </c>
      <c r="O69" s="190"/>
      <c r="P69" s="190" t="inlineStr">
        <is>
          <t>Overdue Debt</t>
        </is>
      </c>
      <c r="Q69" s="190"/>
    </row>
    <row r="70" spans="1:17" ht="24" customHeight="1">
      <c r="A70" s="165"/>
      <c r="B70" s="183" t="inlineStr">
        <is>
          <t>Client Beta (Heavy Const.)</t>
        </is>
      </c>
      <c r="C70" s="188"/>
      <c r="D70" s="191">
        <f>'Analysis'!B170</f>
        <v>2000342999.9999998</v>
      </c>
      <c r="E70" s="191"/>
      <c r="F70" s="184">
        <f>'Analysis'!C170</f>
        <v>1603172747.2431</v>
      </c>
      <c r="G70" s="184">
        <f>'Analysis'!D170</f>
        <v>450338999.99999994</v>
      </c>
      <c r="H70" s="184">
        <f>'Analysis'!E170</f>
        <v>1550003999.9999998</v>
      </c>
      <c r="I70" s="180"/>
      <c r="J70" s="183" t="inlineStr">
        <is>
          <t>Senior Sales Rep 1</t>
        </is>
      </c>
      <c r="K70" s="184">
        <f>'Analysis'!H170</f>
        <v>14614668375.3786</v>
      </c>
      <c r="L70" s="191">
        <f>'Analysis'!I170</f>
        <v>14415882830.864698</v>
      </c>
      <c r="M70" s="191"/>
      <c r="N70" s="191">
        <f>'Analysis'!J170</f>
        <v>10509252376.4259</v>
      </c>
      <c r="O70" s="191"/>
      <c r="P70" s="191">
        <f>'Analysis'!K170</f>
        <v>4105415998.9526997</v>
      </c>
      <c r="Q70" s="191"/>
    </row>
    <row r="71" spans="1:17" ht="24" customHeight="1">
      <c r="A71" s="165"/>
      <c r="B71" s="183" t="inlineStr">
        <is>
          <t>Client Delta (Commercial Facade)</t>
        </is>
      </c>
      <c r="C71" s="188"/>
      <c r="D71" s="191">
        <f>'Analysis'!B171</f>
        <v>2283113998.9526997</v>
      </c>
      <c r="E71" s="191"/>
      <c r="F71" s="184">
        <f>'Analysis'!C171</f>
        <v>0</v>
      </c>
      <c r="G71" s="184">
        <f>'Analysis'!D171</f>
        <v>2283113998.9526997</v>
      </c>
      <c r="H71" s="184">
        <f>'Analysis'!E171</f>
        <v>0</v>
      </c>
      <c r="I71" s="180"/>
      <c r="J71" s="183" t="inlineStr">
        <is>
          <t>Senior Sales Rep 2</t>
        </is>
      </c>
      <c r="K71" s="184">
        <f>'Analysis'!H171</f>
        <v>30092673009.5268</v>
      </c>
      <c r="L71" s="191">
        <f>'Analysis'!I171</f>
        <v>15416999426.9523</v>
      </c>
      <c r="M71" s="191"/>
      <c r="N71" s="191">
        <f>'Analysis'!J171</f>
        <v>28416993009.5268</v>
      </c>
      <c r="O71" s="191"/>
      <c r="P71" s="191">
        <f>'Analysis'!K171</f>
        <v>1675679999.9999998</v>
      </c>
      <c r="Q71" s="191"/>
    </row>
    <row r="72" spans="1:17" ht="24" customHeight="1">
      <c r="A72" s="165"/>
      <c r="B72" s="183" t="inlineStr">
        <is>
          <t>Client Alpha (Steel EPC)</t>
        </is>
      </c>
      <c r="C72" s="188"/>
      <c r="D72" s="191">
        <f>'Analysis'!B172</f>
        <v>39053816997.905396</v>
      </c>
      <c r="E72" s="191"/>
      <c r="F72" s="184">
        <f>'Analysis'!C172</f>
        <v>23724532597.8882</v>
      </c>
      <c r="G72" s="184">
        <f>'Analysis'!D172</f>
        <v>36498404998.9527</v>
      </c>
      <c r="H72" s="184">
        <f>'Analysis'!E172</f>
        <v>2555411998.9526997</v>
      </c>
      <c r="I72" s="180"/>
      <c r="J72" s="183" t="inlineStr">
        <is>
          <t>Sales Rep 6</t>
        </is>
      </c>
      <c r="K72" s="184">
        <f>'Analysis'!H172</f>
        <v>0</v>
      </c>
      <c r="L72" s="191">
        <f>'Analysis'!I172</f>
        <v>0</v>
      </c>
      <c r="M72" s="191"/>
      <c r="N72" s="191">
        <f>'Analysis'!J172</f>
        <v>0</v>
      </c>
      <c r="O72" s="191"/>
      <c r="P72" s="191">
        <f>'Analysis'!K172</f>
        <v>0</v>
      </c>
      <c r="Q72" s="191"/>
    </row>
    <row r="73" spans="1:17" ht="24" customHeight="1">
      <c r="A73" s="165"/>
      <c r="B73" s="183" t="inlineStr">
        <is>
          <t>Client Alpha Sub-Contract</t>
        </is>
      </c>
      <c r="C73" s="188"/>
      <c r="D73" s="191">
        <f>'Analysis'!B173</f>
        <v>3653181386.9999995</v>
      </c>
      <c r="E73" s="191"/>
      <c r="F73" s="184">
        <f>'Analysis'!C173</f>
        <v>4505176912.685699</v>
      </c>
      <c r="G73" s="184">
        <f>'Analysis'!D173</f>
        <v>1977501386.9999998</v>
      </c>
      <c r="H73" s="184">
        <f>'Analysis'!E173</f>
        <v>1675679999.9999998</v>
      </c>
      <c r="I73" s="180"/>
      <c r="J73" s="183" t="inlineStr">
        <is>
          <t>Sales Rep 4</t>
        </is>
      </c>
      <c r="K73" s="184">
        <f>'Analysis'!H173</f>
        <v>43462949.99999999</v>
      </c>
      <c r="L73" s="191">
        <f>'Analysis'!I173</f>
        <v>0</v>
      </c>
      <c r="M73" s="191"/>
      <c r="N73" s="191">
        <f>'Analysis'!J173</f>
        <v>43462949.99999999</v>
      </c>
      <c r="O73" s="191"/>
      <c r="P73" s="191">
        <f>'Analysis'!K173</f>
        <v>0</v>
      </c>
      <c r="Q73" s="191"/>
    </row>
    <row r="74" spans="1:17" ht="24" customHeight="1">
      <c r="A74" s="165"/>
      <c r="B74" s="183" t="inlineStr">
        <is>
          <t>Client Epsilon (Equipment)</t>
        </is>
      </c>
      <c r="C74" s="188"/>
      <c r="D74" s="191">
        <f>'Analysis'!B174</f>
        <v>43462949.99999999</v>
      </c>
      <c r="E74" s="191"/>
      <c r="F74" s="184">
        <f>'Analysis'!C174</f>
        <v>0</v>
      </c>
      <c r="G74" s="184">
        <f>'Analysis'!D174</f>
        <v>43462949.99999999</v>
      </c>
      <c r="H74" s="184">
        <f>'Analysis'!E174</f>
        <v>0</v>
      </c>
      <c r="I74" s="180"/>
      <c r="J74" s="183" t="inlineStr">
        <is>
          <t>Sales Rep 5</t>
        </is>
      </c>
      <c r="K74" s="184">
        <f>'Analysis'!H174</f>
        <v>324662.99999999994</v>
      </c>
      <c r="L74" s="191">
        <f>'Analysis'!I174</f>
        <v>333943.12529999996</v>
      </c>
      <c r="M74" s="191"/>
      <c r="N74" s="191">
        <f>'Analysis'!J174</f>
        <v>324662.99999999994</v>
      </c>
      <c r="O74" s="191"/>
      <c r="P74" s="191">
        <f>'Analysis'!K174</f>
        <v>0</v>
      </c>
      <c r="Q74" s="191"/>
    </row>
    <row r="75" spans="1:17" ht="24" customHeight="1">
      <c r="A75" s="165"/>
      <c r="B75" s="183" t="inlineStr">
        <is>
          <t>Client Zeta (Building Tech)</t>
        </is>
      </c>
      <c r="C75" s="188"/>
      <c r="D75" s="191">
        <f>'Analysis'!B175</f>
        <v>324662.99999999994</v>
      </c>
      <c r="E75" s="191"/>
      <c r="F75" s="184">
        <f>'Analysis'!C175</f>
        <v>333943.12529999996</v>
      </c>
      <c r="G75" s="184">
        <f>'Analysis'!D175</f>
        <v>324662.99999999994</v>
      </c>
      <c r="H75" s="184">
        <f>'Analysis'!E175</f>
        <v>0</v>
      </c>
      <c r="I75" s="180"/>
      <c r="J75" s="183" t="inlineStr">
        <is>
          <t>Sales Rep 3</t>
        </is>
      </c>
      <c r="K75" s="184">
        <f>'Analysis'!H175</f>
        <v>4021631999.9999995</v>
      </c>
      <c r="L75" s="191">
        <f>'Analysis'!I175</f>
        <v>4099303795.9157996</v>
      </c>
      <c r="M75" s="191"/>
      <c r="N75" s="191">
        <f>'Analysis'!J175</f>
        <v>0</v>
      </c>
      <c r="O75" s="191"/>
      <c r="P75" s="191">
        <f>'Analysis'!K175</f>
        <v>4021631999.9999995</v>
      </c>
      <c r="Q75" s="191"/>
    </row>
    <row r="76" spans="1:17" ht="24" customHeight="1">
      <c r="A76" s="165"/>
      <c r="B76" s="183" t="inlineStr">
        <is>
          <t>Client Gamma (Offshore Energy)</t>
        </is>
      </c>
      <c r="C76" s="188"/>
      <c r="D76" s="191">
        <f>'Analysis'!B176</f>
        <v>4021631999.9999995</v>
      </c>
      <c r="E76" s="191"/>
      <c r="F76" s="184">
        <f>'Analysis'!C176</f>
        <v>4099303795.9157996</v>
      </c>
      <c r="G76" s="184">
        <f>'Analysis'!D176</f>
        <v>0</v>
      </c>
      <c r="H76" s="184">
        <f>'Analysis'!E176</f>
        <v>4021631999.9999995</v>
      </c>
      <c r="I76" s="180"/>
      <c r="J76" s="180"/>
      <c r="K76" s="180"/>
      <c r="L76" s="180"/>
      <c r="M76" s="180"/>
      <c r="N76" s="180"/>
      <c r="O76" s="180"/>
      <c r="P76" s="180"/>
      <c r="Q76" s="180"/>
    </row>
    <row r="77" spans="1:17" ht="23.1" customHeight="1">
      <c r="A77" s="165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 spans="1:17" ht="23.1" customHeight="1">
      <c r="A78" s="165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79" spans="1:17" ht="24" customHeight="1">
      <c r="A79" s="165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 spans="1:17" ht="24" customHeight="1">
      <c r="A80" s="165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</row>
    <row r="81" spans="1:17" ht="24" customHeight="1">
      <c r="A81" s="165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</row>
    <row r="82" spans="1:17" ht="24" customHeight="1">
      <c r="A82" s="165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</row>
    <row r="83" spans="1:17" ht="24" customHeight="1">
      <c r="A83" s="165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  <row r="84" spans="1:17" ht="24" customHeight="1">
      <c r="A84" s="165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</row>
    <row r="85" spans="1:17" ht="24" customHeight="1">
      <c r="A85" s="16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</row>
    <row r="86" spans="1:17" ht="42" customHeight="1">
      <c r="A86" s="165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</row>
    <row r="87" spans="1:17" ht="24" customHeight="1">
      <c r="A87" s="165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</row>
    <row r="88" spans="1:17" ht="24" customHeight="1">
      <c r="A88" s="165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</row>
    <row r="89" spans="1:17" ht="24" customHeight="1">
      <c r="A89" s="165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</row>
    <row r="90" spans="1:17" ht="24" customHeight="1">
      <c r="A90" s="165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</row>
    <row r="91" spans="1:17" ht="24" customHeight="1">
      <c r="A91" s="165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</row>
    <row r="92" spans="1:17" ht="24" customHeight="1">
      <c r="A92" s="165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</row>
    <row r="93" spans="1:17" ht="24" customHeight="1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</row>
    <row r="94" spans="1:17" ht="15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</row>
    <row r="95" spans="1:17" ht="15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</row>
  </sheetData>
  <mergeCells count="69">
    <mergeCell ref="D76:E76"/>
    <mergeCell ref="N70:O70"/>
    <mergeCell ref="D73:E73"/>
    <mergeCell ref="N72:O72"/>
    <mergeCell ref="N73:O73"/>
    <mergeCell ref="L74:M74"/>
    <mergeCell ref="L75:M75"/>
    <mergeCell ref="N75:O75"/>
    <mergeCell ref="N71:O71"/>
    <mergeCell ref="D74:E74"/>
    <mergeCell ref="D72:E72"/>
    <mergeCell ref="B69:C69"/>
    <mergeCell ref="D69:E69"/>
    <mergeCell ref="D70:E70"/>
    <mergeCell ref="D71:E71"/>
    <mergeCell ref="D75:E75"/>
    <mergeCell ref="B1:K1"/>
    <mergeCell ref="B27:P27"/>
    <mergeCell ref="B28:P28"/>
    <mergeCell ref="J39:P39"/>
    <mergeCell ref="N1:O1"/>
    <mergeCell ref="N2:O2"/>
    <mergeCell ref="N3:O3"/>
    <mergeCell ref="N10:P10"/>
    <mergeCell ref="B9:D9"/>
    <mergeCell ref="E9:F9"/>
    <mergeCell ref="G9:H9"/>
    <mergeCell ref="N6:P6"/>
    <mergeCell ref="K12:P12"/>
    <mergeCell ref="B21:F21"/>
    <mergeCell ref="G21:J21"/>
    <mergeCell ref="N7:P8"/>
    <mergeCell ref="I9:J9"/>
    <mergeCell ref="K9:M9"/>
    <mergeCell ref="N9:P9"/>
    <mergeCell ref="B10:D10"/>
    <mergeCell ref="E10:F10"/>
    <mergeCell ref="G10:H10"/>
    <mergeCell ref="B7:D8"/>
    <mergeCell ref="E7:F8"/>
    <mergeCell ref="G7:H8"/>
    <mergeCell ref="I7:J8"/>
    <mergeCell ref="K7:M8"/>
    <mergeCell ref="B2:C2"/>
    <mergeCell ref="B6:D6"/>
    <mergeCell ref="E6:F6"/>
    <mergeCell ref="G6:H6"/>
    <mergeCell ref="B3:K3"/>
    <mergeCell ref="I6:J6"/>
    <mergeCell ref="K6:M6"/>
    <mergeCell ref="B12:F12"/>
    <mergeCell ref="I10:J10"/>
    <mergeCell ref="K10:M10"/>
    <mergeCell ref="G12:J12"/>
    <mergeCell ref="K21:P21"/>
    <mergeCell ref="L69:M69"/>
    <mergeCell ref="L73:M73"/>
    <mergeCell ref="L70:M70"/>
    <mergeCell ref="L71:M71"/>
    <mergeCell ref="L72:M72"/>
    <mergeCell ref="N69:O69"/>
    <mergeCell ref="P69:Q69"/>
    <mergeCell ref="P75:Q75"/>
    <mergeCell ref="P72:Q72"/>
    <mergeCell ref="P73:Q73"/>
    <mergeCell ref="N74:O74"/>
    <mergeCell ref="P74:Q74"/>
    <mergeCell ref="P70:Q70"/>
    <mergeCell ref="P71:Q71"/>
  </mergeCells>
  <conditionalFormatting sqref="E10:F10">
    <cfRule type="expression" dxfId="4" priority="1" stopIfTrue="1">
      <formula>AND(ISNUMBER($Z$56),$Z$56&gt;0)</formula>
    </cfRule>
    <cfRule type="expression" dxfId="3" priority="2" stopIfTrue="1">
      <formula>AND(ISNUMBER($Z$56),$Z$56&lt;0)</formula>
    </cfRule>
  </conditionalFormatting>
  <conditionalFormatting sqref="G10:H10">
    <cfRule type="expression" dxfId="2" priority="3" stopIfTrue="1">
      <formula>AND(ISNUMBER($Z$57),$Z$57&gt;0)</formula>
    </cfRule>
    <cfRule type="expression" dxfId="1" priority="4" stopIfTrue="1">
      <formula>AND(ISNUMBER($Z$57),$Z$57&lt;0)</formula>
    </cfRule>
  </conditionalFormatting>
  <dataValidations count="3">
    <dataValidation type="list" allowBlank="1" showInputMessage="1" showErrorMessage="1" sqref="P3" xr:uid="{D089B9FC-BD23-4E75-B46E-CFE5D56A2F75}">
      <formula1>"All,Not due,Due in 10 days,Due in 30 days,Overdue 1–60 days,Over 60 days,All overdue"</formula1>
    </dataValidation>
    <dataValidation type="list" allowBlank="1" showInputMessage="1" showErrorMessage="1" sqref="P1" xr:uid="{38531A9A-FD20-4612-8D87-12D76F9EB2C3}">
      <formula1>"All,Client Beta (Heavy Const.),Client CUST0060 (Commercial Facade),Client Alpha (Steel EPC),Client Alpha Sub-Contract,Client Epsilon (Equipment),Client Zeta (Building Tech),Client Gamma (Offshore Energy)"</formula1>
    </dataValidation>
    <dataValidation type="list" allowBlank="1" showInputMessage="1" showErrorMessage="1" sqref="P2" xr:uid="{8C4F3FE4-F1B1-4A0C-8EFB-7423E5C1144C}">
      <formula1>"All,Senior Sales Rep 1,Senior Sales Rep 2,Sales Rep 6,Sales Rep 4,Sales Rep 5,Sales Rep 3"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3"/>
  <sheetViews>
    <sheetView showGridLines="0" workbookViewId="0">
      <selection activeCell="A23" sqref="A23:D23"/>
    </sheetView>
  </sheetViews>
  <sheetFormatPr defaultRowHeight="15"/>
  <cols>
    <col min="1" max="1" width="49" customWidth="1"/>
    <col min="2" max="3" width="20" customWidth="1"/>
  </cols>
  <sheetData>
    <row r="1">
      <c r="A1" t="inlineStr" s="255">
        <is>
          <t>Reconciliation checks</t>
        </is>
      </c>
    </row>
    <row r="3">
      <c r="A3" t="inlineStr" s="256">
        <is>
          <t>Check</t>
        </is>
      </c>
      <c r="B3" t="inlineStr" s="256">
        <is>
          <t>Result</t>
        </is>
      </c>
      <c r="C3" t="inlineStr" s="256">
        <is>
          <t>Expected</t>
        </is>
      </c>
    </row>
    <row r="4">
      <c r="A4" t="inlineStr" s="254">
        <is>
          <t>Invoice gross less receipts less balance</t>
        </is>
      </c>
      <c r="B4" s="254">
        <f>SUM('Current AR'!G6:G160)-SUM('Current AR'!H6:H160)-SUM('Current AR'!I6:I160)</f>
        <v>0</v>
      </c>
      <c r="C4" s="254">
        <v>0</v>
      </c>
    </row>
    <row r="5">
      <c r="A5" t="inlineStr" s="254">
        <is>
          <t>Dashboard total to selected ledger</t>
        </is>
      </c>
      <c r="B5" s="254">
        <f>Analysis!B6-SUM('Current AR'!S6:S160)</f>
        <v>0</v>
      </c>
      <c r="C5" s="254">
        <v>0</v>
      </c>
    </row>
    <row r="6">
      <c r="A6" t="inlineStr" s="254">
        <is>
          <t>Customer groups to filtered invoices</t>
        </is>
      </c>
      <c r="B6" s="254">
        <f>SUM(Analysis!B170:B176)-SUM('Current AR'!V6:V160)</f>
        <v>0</v>
      </c>
      <c r="C6" s="254">
        <v>0</v>
      </c>
    </row>
    <row r="7">
      <c r="A7" t="inlineStr" s="254">
        <is>
          <t>Staff groups to filtered invoices</t>
        </is>
      </c>
      <c r="B7" s="254">
        <f>SUM(Analysis!H170:H175)-SUM('Current AR'!V6:V160)</f>
        <v>0</v>
      </c>
      <c r="C7" s="254">
        <v>0</v>
      </c>
    </row>
    <row r="8">
      <c r="A8" t="inlineStr" s="254">
        <is>
          <t>Ageing buckets to filtered invoices</t>
        </is>
      </c>
      <c r="B8" s="254">
        <f>SUM(Analysis!B38:B44)-SUM('Current AR'!V6:V160)</f>
        <v>0</v>
      </c>
      <c r="C8" s="254">
        <v>0</v>
      </c>
    </row>
    <row r="9">
      <c r="A9" t="inlineStr" s="254">
        <is>
          <t>Current invoice count</t>
        </is>
      </c>
      <c r="B9" s="254">
        <f>COUNTIFS('Current AR'!I6:I160,"&gt;0")</f>
        <v>98</v>
      </c>
      <c r="C9" s="254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Z177"/>
  <sheetViews>
    <sheetView showGridLines="0" workbookViewId="0">
      <pane ySplit="5" topLeftCell="A51" activePane="bottomLeft" state="frozen"/>
      <selection pane="bottomLeft" activeCell="F4" sqref="F4"/>
    </sheetView>
  </sheetViews>
  <sheetFormatPr defaultRowHeight="15"/>
  <cols>
    <col min="1" max="1" width="28.5703125" customWidth="1"/>
    <col min="2" max="5" width="20.5703125" customWidth="1"/>
    <col min="7" max="7" width="24.5703125" customWidth="1"/>
    <col min="8" max="11" width="20.5703125" customWidth="1"/>
    <col min="12" max="12" width="22.5703125" customWidth="1"/>
    <col min="13" max="13" width="18.5703125" customWidth="1"/>
    <col min="16" max="23" width="0" hidden="1" customWidth="1"/>
    <col min="26" max="26" width="0" hidden="1" customWidth="1"/>
    <col min="63" max="78" width="9" hidden="1" customWidth="1"/>
  </cols>
  <sheetData>
    <row r="1" spans="1:41" ht="20.25">
      <c r="A1" s="158" t="inlineStr">
        <is>
          <t>ACCOUNTS RECEIVABLE RECONCILIATION &amp; RISK ANALYSIS</t>
        </is>
      </c>
      <c r="B1" s="148"/>
      <c r="C1" s="148"/>
      <c r="D1" s="148"/>
      <c r="E1" s="14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>
        <v>0</v>
      </c>
      <c r="S1" s="138">
        <v>0</v>
      </c>
      <c r="T1" s="138"/>
      <c r="U1" s="138"/>
      <c r="V1" s="138"/>
      <c r="W1" s="138"/>
      <c r="X1" s="138"/>
      <c r="Y1" s="138"/>
      <c r="Z1" s="138">
        <v>0</v>
      </c>
      <c r="AA1" s="138">
        <v>0</v>
      </c>
      <c r="AB1" s="138"/>
      <c r="AC1" s="138"/>
      <c r="AD1" s="138"/>
      <c r="AE1" s="138"/>
      <c r="AF1" s="138"/>
      <c r="AG1" s="138"/>
      <c r="AH1" s="138">
        <v>0</v>
      </c>
      <c r="AI1" s="138">
        <v>0</v>
      </c>
      <c r="AJ1" s="138"/>
      <c r="AK1" s="138"/>
      <c r="AL1" s="138"/>
      <c r="AM1" s="138"/>
      <c r="AN1" s="138"/>
      <c r="AO1" s="138"/>
    </row>
    <row r="2" spans="1:41">
      <c r="A2" s="148"/>
      <c r="B2" s="148"/>
      <c r="C2" s="148"/>
      <c r="D2" s="148"/>
      <c r="E2" s="14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>
        <f>-COS(PI()*B16)</f>
        <v>-0.9373942558482299</v>
      </c>
      <c r="S2" s="138">
        <f>SIN(PI()*B16)</f>
        <v>0.348270023261755</v>
      </c>
      <c r="T2" s="138"/>
      <c r="U2" s="138"/>
      <c r="V2" s="138"/>
      <c r="W2" s="138"/>
      <c r="X2" s="138"/>
      <c r="Y2" s="138"/>
      <c r="Z2" s="138">
        <f>-COS(PI()*B17)</f>
        <v>-0.9695374966287063</v>
      </c>
      <c r="AA2" s="138">
        <f>SIN(PI()*B17)</f>
        <v>0.24494293749961735</v>
      </c>
      <c r="AB2" s="138"/>
      <c r="AC2" s="138"/>
      <c r="AD2" s="138"/>
      <c r="AE2" s="138"/>
      <c r="AF2" s="138"/>
      <c r="AG2" s="138"/>
      <c r="AH2" s="138">
        <f>-COS(PI()*B18)</f>
        <v>-0.8235325976284275</v>
      </c>
      <c r="AI2" s="138">
        <f>SIN(PI()*B18)</f>
        <v>0.5672689491267565</v>
      </c>
      <c r="AJ2" s="138"/>
      <c r="AK2" s="138"/>
      <c r="AL2" s="138"/>
      <c r="AM2" s="138"/>
      <c r="AN2" s="138"/>
      <c r="AO2" s="138"/>
    </row>
    <row r="3" spans="1:41">
      <c r="A3" s="148"/>
      <c r="B3" s="148"/>
      <c r="C3" s="148"/>
      <c r="D3" s="148"/>
      <c r="E3" s="14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>
        <v>0</v>
      </c>
      <c r="S3" s="138">
        <v>0</v>
      </c>
      <c r="T3" s="138"/>
      <c r="U3" s="138"/>
      <c r="V3" s="138"/>
      <c r="W3" s="138"/>
      <c r="X3" s="138"/>
      <c r="Y3" s="138"/>
      <c r="Z3" s="138">
        <v>0</v>
      </c>
      <c r="AA3" s="138">
        <v>0</v>
      </c>
      <c r="AB3" s="138"/>
      <c r="AC3" s="138"/>
      <c r="AD3" s="138"/>
      <c r="AE3" s="138"/>
      <c r="AF3" s="138"/>
      <c r="AG3" s="138"/>
      <c r="AH3" s="138">
        <v>0</v>
      </c>
      <c r="AI3" s="138">
        <v>0</v>
      </c>
      <c r="AJ3" s="138"/>
      <c r="AK3" s="138"/>
      <c r="AL3" s="138"/>
      <c r="AM3" s="138"/>
      <c r="AN3" s="138"/>
      <c r="AO3" s="138"/>
    </row>
    <row r="4" spans="1:41">
      <c r="A4" s="148"/>
      <c r="B4" s="148"/>
      <c r="C4" s="148"/>
      <c r="D4" s="148"/>
      <c r="E4" s="14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</row>
    <row r="5" spans="1:41">
      <c r="A5" s="159" t="inlineStr">
        <is>
          <t>KPI Metric</t>
        </is>
      </c>
      <c r="B5" s="159" t="inlineStr">
        <is>
          <t>Current Cycle</t>
        </is>
      </c>
      <c r="C5" s="159" t="inlineStr">
        <is>
          <t>Prior Cycle</t>
        </is>
      </c>
      <c r="D5" s="159" t="inlineStr">
        <is>
          <t>Variance</t>
        </is>
      </c>
      <c r="E5" s="159" t="inlineStr">
        <is>
          <t>Change (%)</t>
        </is>
      </c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>
        <v>-1</v>
      </c>
      <c r="S5" s="138">
        <f>SQRT(MAX(0,1-R5^2))</f>
        <v>0</v>
      </c>
      <c r="T5" s="138">
        <f>IF(ISNUMBER($B$16),IF(AND($C$16=1,R5&lt;=-COS(PI()*$B$16)),S5,NA()),NA())</f>
        <v>0</v>
      </c>
      <c r="U5" s="138" t="e">
        <f>IF(ISNUMBER($B$16),IF(AND($C$16=2,R5&lt;=-COS(PI()*$B$16)),S5,NA()),NA())</f>
        <v>#N/A</v>
      </c>
      <c r="V5" s="138" t="e">
        <f>IF(ISNUMBER($B$16),IF(AND($C$16=3,R5&lt;=-COS(PI()*$B$16)),S5,NA()),NA())</f>
        <v>#N/A</v>
      </c>
      <c r="W5" s="138" t="e">
        <f>IF(ISNUMBER($B$16),IF(AND($C$16=4,R5&lt;=-COS(PI()*$B$16)),S5,NA()),NA())</f>
        <v>#N/A</v>
      </c>
      <c r="X5" s="138" t="e">
        <f>IF(ISNUMBER($B$16),IF(AND($C$16=5,R5&lt;=-COS(PI()*$B$16)),S5,NA()),NA())</f>
        <v>#N/A</v>
      </c>
      <c r="Y5" s="138" t="e">
        <f>IF(ISNUMBER($B$16),IF(AND(ISNUMBER($B$16),R5&gt;=MIN(0,$R$2),R5&lt;=MAX(0,$R$2)),IF($R$2=0,0,R5/$R$2*$S$2),NA()),NA())</f>
        <v>#N/A</v>
      </c>
      <c r="Z5" s="138">
        <v>-1</v>
      </c>
      <c r="AA5" s="138">
        <f>SQRT(MAX(0,1-Z5^2))</f>
        <v>0</v>
      </c>
      <c r="AB5" s="138">
        <f>IF(ISNUMBER($B$17),IF(AND($C$17=1,Z5&lt;=-COS(PI()*$B$17)),AA5,NA()),NA())</f>
        <v>0</v>
      </c>
      <c r="AC5" s="138" t="e">
        <f>IF(ISNUMBER($B$17),IF(AND($C$17=2,Z5&lt;=-COS(PI()*$B$17)),AA5,NA()),NA())</f>
        <v>#N/A</v>
      </c>
      <c r="AD5" s="138" t="e">
        <f>IF(ISNUMBER($B$17),IF(AND($C$17=3,Z5&lt;=-COS(PI()*$B$17)),AA5,NA()),NA())</f>
        <v>#N/A</v>
      </c>
      <c r="AE5" s="138" t="e">
        <f>IF(ISNUMBER($B$17),IF(AND($C$17=4,Z5&lt;=-COS(PI()*$B$17)),AA5,NA()),NA())</f>
        <v>#N/A</v>
      </c>
      <c r="AF5" s="138" t="e">
        <f>IF(ISNUMBER($B$17),IF(AND($C$17=5,Z5&lt;=-COS(PI()*$B$17)),AA5,NA()),NA())</f>
        <v>#N/A</v>
      </c>
      <c r="AG5" s="138" t="e">
        <f>IF(ISNUMBER($B$17),IF(AND(ISNUMBER($B$17),Z5&gt;=MIN(0,$Z$2),Z5&lt;=MAX(0,$Z$2)),IF($Z$2=0,0,Z5/$Z$2*$AA$2),NA()),NA())</f>
        <v>#N/A</v>
      </c>
      <c r="AH5" s="138">
        <v>-1</v>
      </c>
      <c r="AI5" s="138">
        <f>SQRT(MAX(0,1-AH5^2))</f>
        <v>0</v>
      </c>
      <c r="AJ5" s="138">
        <f>IF(ISNUMBER($B$18),IF(AND($C$18=1,AH5&lt;=-COS(PI()*$B$18)),AI5,NA()),NA())</f>
        <v>0</v>
      </c>
      <c r="AK5" s="138" t="e">
        <f>IF(ISNUMBER($B$18),IF(AND($C$18=2,AH5&lt;=-COS(PI()*$B$18)),AI5,NA()),NA())</f>
        <v>#N/A</v>
      </c>
      <c r="AL5" s="138" t="e">
        <f>IF(ISNUMBER($B$18),IF(AND($C$18=3,AH5&lt;=-COS(PI()*$B$18)),AI5,NA()),NA())</f>
        <v>#N/A</v>
      </c>
      <c r="AM5" s="138" t="e">
        <f>IF(ISNUMBER($B$18),IF(AND($C$18=4,AH5&lt;=-COS(PI()*$B$18)),AI5,NA()),NA())</f>
        <v>#N/A</v>
      </c>
      <c r="AN5" s="138" t="e">
        <f>IF(ISNUMBER($B$18),IF(AND($C$18=5,AH5&lt;=-COS(PI()*$B$18)),AI5,NA()),NA())</f>
        <v>#N/A</v>
      </c>
      <c r="AO5" s="138" t="e">
        <f>IF(ISNUMBER($B$18),IF(AND(ISNUMBER($B$18),AH5&gt;=MIN(0,$AH$2),AH5&lt;=MAX(0,$AH$2)),IF($AH$2=0,0,AH5/$AH$2*$AI$2),NA()),NA())</f>
        <v>#N/A</v>
      </c>
    </row>
    <row r="6" spans="1:41">
      <c r="A6" s="148" t="inlineStr">
        <is>
          <t>Total Outstanding AR</t>
        </is>
      </c>
      <c r="B6" s="152">
        <f>SUM('Current AR'!$S$6:$S$103)</f>
        <v>51055875000</v>
      </c>
      <c r="C6" s="152">
        <f>SUM('Prior AR'!$S$6:$S$85)</f>
        <v>33932519997</v>
      </c>
      <c r="D6" s="152">
        <f>IF(AND(ISNUMBER(B6),ISNUMBER(C6)),B6-C6,"n.a.")</f>
        <v>17123355003</v>
      </c>
      <c r="E6" s="150">
        <f>IF(AND(ISNUMBER(C6),C6&lt;&gt;0,ISNUMBER(D6)),D6/C6,"n.a.")</f>
        <v>0.5046296297626551</v>
      </c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>
        <v>-0.98</v>
      </c>
      <c r="S6" s="138">
        <f>SQRT(MAX(0,1-R6^2))</f>
        <v>0.1989974874213242</v>
      </c>
      <c r="T6" s="138">
        <f>IF(ISNUMBER($B$16),IF(AND($C$16=1,R6&lt;=-COS(PI()*$B$16)),S6,NA()),NA())</f>
        <v>0.1989974874213242</v>
      </c>
      <c r="U6" s="138" t="e">
        <f>IF(ISNUMBER($B$16),IF(AND($C$16=2,R6&lt;=-COS(PI()*$B$16)),S6,NA()),NA())</f>
        <v>#N/A</v>
      </c>
      <c r="V6" s="138" t="e">
        <f>IF(ISNUMBER($B$16),IF(AND($C$16=3,R6&lt;=-COS(PI()*$B$16)),S6,NA()),NA())</f>
        <v>#N/A</v>
      </c>
      <c r="W6" s="138" t="e">
        <f>IF(ISNUMBER($B$16),IF(AND($C$16=4,R6&lt;=-COS(PI()*$B$16)),S6,NA()),NA())</f>
        <v>#N/A</v>
      </c>
      <c r="X6" s="138" t="e">
        <f>IF(ISNUMBER($B$16),IF(AND($C$16=5,R6&lt;=-COS(PI()*$B$16)),S6,NA()),NA())</f>
        <v>#N/A</v>
      </c>
      <c r="Y6" s="138" t="e">
        <f>IF(ISNUMBER($B$16),IF(AND(ISNUMBER($B$16),R6&gt;=MIN(0,$R$2),R6&lt;=MAX(0,$R$2)),IF($R$2=0,0,R6/$R$2*$S$2),NA()),NA())</f>
        <v>#N/A</v>
      </c>
      <c r="Z6" s="138">
        <v>-0.98</v>
      </c>
      <c r="AA6" s="138">
        <f>SQRT(MAX(0,1-Z6^2))</f>
        <v>0.1989974874213242</v>
      </c>
      <c r="AB6" s="138">
        <f>IF(ISNUMBER($B$17),IF(AND($C$17=1,Z6&lt;=-COS(PI()*$B$17)),AA6,NA()),NA())</f>
        <v>0.1989974874213242</v>
      </c>
      <c r="AC6" s="138" t="e">
        <f>IF(ISNUMBER($B$17),IF(AND($C$17=2,Z6&lt;=-COS(PI()*$B$17)),AA6,NA()),NA())</f>
        <v>#N/A</v>
      </c>
      <c r="AD6" s="138" t="e">
        <f>IF(ISNUMBER($B$17),IF(AND($C$17=3,Z6&lt;=-COS(PI()*$B$17)),AA6,NA()),NA())</f>
        <v>#N/A</v>
      </c>
      <c r="AE6" s="138" t="e">
        <f>IF(ISNUMBER($B$17),IF(AND($C$17=4,Z6&lt;=-COS(PI()*$B$17)),AA6,NA()),NA())</f>
        <v>#N/A</v>
      </c>
      <c r="AF6" s="138" t="e">
        <f>IF(ISNUMBER($B$17),IF(AND($C$17=5,Z6&lt;=-COS(PI()*$B$17)),AA6,NA()),NA())</f>
        <v>#N/A</v>
      </c>
      <c r="AG6" s="138" t="e">
        <f>IF(ISNUMBER($B$17),IF(AND(ISNUMBER($B$17),Z6&gt;=MIN(0,$Z$2),Z6&lt;=MAX(0,$Z$2)),IF($Z$2=0,0,Z6/$Z$2*$AA$2),NA()),NA())</f>
        <v>#N/A</v>
      </c>
      <c r="AH6" s="138">
        <v>-0.98</v>
      </c>
      <c r="AI6" s="138">
        <f>SQRT(MAX(0,1-AH6^2))</f>
        <v>0.1989974874213242</v>
      </c>
      <c r="AJ6" s="138">
        <f>IF(ISNUMBER($B$18),IF(AND($C$18=1,AH6&lt;=-COS(PI()*$B$18)),AI6,NA()),NA())</f>
        <v>0.1989974874213242</v>
      </c>
      <c r="AK6" s="138" t="e">
        <f>IF(ISNUMBER($B$18),IF(AND($C$18=2,AH6&lt;=-COS(PI()*$B$18)),AI6,NA()),NA())</f>
        <v>#N/A</v>
      </c>
      <c r="AL6" s="138" t="e">
        <f>IF(ISNUMBER($B$18),IF(AND($C$18=3,AH6&lt;=-COS(PI()*$B$18)),AI6,NA()),NA())</f>
        <v>#N/A</v>
      </c>
      <c r="AM6" s="138" t="e">
        <f>IF(ISNUMBER($B$18),IF(AND($C$18=4,AH6&lt;=-COS(PI()*$B$18)),AI6,NA()),NA())</f>
        <v>#N/A</v>
      </c>
      <c r="AN6" s="138" t="e">
        <f>IF(ISNUMBER($B$18),IF(AND($C$18=5,AH6&lt;=-COS(PI()*$B$18)),AI6,NA()),NA())</f>
        <v>#N/A</v>
      </c>
      <c r="AO6" s="138" t="e">
        <f>IF(ISNUMBER($B$18),IF(AND(ISNUMBER($B$18),AH6&gt;=MIN(0,$AH$2),AH6&lt;=MAX(0,$AH$2)),IF($AH$2=0,0,AH6/$AH$2*$AI$2),NA()),NA())</f>
        <v>#N/A</v>
      </c>
    </row>
    <row r="7" spans="1:41">
      <c r="A7" s="148" t="inlineStr">
        <is>
          <t>Overdue Debt (1–60 Days)</t>
        </is>
      </c>
      <c r="B7" s="152">
        <f>SUMIFS('Current AR'!$S$6:$S$103,'Current AR'!$Q$6:$Q$103,"&gt;0",'Current AR'!$Q$6:$Q$103,"&lt;=60")</f>
        <v>5781096000</v>
      </c>
      <c r="C7" s="152">
        <f>SUMIFS('Prior AR'!$S$6:$S$85,'Prior AR'!$Q$6:$Q$85,"&gt;0",'Prior AR'!$Q$6:$Q$85,"&lt;=60")</f>
        <v>5829261123</v>
      </c>
      <c r="D7" s="152">
        <f>IF(AND(ISNUMBER(B7),ISNUMBER(C7)),B7-C7,"n.a.")</f>
        <v>-48165123</v>
      </c>
      <c r="E7" s="150">
        <f>IF(AND(ISNUMBER(C7),C7&lt;&gt;0,ISNUMBER(D7)),D7/C7,"n.a.")</f>
        <v>-0.008262646325785465</v>
      </c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>
        <v>-0.96</v>
      </c>
      <c r="S7" s="138">
        <f>SQRT(MAX(0,1-R7^2))</f>
        <v>0.28000000000000003</v>
      </c>
      <c r="T7" s="138">
        <f>IF(ISNUMBER($B$16),IF(AND($C$16=1,R7&lt;=-COS(PI()*$B$16)),S7,NA()),NA())</f>
        <v>0.28000000000000003</v>
      </c>
      <c r="U7" s="138" t="e">
        <f>IF(ISNUMBER($B$16),IF(AND($C$16=2,R7&lt;=-COS(PI()*$B$16)),S7,NA()),NA())</f>
        <v>#N/A</v>
      </c>
      <c r="V7" s="138" t="e">
        <f>IF(ISNUMBER($B$16),IF(AND($C$16=3,R7&lt;=-COS(PI()*$B$16)),S7,NA()),NA())</f>
        <v>#N/A</v>
      </c>
      <c r="W7" s="138" t="e">
        <f>IF(ISNUMBER($B$16),IF(AND($C$16=4,R7&lt;=-COS(PI()*$B$16)),S7,NA()),NA())</f>
        <v>#N/A</v>
      </c>
      <c r="X7" s="138" t="e">
        <f>IF(ISNUMBER($B$16),IF(AND($C$16=5,R7&lt;=-COS(PI()*$B$16)),S7,NA()),NA())</f>
        <v>#N/A</v>
      </c>
      <c r="Y7" s="138" t="e">
        <f>IF(ISNUMBER($B$16),IF(AND(ISNUMBER($B$16),R7&gt;=MIN(0,$R$2),R7&lt;=MAX(0,$R$2)),IF($R$2=0,0,R7/$R$2*$S$2),NA()),NA())</f>
        <v>#N/A</v>
      </c>
      <c r="Z7" s="138">
        <v>-0.96</v>
      </c>
      <c r="AA7" s="138">
        <f>SQRT(MAX(0,1-Z7^2))</f>
        <v>0.28000000000000003</v>
      </c>
      <c r="AB7" s="138" t="e">
        <f>IF(ISNUMBER($B$17),IF(AND($C$17=1,Z7&lt;=-COS(PI()*$B$17)),AA7,NA()),NA())</f>
        <v>#N/A</v>
      </c>
      <c r="AC7" s="138" t="e">
        <f>IF(ISNUMBER($B$17),IF(AND($C$17=2,Z7&lt;=-COS(PI()*$B$17)),AA7,NA()),NA())</f>
        <v>#N/A</v>
      </c>
      <c r="AD7" s="138" t="e">
        <f>IF(ISNUMBER($B$17),IF(AND($C$17=3,Z7&lt;=-COS(PI()*$B$17)),AA7,NA()),NA())</f>
        <v>#N/A</v>
      </c>
      <c r="AE7" s="138" t="e">
        <f>IF(ISNUMBER($B$17),IF(AND($C$17=4,Z7&lt;=-COS(PI()*$B$17)),AA7,NA()),NA())</f>
        <v>#N/A</v>
      </c>
      <c r="AF7" s="138" t="e">
        <f>IF(ISNUMBER($B$17),IF(AND($C$17=5,Z7&lt;=-COS(PI()*$B$17)),AA7,NA()),NA())</f>
        <v>#N/A</v>
      </c>
      <c r="AG7" s="138">
        <f>IF(ISNUMBER($B$17),IF(AND(ISNUMBER($B$17),Z7&gt;=MIN(0,$Z$2),Z7&lt;=MAX(0,$Z$2)),IF($Z$2=0,0,Z7/$Z$2*$AA$2),NA()),NA())</f>
        <v>0.24253339435799284</v>
      </c>
      <c r="AH7" s="138">
        <v>-0.96</v>
      </c>
      <c r="AI7" s="138">
        <f>SQRT(MAX(0,1-AH7^2))</f>
        <v>0.28000000000000003</v>
      </c>
      <c r="AJ7" s="138">
        <f>IF(ISNUMBER($B$18),IF(AND($C$18=1,AH7&lt;=-COS(PI()*$B$18)),AI7,NA()),NA())</f>
        <v>0.28000000000000003</v>
      </c>
      <c r="AK7" s="138" t="e">
        <f>IF(ISNUMBER($B$18),IF(AND($C$18=2,AH7&lt;=-COS(PI()*$B$18)),AI7,NA()),NA())</f>
        <v>#N/A</v>
      </c>
      <c r="AL7" s="138" t="e">
        <f>IF(ISNUMBER($B$18),IF(AND($C$18=3,AH7&lt;=-COS(PI()*$B$18)),AI7,NA()),NA())</f>
        <v>#N/A</v>
      </c>
      <c r="AM7" s="138" t="e">
        <f>IF(ISNUMBER($B$18),IF(AND($C$18=4,AH7&lt;=-COS(PI()*$B$18)),AI7,NA()),NA())</f>
        <v>#N/A</v>
      </c>
      <c r="AN7" s="138" t="e">
        <f>IF(ISNUMBER($B$18),IF(AND($C$18=5,AH7&lt;=-COS(PI()*$B$18)),AI7,NA()),NA())</f>
        <v>#N/A</v>
      </c>
      <c r="AO7" s="138" t="e">
        <f>IF(ISNUMBER($B$18),IF(AND(ISNUMBER($B$18),AH7&gt;=MIN(0,$AH$2),AH7&lt;=MAX(0,$AH$2)),IF($AH$2=0,0,AH7/$AH$2*$AI$2),NA()),NA())</f>
        <v>#N/A</v>
      </c>
    </row>
    <row r="8" spans="1:41">
      <c r="A8" s="148" t="inlineStr">
        <is>
          <t>Doubtful Debt (&gt;60 Days)</t>
        </is>
      </c>
      <c r="B8" s="152">
        <f>SUMIFS('Current AR'!$S$6:$S$103,'Current AR'!$Q$6:$Q$103,"&gt;60")</f>
        <v>4021632000</v>
      </c>
      <c r="C8" s="152">
        <f>SUMIFS('Prior AR'!$S$6:$S$85,'Prior AR'!$Q$6:$Q$85,"&gt;60")</f>
        <v>4099303796</v>
      </c>
      <c r="D8" s="152">
        <f>IF(AND(ISNUMBER(B8),ISNUMBER(C8)),B8-C8,"n.a.")</f>
        <v>-77671796</v>
      </c>
      <c r="E8" s="150">
        <f>IF(AND(ISNUMBER(C8),C8&lt;&gt;0,ISNUMBER(D8)),D8/C8,"n.a.")</f>
        <v>-0.018947557894047822</v>
      </c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>
        <v>-0.94</v>
      </c>
      <c r="S8" s="138">
        <f>SQRT(MAX(0,1-R8^2))</f>
        <v>0.34117444218463971</v>
      </c>
      <c r="T8" s="138">
        <f>IF(ISNUMBER($B$16),IF(AND($C$16=1,R8&lt;=-COS(PI()*$B$16)),S8,NA()),NA())</f>
        <v>0.34117444218463971</v>
      </c>
      <c r="U8" s="138" t="e">
        <f>IF(ISNUMBER($B$16),IF(AND($C$16=2,R8&lt;=-COS(PI()*$B$16)),S8,NA()),NA())</f>
        <v>#N/A</v>
      </c>
      <c r="V8" s="138" t="e">
        <f>IF(ISNUMBER($B$16),IF(AND($C$16=3,R8&lt;=-COS(PI()*$B$16)),S8,NA()),NA())</f>
        <v>#N/A</v>
      </c>
      <c r="W8" s="138" t="e">
        <f>IF(ISNUMBER($B$16),IF(AND($C$16=4,R8&lt;=-COS(PI()*$B$16)),S8,NA()),NA())</f>
        <v>#N/A</v>
      </c>
      <c r="X8" s="138" t="e">
        <f>IF(ISNUMBER($B$16),IF(AND($C$16=5,R8&lt;=-COS(PI()*$B$16)),S8,NA()),NA())</f>
        <v>#N/A</v>
      </c>
      <c r="Y8" s="138" t="e">
        <f>IF(ISNUMBER($B$16),IF(AND(ISNUMBER($B$16),R8&gt;=MIN(0,$R$2),R8&lt;=MAX(0,$R$2)),IF($R$2=0,0,R8/$R$2*$S$2),NA()),NA())</f>
        <v>#N/A</v>
      </c>
      <c r="Z8" s="138">
        <v>-0.94</v>
      </c>
      <c r="AA8" s="138">
        <f>SQRT(MAX(0,1-Z8^2))</f>
        <v>0.34117444218463971</v>
      </c>
      <c r="AB8" s="138" t="e">
        <f>IF(ISNUMBER($B$17),IF(AND($C$17=1,Z8&lt;=-COS(PI()*$B$17)),AA8,NA()),NA())</f>
        <v>#N/A</v>
      </c>
      <c r="AC8" s="138" t="e">
        <f>IF(ISNUMBER($B$17),IF(AND($C$17=2,Z8&lt;=-COS(PI()*$B$17)),AA8,NA()),NA())</f>
        <v>#N/A</v>
      </c>
      <c r="AD8" s="138" t="e">
        <f>IF(ISNUMBER($B$17),IF(AND($C$17=3,Z8&lt;=-COS(PI()*$B$17)),AA8,NA()),NA())</f>
        <v>#N/A</v>
      </c>
      <c r="AE8" s="138" t="e">
        <f>IF(ISNUMBER($B$17),IF(AND($C$17=4,Z8&lt;=-COS(PI()*$B$17)),AA8,NA()),NA())</f>
        <v>#N/A</v>
      </c>
      <c r="AF8" s="138" t="e">
        <f>IF(ISNUMBER($B$17),IF(AND($C$17=5,Z8&lt;=-COS(PI()*$B$17)),AA8,NA()),NA())</f>
        <v>#N/A</v>
      </c>
      <c r="AG8" s="138">
        <f>IF(ISNUMBER($B$17),IF(AND(ISNUMBER($B$17),Z8&gt;=MIN(0,$Z$2),Z8&lt;=MAX(0,$Z$2)),IF($Z$2=0,0,Z8/$Z$2*$AA$2),NA()),NA())</f>
        <v>0.23748061530886802</v>
      </c>
      <c r="AH8" s="138">
        <v>-0.94</v>
      </c>
      <c r="AI8" s="138">
        <f>SQRT(MAX(0,1-AH8^2))</f>
        <v>0.34117444218463971</v>
      </c>
      <c r="AJ8" s="138">
        <f>IF(ISNUMBER($B$18),IF(AND($C$18=1,AH8&lt;=-COS(PI()*$B$18)),AI8,NA()),NA())</f>
        <v>0.34117444218463971</v>
      </c>
      <c r="AK8" s="138" t="e">
        <f>IF(ISNUMBER($B$18),IF(AND($C$18=2,AH8&lt;=-COS(PI()*$B$18)),AI8,NA()),NA())</f>
        <v>#N/A</v>
      </c>
      <c r="AL8" s="138" t="e">
        <f>IF(ISNUMBER($B$18),IF(AND($C$18=3,AH8&lt;=-COS(PI()*$B$18)),AI8,NA()),NA())</f>
        <v>#N/A</v>
      </c>
      <c r="AM8" s="138" t="e">
        <f>IF(ISNUMBER($B$18),IF(AND($C$18=4,AH8&lt;=-COS(PI()*$B$18)),AI8,NA()),NA())</f>
        <v>#N/A</v>
      </c>
      <c r="AN8" s="138" t="e">
        <f>IF(ISNUMBER($B$18),IF(AND($C$18=5,AH8&lt;=-COS(PI()*$B$18)),AI8,NA()),NA())</f>
        <v>#N/A</v>
      </c>
      <c r="AO8" s="138" t="e">
        <f>IF(ISNUMBER($B$18),IF(AND(ISNUMBER($B$18),AH8&gt;=MIN(0,$AH$2),AH8&lt;=MAX(0,$AH$2)),IF($AH$2=0,0,AH8/$AH$2*$AI$2),NA()),NA())</f>
        <v>#N/A</v>
      </c>
    </row>
    <row r="9" spans="1:41">
      <c r="A9" s="148" t="inlineStr">
        <is>
          <t>Total Overdue &amp; Doubtful</t>
        </is>
      </c>
      <c r="B9" s="152">
        <f>B7+B8</f>
        <v>9802728000</v>
      </c>
      <c r="C9" s="152">
        <f>C7+C8</f>
        <v>9928564919</v>
      </c>
      <c r="D9" s="152">
        <f>IF(AND(ISNUMBER(B9),ISNUMBER(C9)),B9-C9,"n.a.")</f>
        <v>-125836919</v>
      </c>
      <c r="E9" s="150">
        <f>IF(AND(ISNUMBER(C9),C9&lt;&gt;0,ISNUMBER(D9)),D9/C9,"n.a.")</f>
        <v>-0.012674230367290002</v>
      </c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>
        <v>-0.92</v>
      </c>
      <c r="S9" s="138">
        <f>SQRT(MAX(0,1-R9^2))</f>
        <v>0.39191835884530846</v>
      </c>
      <c r="T9" s="138" t="e">
        <f>IF(ISNUMBER($B$16),IF(AND($C$16=1,R9&lt;=-COS(PI()*$B$16)),S9,NA()),NA())</f>
        <v>#N/A</v>
      </c>
      <c r="U9" s="138" t="e">
        <f>IF(ISNUMBER($B$16),IF(AND($C$16=2,R9&lt;=-COS(PI()*$B$16)),S9,NA()),NA())</f>
        <v>#N/A</v>
      </c>
      <c r="V9" s="138" t="e">
        <f>IF(ISNUMBER($B$16),IF(AND($C$16=3,R9&lt;=-COS(PI()*$B$16)),S9,NA()),NA())</f>
        <v>#N/A</v>
      </c>
      <c r="W9" s="138" t="e">
        <f>IF(ISNUMBER($B$16),IF(AND($C$16=4,R9&lt;=-COS(PI()*$B$16)),S9,NA()),NA())</f>
        <v>#N/A</v>
      </c>
      <c r="X9" s="138" t="e">
        <f>IF(ISNUMBER($B$16),IF(AND($C$16=5,R9&lt;=-COS(PI()*$B$16)),S9,NA()),NA())</f>
        <v>#N/A</v>
      </c>
      <c r="Y9" s="138">
        <f>IF(ISNUMBER($B$16),IF(AND(ISNUMBER($B$16),R9&gt;=MIN(0,$R$2),R9&lt;=MAX(0,$R$2)),IF($R$2=0,0,R9/$R$2*$S$2),NA()),NA())</f>
        <v>0.34180753654087698</v>
      </c>
      <c r="Z9" s="138">
        <v>-0.92</v>
      </c>
      <c r="AA9" s="138">
        <f>SQRT(MAX(0,1-Z9^2))</f>
        <v>0.39191835884530846</v>
      </c>
      <c r="AB9" s="138" t="e">
        <f>IF(ISNUMBER($B$17),IF(AND($C$17=1,Z9&lt;=-COS(PI()*$B$17)),AA9,NA()),NA())</f>
        <v>#N/A</v>
      </c>
      <c r="AC9" s="138" t="e">
        <f>IF(ISNUMBER($B$17),IF(AND($C$17=2,Z9&lt;=-COS(PI()*$B$17)),AA9,NA()),NA())</f>
        <v>#N/A</v>
      </c>
      <c r="AD9" s="138" t="e">
        <f>IF(ISNUMBER($B$17),IF(AND($C$17=3,Z9&lt;=-COS(PI()*$B$17)),AA9,NA()),NA())</f>
        <v>#N/A</v>
      </c>
      <c r="AE9" s="138" t="e">
        <f>IF(ISNUMBER($B$17),IF(AND($C$17=4,Z9&lt;=-COS(PI()*$B$17)),AA9,NA()),NA())</f>
        <v>#N/A</v>
      </c>
      <c r="AF9" s="138" t="e">
        <f>IF(ISNUMBER($B$17),IF(AND($C$17=5,Z9&lt;=-COS(PI()*$B$17)),AA9,NA()),NA())</f>
        <v>#N/A</v>
      </c>
      <c r="AG9" s="138">
        <f>IF(ISNUMBER($B$17),IF(AND(ISNUMBER($B$17),Z9&gt;=MIN(0,$Z$2),Z9&lt;=MAX(0,$Z$2)),IF($Z$2=0,0,Z9/$Z$2*$AA$2),NA()),NA())</f>
        <v>0.2324278362597432</v>
      </c>
      <c r="AH9" s="138">
        <v>-0.92</v>
      </c>
      <c r="AI9" s="138">
        <f>SQRT(MAX(0,1-AH9^2))</f>
        <v>0.39191835884530846</v>
      </c>
      <c r="AJ9" s="138">
        <f>IF(ISNUMBER($B$18),IF(AND($C$18=1,AH9&lt;=-COS(PI()*$B$18)),AI9,NA()),NA())</f>
        <v>0.39191835884530846</v>
      </c>
      <c r="AK9" s="138" t="e">
        <f>IF(ISNUMBER($B$18),IF(AND($C$18=2,AH9&lt;=-COS(PI()*$B$18)),AI9,NA()),NA())</f>
        <v>#N/A</v>
      </c>
      <c r="AL9" s="138" t="e">
        <f>IF(ISNUMBER($B$18),IF(AND($C$18=3,AH9&lt;=-COS(PI()*$B$18)),AI9,NA()),NA())</f>
        <v>#N/A</v>
      </c>
      <c r="AM9" s="138" t="e">
        <f>IF(ISNUMBER($B$18),IF(AND($C$18=4,AH9&lt;=-COS(PI()*$B$18)),AI9,NA()),NA())</f>
        <v>#N/A</v>
      </c>
      <c r="AN9" s="138" t="e">
        <f>IF(ISNUMBER($B$18),IF(AND($C$18=5,AH9&lt;=-COS(PI()*$B$18)),AI9,NA()),NA())</f>
        <v>#N/A</v>
      </c>
      <c r="AO9" s="138" t="e">
        <f>IF(ISNUMBER($B$18),IF(AND(ISNUMBER($B$18),AH9&gt;=MIN(0,$AH$2),AH9&lt;=MAX(0,$AH$2)),IF($AH$2=0,0,AH9/$AH$2*$AI$2),NA()),NA())</f>
        <v>#N/A</v>
      </c>
    </row>
    <row r="10" spans="1:41">
      <c r="A10" s="148" t="inlineStr">
        <is>
          <t>Total Overdue Ratio</t>
        </is>
      </c>
      <c r="B10" s="150">
        <f>IF(B6=0,"n.a.",B9/B6)</f>
        <v>0.192</v>
      </c>
      <c r="C10" s="150">
        <f>IF(C6=0,"n.a.",C9/C6)</f>
        <v>0.29259733494234413</v>
      </c>
      <c r="D10" s="150">
        <f>IF(AND(ISNUMBER(B10),ISNUMBER(C10)),B10-C10,"n.a.")</f>
        <v>-0.10059733494234413</v>
      </c>
      <c r="E10" s="150">
        <f>IF(AND(ISNUMBER(C10),C10&lt;&gt;0,ISNUMBER(D10)),D10/C10,"n.a.")</f>
        <v>-0.3438081039328902</v>
      </c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>
        <v>-0.9</v>
      </c>
      <c r="S10" s="138">
        <f>SQRT(MAX(0,1-R10^2))</f>
        <v>0.43588989435406728</v>
      </c>
      <c r="T10" s="138" t="e">
        <f>IF(ISNUMBER($B$16),IF(AND($C$16=1,R10&lt;=-COS(PI()*$B$16)),S10,NA()),NA())</f>
        <v>#N/A</v>
      </c>
      <c r="U10" s="138" t="e">
        <f>IF(ISNUMBER($B$16),IF(AND($C$16=2,R10&lt;=-COS(PI()*$B$16)),S10,NA()),NA())</f>
        <v>#N/A</v>
      </c>
      <c r="V10" s="138" t="e">
        <f>IF(ISNUMBER($B$16),IF(AND($C$16=3,R10&lt;=-COS(PI()*$B$16)),S10,NA()),NA())</f>
        <v>#N/A</v>
      </c>
      <c r="W10" s="138" t="e">
        <f>IF(ISNUMBER($B$16),IF(AND($C$16=4,R10&lt;=-COS(PI()*$B$16)),S10,NA()),NA())</f>
        <v>#N/A</v>
      </c>
      <c r="X10" s="138" t="e">
        <f>IF(ISNUMBER($B$16),IF(AND($C$16=5,R10&lt;=-COS(PI()*$B$16)),S10,NA()),NA())</f>
        <v>#N/A</v>
      </c>
      <c r="Y10" s="138">
        <f>IF(ISNUMBER($B$16),IF(AND(ISNUMBER($B$16),R10&gt;=MIN(0,$R$2),R10&lt;=MAX(0,$R$2)),IF($R$2=0,0,R10/$R$2*$S$2),NA()),NA())</f>
        <v>0.33437693792042311</v>
      </c>
      <c r="Z10" s="138">
        <v>-0.9</v>
      </c>
      <c r="AA10" s="138">
        <f>SQRT(MAX(0,1-Z10^2))</f>
        <v>0.43588989435406728</v>
      </c>
      <c r="AB10" s="138" t="e">
        <f>IF(ISNUMBER($B$17),IF(AND($C$17=1,Z10&lt;=-COS(PI()*$B$17)),AA10,NA()),NA())</f>
        <v>#N/A</v>
      </c>
      <c r="AC10" s="138" t="e">
        <f>IF(ISNUMBER($B$17),IF(AND($C$17=2,Z10&lt;=-COS(PI()*$B$17)),AA10,NA()),NA())</f>
        <v>#N/A</v>
      </c>
      <c r="AD10" s="138" t="e">
        <f>IF(ISNUMBER($B$17),IF(AND($C$17=3,Z10&lt;=-COS(PI()*$B$17)),AA10,NA()),NA())</f>
        <v>#N/A</v>
      </c>
      <c r="AE10" s="138" t="e">
        <f>IF(ISNUMBER($B$17),IF(AND($C$17=4,Z10&lt;=-COS(PI()*$B$17)),AA10,NA()),NA())</f>
        <v>#N/A</v>
      </c>
      <c r="AF10" s="138" t="e">
        <f>IF(ISNUMBER($B$17),IF(AND($C$17=5,Z10&lt;=-COS(PI()*$B$17)),AA10,NA()),NA())</f>
        <v>#N/A</v>
      </c>
      <c r="AG10" s="138">
        <f>IF(ISNUMBER($B$17),IF(AND(ISNUMBER($B$17),Z10&gt;=MIN(0,$Z$2),Z10&lt;=MAX(0,$Z$2)),IF($Z$2=0,0,Z10/$Z$2*$AA$2),NA()),NA())</f>
        <v>0.22737505721061832</v>
      </c>
      <c r="AH10" s="138">
        <v>-0.9</v>
      </c>
      <c r="AI10" s="138">
        <f>SQRT(MAX(0,1-AH10^2))</f>
        <v>0.43588989435406728</v>
      </c>
      <c r="AJ10" s="138">
        <f>IF(ISNUMBER($B$18),IF(AND($C$18=1,AH10&lt;=-COS(PI()*$B$18)),AI10,NA()),NA())</f>
        <v>0.43588989435406728</v>
      </c>
      <c r="AK10" s="138" t="e">
        <f>IF(ISNUMBER($B$18),IF(AND($C$18=2,AH10&lt;=-COS(PI()*$B$18)),AI10,NA()),NA())</f>
        <v>#N/A</v>
      </c>
      <c r="AL10" s="138" t="e">
        <f>IF(ISNUMBER($B$18),IF(AND($C$18=3,AH10&lt;=-COS(PI()*$B$18)),AI10,NA()),NA())</f>
        <v>#N/A</v>
      </c>
      <c r="AM10" s="138" t="e">
        <f>IF(ISNUMBER($B$18),IF(AND($C$18=4,AH10&lt;=-COS(PI()*$B$18)),AI10,NA()),NA())</f>
        <v>#N/A</v>
      </c>
      <c r="AN10" s="138" t="e">
        <f>IF(ISNUMBER($B$18),IF(AND($C$18=5,AH10&lt;=-COS(PI()*$B$18)),AI10,NA()),NA())</f>
        <v>#N/A</v>
      </c>
      <c r="AO10" s="138" t="e">
        <f>IF(ISNUMBER($B$18),IF(AND(ISNUMBER($B$18),AH10&gt;=MIN(0,$AH$2),AH10&lt;=MAX(0,$AH$2)),IF($AH$2=0,0,AH10/$AH$2*$AI$2),NA()),NA())</f>
        <v>#N/A</v>
      </c>
    </row>
    <row r="11" spans="1:41">
      <c r="A11" s="148" t="inlineStr">
        <is>
          <t>Due within 10 Days</t>
        </is>
      </c>
      <c r="B11" s="152">
        <f>SUMIFS('Current AR'!$S$6:$S$103,'Current AR'!$Q$6:$Q$103,"&gt;=-10",'Current AR'!$Q$6:$Q$103,"&lt;=0")</f>
        <v>3810796638</v>
      </c>
      <c r="C11" s="152">
        <f>SUMIFS('Prior AR'!$S$6:$S$85,'Prior AR'!$Q$6:$Q$85,"&gt;=-10",'Prior AR'!$Q$6:$Q$85,"&lt;=0")</f>
        <v>3345665769</v>
      </c>
      <c r="D11" s="152">
        <f>IF(AND(ISNUMBER(B11),ISNUMBER(C11)),B11-C11,"n.a.")</f>
        <v>465130869</v>
      </c>
      <c r="E11" s="150">
        <f>IF(AND(ISNUMBER(C11),C11&lt;&gt;0,ISNUMBER(D11)),D11/C11,"n.a.")</f>
        <v>0.13902490598725434</v>
      </c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>
        <v>-0.88</v>
      </c>
      <c r="S11" s="138">
        <f>SQRT(MAX(0,1-R11^2))</f>
        <v>0.4749736834815167</v>
      </c>
      <c r="T11" s="138" t="e">
        <f>IF(ISNUMBER($B$16),IF(AND($C$16=1,R11&lt;=-COS(PI()*$B$16)),S11,NA()),NA())</f>
        <v>#N/A</v>
      </c>
      <c r="U11" s="138" t="e">
        <f>IF(ISNUMBER($B$16),IF(AND($C$16=2,R11&lt;=-COS(PI()*$B$16)),S11,NA()),NA())</f>
        <v>#N/A</v>
      </c>
      <c r="V11" s="138" t="e">
        <f>IF(ISNUMBER($B$16),IF(AND($C$16=3,R11&lt;=-COS(PI()*$B$16)),S11,NA()),NA())</f>
        <v>#N/A</v>
      </c>
      <c r="W11" s="138" t="e">
        <f>IF(ISNUMBER($B$16),IF(AND($C$16=4,R11&lt;=-COS(PI()*$B$16)),S11,NA()),NA())</f>
        <v>#N/A</v>
      </c>
      <c r="X11" s="138" t="e">
        <f>IF(ISNUMBER($B$16),IF(AND($C$16=5,R11&lt;=-COS(PI()*$B$16)),S11,NA()),NA())</f>
        <v>#N/A</v>
      </c>
      <c r="Y11" s="138">
        <f>IF(ISNUMBER($B$16),IF(AND(ISNUMBER($B$16),R11&gt;=MIN(0,$R$2),R11&lt;=MAX(0,$R$2)),IF($R$2=0,0,R11/$R$2*$S$2),NA()),NA())</f>
        <v>0.32694633929996925</v>
      </c>
      <c r="Z11" s="138">
        <v>-0.88</v>
      </c>
      <c r="AA11" s="138">
        <f>SQRT(MAX(0,1-Z11^2))</f>
        <v>0.4749736834815167</v>
      </c>
      <c r="AB11" s="138" t="e">
        <f>IF(ISNUMBER($B$17),IF(AND($C$17=1,Z11&lt;=-COS(PI()*$B$17)),AA11,NA()),NA())</f>
        <v>#N/A</v>
      </c>
      <c r="AC11" s="138" t="e">
        <f>IF(ISNUMBER($B$17),IF(AND($C$17=2,Z11&lt;=-COS(PI()*$B$17)),AA11,NA()),NA())</f>
        <v>#N/A</v>
      </c>
      <c r="AD11" s="138" t="e">
        <f>IF(ISNUMBER($B$17),IF(AND($C$17=3,Z11&lt;=-COS(PI()*$B$17)),AA11,NA()),NA())</f>
        <v>#N/A</v>
      </c>
      <c r="AE11" s="138" t="e">
        <f>IF(ISNUMBER($B$17),IF(AND($C$17=4,Z11&lt;=-COS(PI()*$B$17)),AA11,NA()),NA())</f>
        <v>#N/A</v>
      </c>
      <c r="AF11" s="138" t="e">
        <f>IF(ISNUMBER($B$17),IF(AND($C$17=5,Z11&lt;=-COS(PI()*$B$17)),AA11,NA()),NA())</f>
        <v>#N/A</v>
      </c>
      <c r="AG11" s="138">
        <f>IF(ISNUMBER($B$17),IF(AND(ISNUMBER($B$17),Z11&gt;=MIN(0,$Z$2),Z11&lt;=MAX(0,$Z$2)),IF($Z$2=0,0,Z11/$Z$2*$AA$2),NA()),NA())</f>
        <v>0.22232227816149347</v>
      </c>
      <c r="AH11" s="138">
        <v>-0.88</v>
      </c>
      <c r="AI11" s="138">
        <f>SQRT(MAX(0,1-AH11^2))</f>
        <v>0.4749736834815167</v>
      </c>
      <c r="AJ11" s="138">
        <f>IF(ISNUMBER($B$18),IF(AND($C$18=1,AH11&lt;=-COS(PI()*$B$18)),AI11,NA()),NA())</f>
        <v>0.4749736834815167</v>
      </c>
      <c r="AK11" s="138" t="e">
        <f>IF(ISNUMBER($B$18),IF(AND($C$18=2,AH11&lt;=-COS(PI()*$B$18)),AI11,NA()),NA())</f>
        <v>#N/A</v>
      </c>
      <c r="AL11" s="138" t="e">
        <f>IF(ISNUMBER($B$18),IF(AND($C$18=3,AH11&lt;=-COS(PI()*$B$18)),AI11,NA()),NA())</f>
        <v>#N/A</v>
      </c>
      <c r="AM11" s="138" t="e">
        <f>IF(ISNUMBER($B$18),IF(AND($C$18=4,AH11&lt;=-COS(PI()*$B$18)),AI11,NA()),NA())</f>
        <v>#N/A</v>
      </c>
      <c r="AN11" s="138" t="e">
        <f>IF(ISNUMBER($B$18),IF(AND($C$18=5,AH11&lt;=-COS(PI()*$B$18)),AI11,NA()),NA())</f>
        <v>#N/A</v>
      </c>
      <c r="AO11" s="138" t="e">
        <f>IF(ISNUMBER($B$18),IF(AND(ISNUMBER($B$18),AH11&gt;=MIN(0,$AH$2),AH11&lt;=MAX(0,$AH$2)),IF($AH$2=0,0,AH11/$AH$2*$AI$2),NA()),NA())</f>
        <v>#N/A</v>
      </c>
    </row>
    <row r="12" spans="1:41">
      <c r="A12" s="148"/>
      <c r="B12" s="152"/>
      <c r="C12" s="152"/>
      <c r="D12" s="152"/>
      <c r="E12" s="152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>
        <v>-0.86</v>
      </c>
      <c r="S12" s="138">
        <f>SQRT(MAX(0,1-R12^2))</f>
        <v>0.51029403288692299</v>
      </c>
      <c r="T12" s="138" t="e">
        <f>IF(ISNUMBER($B$16),IF(AND($C$16=1,R12&lt;=-COS(PI()*$B$16)),S12,NA()),NA())</f>
        <v>#N/A</v>
      </c>
      <c r="U12" s="138" t="e">
        <f>IF(ISNUMBER($B$16),IF(AND($C$16=2,R12&lt;=-COS(PI()*$B$16)),S12,NA()),NA())</f>
        <v>#N/A</v>
      </c>
      <c r="V12" s="138" t="e">
        <f>IF(ISNUMBER($B$16),IF(AND($C$16=3,R12&lt;=-COS(PI()*$B$16)),S12,NA()),NA())</f>
        <v>#N/A</v>
      </c>
      <c r="W12" s="138" t="e">
        <f>IF(ISNUMBER($B$16),IF(AND($C$16=4,R12&lt;=-COS(PI()*$B$16)),S12,NA()),NA())</f>
        <v>#N/A</v>
      </c>
      <c r="X12" s="138" t="e">
        <f>IF(ISNUMBER($B$16),IF(AND($C$16=5,R12&lt;=-COS(PI()*$B$16)),S12,NA()),NA())</f>
        <v>#N/A</v>
      </c>
      <c r="Y12" s="138">
        <f>IF(ISNUMBER($B$16),IF(AND(ISNUMBER($B$16),R12&gt;=MIN(0,$R$2),R12&lt;=MAX(0,$R$2)),IF($R$2=0,0,R12/$R$2*$S$2),NA()),NA())</f>
        <v>0.31951574067951538</v>
      </c>
      <c r="Z12" s="138">
        <v>-0.86</v>
      </c>
      <c r="AA12" s="138">
        <f>SQRT(MAX(0,1-Z12^2))</f>
        <v>0.51029403288692299</v>
      </c>
      <c r="AB12" s="138" t="e">
        <f>IF(ISNUMBER($B$17),IF(AND($C$17=1,Z12&lt;=-COS(PI()*$B$17)),AA12,NA()),NA())</f>
        <v>#N/A</v>
      </c>
      <c r="AC12" s="138" t="e">
        <f>IF(ISNUMBER($B$17),IF(AND($C$17=2,Z12&lt;=-COS(PI()*$B$17)),AA12,NA()),NA())</f>
        <v>#N/A</v>
      </c>
      <c r="AD12" s="138" t="e">
        <f>IF(ISNUMBER($B$17),IF(AND($C$17=3,Z12&lt;=-COS(PI()*$B$17)),AA12,NA()),NA())</f>
        <v>#N/A</v>
      </c>
      <c r="AE12" s="138" t="e">
        <f>IF(ISNUMBER($B$17),IF(AND($C$17=4,Z12&lt;=-COS(PI()*$B$17)),AA12,NA()),NA())</f>
        <v>#N/A</v>
      </c>
      <c r="AF12" s="138" t="e">
        <f>IF(ISNUMBER($B$17),IF(AND($C$17=5,Z12&lt;=-COS(PI()*$B$17)),AA12,NA()),NA())</f>
        <v>#N/A</v>
      </c>
      <c r="AG12" s="138">
        <f>IF(ISNUMBER($B$17),IF(AND(ISNUMBER($B$17),Z12&gt;=MIN(0,$Z$2),Z12&lt;=MAX(0,$Z$2)),IF($Z$2=0,0,Z12/$Z$2*$AA$2),NA()),NA())</f>
        <v>0.21726949911236859</v>
      </c>
      <c r="AH12" s="138">
        <v>-0.86</v>
      </c>
      <c r="AI12" s="138">
        <f>SQRT(MAX(0,1-AH12^2))</f>
        <v>0.51029403288692299</v>
      </c>
      <c r="AJ12" s="138">
        <f>IF(ISNUMBER($B$18),IF(AND($C$18=1,AH12&lt;=-COS(PI()*$B$18)),AI12,NA()),NA())</f>
        <v>0.51029403288692299</v>
      </c>
      <c r="AK12" s="138" t="e">
        <f>IF(ISNUMBER($B$18),IF(AND($C$18=2,AH12&lt;=-COS(PI()*$B$18)),AI12,NA()),NA())</f>
        <v>#N/A</v>
      </c>
      <c r="AL12" s="138" t="e">
        <f>IF(ISNUMBER($B$18),IF(AND($C$18=3,AH12&lt;=-COS(PI()*$B$18)),AI12,NA()),NA())</f>
        <v>#N/A</v>
      </c>
      <c r="AM12" s="138" t="e">
        <f>IF(ISNUMBER($B$18),IF(AND($C$18=4,AH12&lt;=-COS(PI()*$B$18)),AI12,NA()),NA())</f>
        <v>#N/A</v>
      </c>
      <c r="AN12" s="138" t="e">
        <f>IF(ISNUMBER($B$18),IF(AND($C$18=5,AH12&lt;=-COS(PI()*$B$18)),AI12,NA()),NA())</f>
        <v>#N/A</v>
      </c>
      <c r="AO12" s="138" t="e">
        <f>IF(ISNUMBER($B$18),IF(AND(ISNUMBER($B$18),AH12&gt;=MIN(0,$AH$2),AH12&lt;=MAX(0,$AH$2)),IF($AH$2=0,0,AH12/$AH$2*$AI$2),NA()),NA())</f>
        <v>#N/A</v>
      </c>
    </row>
    <row r="13" spans="1:41">
      <c r="A13" s="148"/>
      <c r="B13" s="152"/>
      <c r="C13" s="152"/>
      <c r="D13" s="152"/>
      <c r="E13" s="152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>
        <v>-0.84</v>
      </c>
      <c r="S13" s="138">
        <f>SQRT(MAX(0,1-R13^2))</f>
        <v>0.54258639865002156</v>
      </c>
      <c r="T13" s="138" t="e">
        <f>IF(ISNUMBER($B$16),IF(AND($C$16=1,R13&lt;=-COS(PI()*$B$16)),S13,NA()),NA())</f>
        <v>#N/A</v>
      </c>
      <c r="U13" s="138" t="e">
        <f>IF(ISNUMBER($B$16),IF(AND($C$16=2,R13&lt;=-COS(PI()*$B$16)),S13,NA()),NA())</f>
        <v>#N/A</v>
      </c>
      <c r="V13" s="138" t="e">
        <f>IF(ISNUMBER($B$16),IF(AND($C$16=3,R13&lt;=-COS(PI()*$B$16)),S13,NA()),NA())</f>
        <v>#N/A</v>
      </c>
      <c r="W13" s="138" t="e">
        <f>IF(ISNUMBER($B$16),IF(AND($C$16=4,R13&lt;=-COS(PI()*$B$16)),S13,NA()),NA())</f>
        <v>#N/A</v>
      </c>
      <c r="X13" s="138" t="e">
        <f>IF(ISNUMBER($B$16),IF(AND($C$16=5,R13&lt;=-COS(PI()*$B$16)),S13,NA()),NA())</f>
        <v>#N/A</v>
      </c>
      <c r="Y13" s="138">
        <f>IF(ISNUMBER($B$16),IF(AND(ISNUMBER($B$16),R13&gt;=MIN(0,$R$2),R13&lt;=MAX(0,$R$2)),IF($R$2=0,0,R13/$R$2*$S$2),NA()),NA())</f>
        <v>0.31208514205906157</v>
      </c>
      <c r="Z13" s="138">
        <v>-0.84</v>
      </c>
      <c r="AA13" s="138">
        <f>SQRT(MAX(0,1-Z13^2))</f>
        <v>0.54258639865002156</v>
      </c>
      <c r="AB13" s="138" t="e">
        <f>IF(ISNUMBER($B$17),IF(AND($C$17=1,Z13&lt;=-COS(PI()*$B$17)),AA13,NA()),NA())</f>
        <v>#N/A</v>
      </c>
      <c r="AC13" s="138" t="e">
        <f>IF(ISNUMBER($B$17),IF(AND($C$17=2,Z13&lt;=-COS(PI()*$B$17)),AA13,NA()),NA())</f>
        <v>#N/A</v>
      </c>
      <c r="AD13" s="138" t="e">
        <f>IF(ISNUMBER($B$17),IF(AND($C$17=3,Z13&lt;=-COS(PI()*$B$17)),AA13,NA()),NA())</f>
        <v>#N/A</v>
      </c>
      <c r="AE13" s="138" t="e">
        <f>IF(ISNUMBER($B$17),IF(AND($C$17=4,Z13&lt;=-COS(PI()*$B$17)),AA13,NA()),NA())</f>
        <v>#N/A</v>
      </c>
      <c r="AF13" s="138" t="e">
        <f>IF(ISNUMBER($B$17),IF(AND($C$17=5,Z13&lt;=-COS(PI()*$B$17)),AA13,NA()),NA())</f>
        <v>#N/A</v>
      </c>
      <c r="AG13" s="138">
        <f>IF(ISNUMBER($B$17),IF(AND(ISNUMBER($B$17),Z13&gt;=MIN(0,$Z$2),Z13&lt;=MAX(0,$Z$2)),IF($Z$2=0,0,Z13/$Z$2*$AA$2),NA()),NA())</f>
        <v>0.21221672006324374</v>
      </c>
      <c r="AH13" s="138">
        <v>-0.84</v>
      </c>
      <c r="AI13" s="138">
        <f>SQRT(MAX(0,1-AH13^2))</f>
        <v>0.54258639865002156</v>
      </c>
      <c r="AJ13" s="138">
        <f>IF(ISNUMBER($B$18),IF(AND($C$18=1,AH13&lt;=-COS(PI()*$B$18)),AI13,NA()),NA())</f>
        <v>0.54258639865002156</v>
      </c>
      <c r="AK13" s="138" t="e">
        <f>IF(ISNUMBER($B$18),IF(AND($C$18=2,AH13&lt;=-COS(PI()*$B$18)),AI13,NA()),NA())</f>
        <v>#N/A</v>
      </c>
      <c r="AL13" s="138" t="e">
        <f>IF(ISNUMBER($B$18),IF(AND($C$18=3,AH13&lt;=-COS(PI()*$B$18)),AI13,NA()),NA())</f>
        <v>#N/A</v>
      </c>
      <c r="AM13" s="138" t="e">
        <f>IF(ISNUMBER($B$18),IF(AND($C$18=4,AH13&lt;=-COS(PI()*$B$18)),AI13,NA()),NA())</f>
        <v>#N/A</v>
      </c>
      <c r="AN13" s="138" t="e">
        <f>IF(ISNUMBER($B$18),IF(AND($C$18=5,AH13&lt;=-COS(PI()*$B$18)),AI13,NA()),NA())</f>
        <v>#N/A</v>
      </c>
      <c r="AO13" s="138" t="e">
        <f>IF(ISNUMBER($B$18),IF(AND(ISNUMBER($B$18),AH13&gt;=MIN(0,$AH$2),AH13&lt;=MAX(0,$AH$2)),IF($AH$2=0,0,AH13/$AH$2*$AI$2),NA()),NA())</f>
        <v>#N/A</v>
      </c>
    </row>
    <row r="14" spans="1:41">
      <c r="A14" s="148"/>
      <c r="B14" s="152"/>
      <c r="C14" s="152"/>
      <c r="D14" s="152"/>
      <c r="E14" s="152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>
        <v>-0.82</v>
      </c>
      <c r="S14" s="138">
        <f>SQRT(MAX(0,1-R14^2))</f>
        <v>0.57236352085016751</v>
      </c>
      <c r="T14" s="138" t="e">
        <f>IF(ISNUMBER($B$16),IF(AND($C$16=1,R14&lt;=-COS(PI()*$B$16)),S14,NA()),NA())</f>
        <v>#N/A</v>
      </c>
      <c r="U14" s="138" t="e">
        <f>IF(ISNUMBER($B$16),IF(AND($C$16=2,R14&lt;=-COS(PI()*$B$16)),S14,NA()),NA())</f>
        <v>#N/A</v>
      </c>
      <c r="V14" s="138" t="e">
        <f>IF(ISNUMBER($B$16),IF(AND($C$16=3,R14&lt;=-COS(PI()*$B$16)),S14,NA()),NA())</f>
        <v>#N/A</v>
      </c>
      <c r="W14" s="138" t="e">
        <f>IF(ISNUMBER($B$16),IF(AND($C$16=4,R14&lt;=-COS(PI()*$B$16)),S14,NA()),NA())</f>
        <v>#N/A</v>
      </c>
      <c r="X14" s="138" t="e">
        <f>IF(ISNUMBER($B$16),IF(AND($C$16=5,R14&lt;=-COS(PI()*$B$16)),S14,NA()),NA())</f>
        <v>#N/A</v>
      </c>
      <c r="Y14" s="138">
        <f>IF(ISNUMBER($B$16),IF(AND(ISNUMBER($B$16),R14&gt;=MIN(0,$R$2),R14&lt;=MAX(0,$R$2)),IF($R$2=0,0,R14/$R$2*$S$2),NA()),NA())</f>
        <v>0.30465454343860771</v>
      </c>
      <c r="Z14" s="138">
        <v>-0.82</v>
      </c>
      <c r="AA14" s="138">
        <f>SQRT(MAX(0,1-Z14^2))</f>
        <v>0.57236352085016751</v>
      </c>
      <c r="AB14" s="138" t="e">
        <f>IF(ISNUMBER($B$17),IF(AND($C$17=1,Z14&lt;=-COS(PI()*$B$17)),AA14,NA()),NA())</f>
        <v>#N/A</v>
      </c>
      <c r="AC14" s="138" t="e">
        <f>IF(ISNUMBER($B$17),IF(AND($C$17=2,Z14&lt;=-COS(PI()*$B$17)),AA14,NA()),NA())</f>
        <v>#N/A</v>
      </c>
      <c r="AD14" s="138" t="e">
        <f>IF(ISNUMBER($B$17),IF(AND($C$17=3,Z14&lt;=-COS(PI()*$B$17)),AA14,NA()),NA())</f>
        <v>#N/A</v>
      </c>
      <c r="AE14" s="138" t="e">
        <f>IF(ISNUMBER($B$17),IF(AND($C$17=4,Z14&lt;=-COS(PI()*$B$17)),AA14,NA()),NA())</f>
        <v>#N/A</v>
      </c>
      <c r="AF14" s="138" t="e">
        <f>IF(ISNUMBER($B$17),IF(AND($C$17=5,Z14&lt;=-COS(PI()*$B$17)),AA14,NA()),NA())</f>
        <v>#N/A</v>
      </c>
      <c r="AG14" s="138">
        <f>IF(ISNUMBER($B$17),IF(AND(ISNUMBER($B$17),Z14&gt;=MIN(0,$Z$2),Z14&lt;=MAX(0,$Z$2)),IF($Z$2=0,0,Z14/$Z$2*$AA$2),NA()),NA())</f>
        <v>0.20716394101411889</v>
      </c>
      <c r="AH14" s="138">
        <v>-0.82</v>
      </c>
      <c r="AI14" s="138">
        <f>SQRT(MAX(0,1-AH14^2))</f>
        <v>0.57236352085016751</v>
      </c>
      <c r="AJ14" s="138" t="e">
        <f>IF(ISNUMBER($B$18),IF(AND($C$18=1,AH14&lt;=-COS(PI()*$B$18)),AI14,NA()),NA())</f>
        <v>#N/A</v>
      </c>
      <c r="AK14" s="138" t="e">
        <f>IF(ISNUMBER($B$18),IF(AND($C$18=2,AH14&lt;=-COS(PI()*$B$18)),AI14,NA()),NA())</f>
        <v>#N/A</v>
      </c>
      <c r="AL14" s="138" t="e">
        <f>IF(ISNUMBER($B$18),IF(AND($C$18=3,AH14&lt;=-COS(PI()*$B$18)),AI14,NA()),NA())</f>
        <v>#N/A</v>
      </c>
      <c r="AM14" s="138" t="e">
        <f>IF(ISNUMBER($B$18),IF(AND($C$18=4,AH14&lt;=-COS(PI()*$B$18)),AI14,NA()),NA())</f>
        <v>#N/A</v>
      </c>
      <c r="AN14" s="138" t="e">
        <f>IF(ISNUMBER($B$18),IF(AND($C$18=5,AH14&lt;=-COS(PI()*$B$18)),AI14,NA()),NA())</f>
        <v>#N/A</v>
      </c>
      <c r="AO14" s="138">
        <f>IF(ISNUMBER($B$18),IF(AND(ISNUMBER($B$18),AH14&gt;=MIN(0,$AH$2),AH14&lt;=MAX(0,$AH$2)),IF($AH$2=0,0,AH14/$AH$2*$AI$2),NA()),NA())</f>
        <v>0.56483561136047589</v>
      </c>
    </row>
    <row r="15" spans="1:41">
      <c r="A15" s="149"/>
      <c r="B15" s="153"/>
      <c r="C15" s="153"/>
      <c r="D15" s="153"/>
      <c r="E15" s="152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>
        <v>-0.8</v>
      </c>
      <c r="S15" s="138">
        <f>SQRT(MAX(0,1-R15^2))</f>
        <v>0.59999999999999987</v>
      </c>
      <c r="T15" s="138" t="e">
        <f>IF(ISNUMBER($B$16),IF(AND($C$16=1,R15&lt;=-COS(PI()*$B$16)),S15,NA()),NA())</f>
        <v>#N/A</v>
      </c>
      <c r="U15" s="138" t="e">
        <f>IF(ISNUMBER($B$16),IF(AND($C$16=2,R15&lt;=-COS(PI()*$B$16)),S15,NA()),NA())</f>
        <v>#N/A</v>
      </c>
      <c r="V15" s="138" t="e">
        <f>IF(ISNUMBER($B$16),IF(AND($C$16=3,R15&lt;=-COS(PI()*$B$16)),S15,NA()),NA())</f>
        <v>#N/A</v>
      </c>
      <c r="W15" s="138" t="e">
        <f>IF(ISNUMBER($B$16),IF(AND($C$16=4,R15&lt;=-COS(PI()*$B$16)),S15,NA()),NA())</f>
        <v>#N/A</v>
      </c>
      <c r="X15" s="138" t="e">
        <f>IF(ISNUMBER($B$16),IF(AND($C$16=5,R15&lt;=-COS(PI()*$B$16)),S15,NA()),NA())</f>
        <v>#N/A</v>
      </c>
      <c r="Y15" s="138">
        <f>IF(ISNUMBER($B$16),IF(AND(ISNUMBER($B$16),R15&gt;=MIN(0,$R$2),R15&lt;=MAX(0,$R$2)),IF($R$2=0,0,R15/$R$2*$S$2),NA()),NA())</f>
        <v>0.2972239448181539</v>
      </c>
      <c r="Z15" s="138">
        <v>-0.8</v>
      </c>
      <c r="AA15" s="138">
        <f>SQRT(MAX(0,1-Z15^2))</f>
        <v>0.59999999999999987</v>
      </c>
      <c r="AB15" s="138" t="e">
        <f>IF(ISNUMBER($B$17),IF(AND($C$17=1,Z15&lt;=-COS(PI()*$B$17)),AA15,NA()),NA())</f>
        <v>#N/A</v>
      </c>
      <c r="AC15" s="138" t="e">
        <f>IF(ISNUMBER($B$17),IF(AND($C$17=2,Z15&lt;=-COS(PI()*$B$17)),AA15,NA()),NA())</f>
        <v>#N/A</v>
      </c>
      <c r="AD15" s="138" t="e">
        <f>IF(ISNUMBER($B$17),IF(AND($C$17=3,Z15&lt;=-COS(PI()*$B$17)),AA15,NA()),NA())</f>
        <v>#N/A</v>
      </c>
      <c r="AE15" s="138" t="e">
        <f>IF(ISNUMBER($B$17),IF(AND($C$17=4,Z15&lt;=-COS(PI()*$B$17)),AA15,NA()),NA())</f>
        <v>#N/A</v>
      </c>
      <c r="AF15" s="138" t="e">
        <f>IF(ISNUMBER($B$17),IF(AND($C$17=5,Z15&lt;=-COS(PI()*$B$17)),AA15,NA()),NA())</f>
        <v>#N/A</v>
      </c>
      <c r="AG15" s="138">
        <f>IF(ISNUMBER($B$17),IF(AND(ISNUMBER($B$17),Z15&gt;=MIN(0,$Z$2),Z15&lt;=MAX(0,$Z$2)),IF($Z$2=0,0,Z15/$Z$2*$AA$2),NA()),NA())</f>
        <v>0.20211116196499407</v>
      </c>
      <c r="AH15" s="138">
        <v>-0.8</v>
      </c>
      <c r="AI15" s="138">
        <f>SQRT(MAX(0,1-AH15^2))</f>
        <v>0.59999999999999987</v>
      </c>
      <c r="AJ15" s="138" t="e">
        <f>IF(ISNUMBER($B$18),IF(AND($C$18=1,AH15&lt;=-COS(PI()*$B$18)),AI15,NA()),NA())</f>
        <v>#N/A</v>
      </c>
      <c r="AK15" s="138" t="e">
        <f>IF(ISNUMBER($B$18),IF(AND($C$18=2,AH15&lt;=-COS(PI()*$B$18)),AI15,NA()),NA())</f>
        <v>#N/A</v>
      </c>
      <c r="AL15" s="138" t="e">
        <f>IF(ISNUMBER($B$18),IF(AND($C$18=3,AH15&lt;=-COS(PI()*$B$18)),AI15,NA()),NA())</f>
        <v>#N/A</v>
      </c>
      <c r="AM15" s="138" t="e">
        <f>IF(ISNUMBER($B$18),IF(AND($C$18=4,AH15&lt;=-COS(PI()*$B$18)),AI15,NA()),NA())</f>
        <v>#N/A</v>
      </c>
      <c r="AN15" s="138" t="e">
        <f>IF(ISNUMBER($B$18),IF(AND($C$18=5,AH15&lt;=-COS(PI()*$B$18)),AI15,NA()),NA())</f>
        <v>#N/A</v>
      </c>
      <c r="AO15" s="138">
        <f>IF(ISNUMBER($B$18),IF(AND(ISNUMBER($B$18),AH15&gt;=MIN(0,$AH$2),AH15&lt;=MAX(0,$AH$2)),IF($AH$2=0,0,AH15/$AH$2*$AI$2),NA()),NA())</f>
        <v>0.55105913303461074</v>
      </c>
    </row>
    <row r="16" spans="1:41">
      <c r="A16" s="148" t="inlineStr">
        <is>
          <t>Overdue Ratio</t>
        </is>
      </c>
      <c r="B16" s="150">
        <f>IF(B6=0,"n.a.",B7/B6)</f>
        <v>0.11323076923076923</v>
      </c>
      <c r="C16" s="162">
        <f>IF(B16&lt;0.2,1,IF(B16&lt;0.3,2,IF(B16&lt;0.45,3,IF(B16&lt;=0.6,4,5))))</f>
        <v>1</v>
      </c>
      <c r="D16" s="150"/>
      <c r="E16" s="150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>
        <v>-0.78</v>
      </c>
      <c r="S16" s="138">
        <f>SQRT(MAX(0,1-R16^2))</f>
        <v>0.62577951388648057</v>
      </c>
      <c r="T16" s="138" t="e">
        <f>IF(ISNUMBER($B$16),IF(AND($C$16=1,R16&lt;=-COS(PI()*$B$16)),S16,NA()),NA())</f>
        <v>#N/A</v>
      </c>
      <c r="U16" s="138" t="e">
        <f>IF(ISNUMBER($B$16),IF(AND($C$16=2,R16&lt;=-COS(PI()*$B$16)),S16,NA()),NA())</f>
        <v>#N/A</v>
      </c>
      <c r="V16" s="138" t="e">
        <f>IF(ISNUMBER($B$16),IF(AND($C$16=3,R16&lt;=-COS(PI()*$B$16)),S16,NA()),NA())</f>
        <v>#N/A</v>
      </c>
      <c r="W16" s="138" t="e">
        <f>IF(ISNUMBER($B$16),IF(AND($C$16=4,R16&lt;=-COS(PI()*$B$16)),S16,NA()),NA())</f>
        <v>#N/A</v>
      </c>
      <c r="X16" s="138" t="e">
        <f>IF(ISNUMBER($B$16),IF(AND($C$16=5,R16&lt;=-COS(PI()*$B$16)),S16,NA()),NA())</f>
        <v>#N/A</v>
      </c>
      <c r="Y16" s="138">
        <f>IF(ISNUMBER($B$16),IF(AND(ISNUMBER($B$16),R16&gt;=MIN(0,$R$2),R16&lt;=MAX(0,$R$2)),IF($R$2=0,0,R16/$R$2*$S$2),NA()),NA())</f>
        <v>0.28979334619770003</v>
      </c>
      <c r="Z16" s="138">
        <v>-0.78</v>
      </c>
      <c r="AA16" s="138">
        <f>SQRT(MAX(0,1-Z16^2))</f>
        <v>0.62577951388648057</v>
      </c>
      <c r="AB16" s="138" t="e">
        <f>IF(ISNUMBER($B$17),IF(AND($C$17=1,Z16&lt;=-COS(PI()*$B$17)),AA16,NA()),NA())</f>
        <v>#N/A</v>
      </c>
      <c r="AC16" s="138" t="e">
        <f>IF(ISNUMBER($B$17),IF(AND($C$17=2,Z16&lt;=-COS(PI()*$B$17)),AA16,NA()),NA())</f>
        <v>#N/A</v>
      </c>
      <c r="AD16" s="138" t="e">
        <f>IF(ISNUMBER($B$17),IF(AND($C$17=3,Z16&lt;=-COS(PI()*$B$17)),AA16,NA()),NA())</f>
        <v>#N/A</v>
      </c>
      <c r="AE16" s="138" t="e">
        <f>IF(ISNUMBER($B$17),IF(AND($C$17=4,Z16&lt;=-COS(PI()*$B$17)),AA16,NA()),NA())</f>
        <v>#N/A</v>
      </c>
      <c r="AF16" s="138" t="e">
        <f>IF(ISNUMBER($B$17),IF(AND($C$17=5,Z16&lt;=-COS(PI()*$B$17)),AA16,NA()),NA())</f>
        <v>#N/A</v>
      </c>
      <c r="AG16" s="138">
        <f>IF(ISNUMBER($B$17),IF(AND(ISNUMBER($B$17),Z16&gt;=MIN(0,$Z$2),Z16&lt;=MAX(0,$Z$2)),IF($Z$2=0,0,Z16/$Z$2*$AA$2),NA()),NA())</f>
        <v>0.19705838291586922</v>
      </c>
      <c r="AH16" s="138">
        <v>-0.78</v>
      </c>
      <c r="AI16" s="138">
        <f>SQRT(MAX(0,1-AH16^2))</f>
        <v>0.62577951388648057</v>
      </c>
      <c r="AJ16" s="138" t="e">
        <f>IF(ISNUMBER($B$18),IF(AND($C$18=1,AH16&lt;=-COS(PI()*$B$18)),AI16,NA()),NA())</f>
        <v>#N/A</v>
      </c>
      <c r="AK16" s="138" t="e">
        <f>IF(ISNUMBER($B$18),IF(AND($C$18=2,AH16&lt;=-COS(PI()*$B$18)),AI16,NA()),NA())</f>
        <v>#N/A</v>
      </c>
      <c r="AL16" s="138" t="e">
        <f>IF(ISNUMBER($B$18),IF(AND($C$18=3,AH16&lt;=-COS(PI()*$B$18)),AI16,NA()),NA())</f>
        <v>#N/A</v>
      </c>
      <c r="AM16" s="138" t="e">
        <f>IF(ISNUMBER($B$18),IF(AND($C$18=4,AH16&lt;=-COS(PI()*$B$18)),AI16,NA()),NA())</f>
        <v>#N/A</v>
      </c>
      <c r="AN16" s="138" t="e">
        <f>IF(ISNUMBER($B$18),IF(AND($C$18=5,AH16&lt;=-COS(PI()*$B$18)),AI16,NA()),NA())</f>
        <v>#N/A</v>
      </c>
      <c r="AO16" s="138">
        <f>IF(ISNUMBER($B$18),IF(AND(ISNUMBER($B$18),AH16&gt;=MIN(0,$AH$2),AH16&lt;=MAX(0,$AH$2)),IF($AH$2=0,0,AH16/$AH$2*$AI$2),NA()),NA())</f>
        <v>0.53728265470874548</v>
      </c>
    </row>
    <row r="17" spans="1:60">
      <c r="A17" s="148" t="inlineStr">
        <is>
          <t>&gt;60-Day Ratio</t>
        </is>
      </c>
      <c r="B17" s="150">
        <f>IF(B6=0,"n.a.",B8/B6)</f>
        <v>0.07876923076923077</v>
      </c>
      <c r="C17" s="162">
        <f>IF(B17&lt;0.2,1,IF(B17&lt;0.3,2,IF(B17&lt;0.45,3,IF(B17&lt;=0.6,4,5))))</f>
        <v>1</v>
      </c>
      <c r="D17" s="150"/>
      <c r="E17" s="150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>
        <v>-0.76</v>
      </c>
      <c r="S17" s="138">
        <f>SQRT(MAX(0,1-R17^2))</f>
        <v>0.64992307237087688</v>
      </c>
      <c r="T17" s="138" t="e">
        <f>IF(ISNUMBER($B$16),IF(AND($C$16=1,R17&lt;=-COS(PI()*$B$16)),S17,NA()),NA())</f>
        <v>#N/A</v>
      </c>
      <c r="U17" s="138" t="e">
        <f>IF(ISNUMBER($B$16),IF(AND($C$16=2,R17&lt;=-COS(PI()*$B$16)),S17,NA()),NA())</f>
        <v>#N/A</v>
      </c>
      <c r="V17" s="138" t="e">
        <f>IF(ISNUMBER($B$16),IF(AND($C$16=3,R17&lt;=-COS(PI()*$B$16)),S17,NA()),NA())</f>
        <v>#N/A</v>
      </c>
      <c r="W17" s="138" t="e">
        <f>IF(ISNUMBER($B$16),IF(AND($C$16=4,R17&lt;=-COS(PI()*$B$16)),S17,NA()),NA())</f>
        <v>#N/A</v>
      </c>
      <c r="X17" s="138" t="e">
        <f>IF(ISNUMBER($B$16),IF(AND($C$16=5,R17&lt;=-COS(PI()*$B$16)),S17,NA()),NA())</f>
        <v>#N/A</v>
      </c>
      <c r="Y17" s="138">
        <f>IF(ISNUMBER($B$16),IF(AND(ISNUMBER($B$16),R17&gt;=MIN(0,$R$2),R17&lt;=MAX(0,$R$2)),IF($R$2=0,0,R17/$R$2*$S$2),NA()),NA())</f>
        <v>0.28236274757724616</v>
      </c>
      <c r="Z17" s="138">
        <v>-0.76</v>
      </c>
      <c r="AA17" s="138">
        <f>SQRT(MAX(0,1-Z17^2))</f>
        <v>0.64992307237087688</v>
      </c>
      <c r="AB17" s="138" t="e">
        <f>IF(ISNUMBER($B$17),IF(AND($C$17=1,Z17&lt;=-COS(PI()*$B$17)),AA17,NA()),NA())</f>
        <v>#N/A</v>
      </c>
      <c r="AC17" s="138" t="e">
        <f>IF(ISNUMBER($B$17),IF(AND($C$17=2,Z17&lt;=-COS(PI()*$B$17)),AA17,NA()),NA())</f>
        <v>#N/A</v>
      </c>
      <c r="AD17" s="138" t="e">
        <f>IF(ISNUMBER($B$17),IF(AND($C$17=3,Z17&lt;=-COS(PI()*$B$17)),AA17,NA()),NA())</f>
        <v>#N/A</v>
      </c>
      <c r="AE17" s="138" t="e">
        <f>IF(ISNUMBER($B$17),IF(AND($C$17=4,Z17&lt;=-COS(PI()*$B$17)),AA17,NA()),NA())</f>
        <v>#N/A</v>
      </c>
      <c r="AF17" s="138" t="e">
        <f>IF(ISNUMBER($B$17),IF(AND($C$17=5,Z17&lt;=-COS(PI()*$B$17)),AA17,NA()),NA())</f>
        <v>#N/A</v>
      </c>
      <c r="AG17" s="138">
        <f>IF(ISNUMBER($B$17),IF(AND(ISNUMBER($B$17),Z17&gt;=MIN(0,$Z$2),Z17&lt;=MAX(0,$Z$2)),IF($Z$2=0,0,Z17/$Z$2*$AA$2),NA()),NA())</f>
        <v>0.19200560386674437</v>
      </c>
      <c r="AH17" s="138">
        <v>-0.76</v>
      </c>
      <c r="AI17" s="138">
        <f>SQRT(MAX(0,1-AH17^2))</f>
        <v>0.64992307237087688</v>
      </c>
      <c r="AJ17" s="138" t="e">
        <f>IF(ISNUMBER($B$18),IF(AND($C$18=1,AH17&lt;=-COS(PI()*$B$18)),AI17,NA()),NA())</f>
        <v>#N/A</v>
      </c>
      <c r="AK17" s="138" t="e">
        <f>IF(ISNUMBER($B$18),IF(AND($C$18=2,AH17&lt;=-COS(PI()*$B$18)),AI17,NA()),NA())</f>
        <v>#N/A</v>
      </c>
      <c r="AL17" s="138" t="e">
        <f>IF(ISNUMBER($B$18),IF(AND($C$18=3,AH17&lt;=-COS(PI()*$B$18)),AI17,NA()),NA())</f>
        <v>#N/A</v>
      </c>
      <c r="AM17" s="138" t="e">
        <f>IF(ISNUMBER($B$18),IF(AND($C$18=4,AH17&lt;=-COS(PI()*$B$18)),AI17,NA()),NA())</f>
        <v>#N/A</v>
      </c>
      <c r="AN17" s="138" t="e">
        <f>IF(ISNUMBER($B$18),IF(AND($C$18=5,AH17&lt;=-COS(PI()*$B$18)),AI17,NA()),NA())</f>
        <v>#N/A</v>
      </c>
      <c r="AO17" s="138">
        <f>IF(ISNUMBER($B$18),IF(AND(ISNUMBER($B$18),AH17&gt;=MIN(0,$AH$2),AH17&lt;=MAX(0,$AH$2)),IF($AH$2=0,0,AH17/$AH$2*$AI$2),NA()),NA())</f>
        <v>0.52350617638288011</v>
      </c>
    </row>
    <row r="18" spans="1:60">
      <c r="A18" s="148" t="inlineStr">
        <is>
          <t>Total Overdue Ratio</t>
        </is>
      </c>
      <c r="B18" s="150">
        <f>B10</f>
        <v>0.192</v>
      </c>
      <c r="C18" s="162">
        <f>IF(B18&lt;0.2,1,IF(B18&lt;0.3,2,IF(B18&lt;0.45,3,IF(B18&lt;=0.6,4,5))))</f>
        <v>1</v>
      </c>
      <c r="D18" s="150"/>
      <c r="E18" s="150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>
        <v>-0.74</v>
      </c>
      <c r="S18" s="138">
        <f>SQRT(MAX(0,1-R18^2))</f>
        <v>0.67260686883200949</v>
      </c>
      <c r="T18" s="138" t="e">
        <f>IF(ISNUMBER($B$16),IF(AND($C$16=1,R18&lt;=-COS(PI()*$B$16)),S18,NA()),NA())</f>
        <v>#N/A</v>
      </c>
      <c r="U18" s="138" t="e">
        <f>IF(ISNUMBER($B$16),IF(AND($C$16=2,R18&lt;=-COS(PI()*$B$16)),S18,NA()),NA())</f>
        <v>#N/A</v>
      </c>
      <c r="V18" s="138" t="e">
        <f>IF(ISNUMBER($B$16),IF(AND($C$16=3,R18&lt;=-COS(PI()*$B$16)),S18,NA()),NA())</f>
        <v>#N/A</v>
      </c>
      <c r="W18" s="138" t="e">
        <f>IF(ISNUMBER($B$16),IF(AND($C$16=4,R18&lt;=-COS(PI()*$B$16)),S18,NA()),NA())</f>
        <v>#N/A</v>
      </c>
      <c r="X18" s="138" t="e">
        <f>IF(ISNUMBER($B$16),IF(AND($C$16=5,R18&lt;=-COS(PI()*$B$16)),S18,NA()),NA())</f>
        <v>#N/A</v>
      </c>
      <c r="Y18" s="138">
        <f>IF(ISNUMBER($B$16),IF(AND(ISNUMBER($B$16),R18&gt;=MIN(0,$R$2),R18&lt;=MAX(0,$R$2)),IF($R$2=0,0,R18/$R$2*$S$2),NA()),NA())</f>
        <v>0.2749321489567923</v>
      </c>
      <c r="Z18" s="138">
        <v>-0.74</v>
      </c>
      <c r="AA18" s="138">
        <f>SQRT(MAX(0,1-Z18^2))</f>
        <v>0.67260686883200949</v>
      </c>
      <c r="AB18" s="138" t="e">
        <f>IF(ISNUMBER($B$17),IF(AND($C$17=1,Z18&lt;=-COS(PI()*$B$17)),AA18,NA()),NA())</f>
        <v>#N/A</v>
      </c>
      <c r="AC18" s="138" t="e">
        <f>IF(ISNUMBER($B$17),IF(AND($C$17=2,Z18&lt;=-COS(PI()*$B$17)),AA18,NA()),NA())</f>
        <v>#N/A</v>
      </c>
      <c r="AD18" s="138" t="e">
        <f>IF(ISNUMBER($B$17),IF(AND($C$17=3,Z18&lt;=-COS(PI()*$B$17)),AA18,NA()),NA())</f>
        <v>#N/A</v>
      </c>
      <c r="AE18" s="138" t="e">
        <f>IF(ISNUMBER($B$17),IF(AND($C$17=4,Z18&lt;=-COS(PI()*$B$17)),AA18,NA()),NA())</f>
        <v>#N/A</v>
      </c>
      <c r="AF18" s="138" t="e">
        <f>IF(ISNUMBER($B$17),IF(AND($C$17=5,Z18&lt;=-COS(PI()*$B$17)),AA18,NA()),NA())</f>
        <v>#N/A</v>
      </c>
      <c r="AG18" s="138">
        <f>IF(ISNUMBER($B$17),IF(AND(ISNUMBER($B$17),Z18&gt;=MIN(0,$Z$2),Z18&lt;=MAX(0,$Z$2)),IF($Z$2=0,0,Z18/$Z$2*$AA$2),NA()),NA())</f>
        <v>0.18695282481761949</v>
      </c>
      <c r="AH18" s="138">
        <v>-0.74</v>
      </c>
      <c r="AI18" s="138">
        <f>SQRT(MAX(0,1-AH18^2))</f>
        <v>0.67260686883200949</v>
      </c>
      <c r="AJ18" s="138" t="e">
        <f>IF(ISNUMBER($B$18),IF(AND($C$18=1,AH18&lt;=-COS(PI()*$B$18)),AI18,NA()),NA())</f>
        <v>#N/A</v>
      </c>
      <c r="AK18" s="138" t="e">
        <f>IF(ISNUMBER($B$18),IF(AND($C$18=2,AH18&lt;=-COS(PI()*$B$18)),AI18,NA()),NA())</f>
        <v>#N/A</v>
      </c>
      <c r="AL18" s="138" t="e">
        <f>IF(ISNUMBER($B$18),IF(AND($C$18=3,AH18&lt;=-COS(PI()*$B$18)),AI18,NA()),NA())</f>
        <v>#N/A</v>
      </c>
      <c r="AM18" s="138" t="e">
        <f>IF(ISNUMBER($B$18),IF(AND($C$18=4,AH18&lt;=-COS(PI()*$B$18)),AI18,NA()),NA())</f>
        <v>#N/A</v>
      </c>
      <c r="AN18" s="138" t="e">
        <f>IF(ISNUMBER($B$18),IF(AND($C$18=5,AH18&lt;=-COS(PI()*$B$18)),AI18,NA()),NA())</f>
        <v>#N/A</v>
      </c>
      <c r="AO18" s="138">
        <f>IF(ISNUMBER($B$18),IF(AND(ISNUMBER($B$18),AH18&gt;=MIN(0,$AH$2),AH18&lt;=MAX(0,$AH$2)),IF($AH$2=0,0,AH18/$AH$2*$AI$2),NA()),NA())</f>
        <v>0.50972969805701485</v>
      </c>
    </row>
    <row r="19" spans="1:60">
      <c r="A19" s="148"/>
      <c r="B19" s="152"/>
      <c r="C19" s="152"/>
      <c r="D19" s="152"/>
      <c r="E19" s="152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>
        <v>-0.72</v>
      </c>
      <c r="S19" s="138">
        <f>SQRT(MAX(0,1-R19^2))</f>
        <v>0.69397406291589891</v>
      </c>
      <c r="T19" s="138" t="e">
        <f>IF(ISNUMBER($B$16),IF(AND($C$16=1,R19&lt;=-COS(PI()*$B$16)),S19,NA()),NA())</f>
        <v>#N/A</v>
      </c>
      <c r="U19" s="138" t="e">
        <f>IF(ISNUMBER($B$16),IF(AND($C$16=2,R19&lt;=-COS(PI()*$B$16)),S19,NA()),NA())</f>
        <v>#N/A</v>
      </c>
      <c r="V19" s="138" t="e">
        <f>IF(ISNUMBER($B$16),IF(AND($C$16=3,R19&lt;=-COS(PI()*$B$16)),S19,NA()),NA())</f>
        <v>#N/A</v>
      </c>
      <c r="W19" s="138" t="e">
        <f>IF(ISNUMBER($B$16),IF(AND($C$16=4,R19&lt;=-COS(PI()*$B$16)),S19,NA()),NA())</f>
        <v>#N/A</v>
      </c>
      <c r="X19" s="138" t="e">
        <f>IF(ISNUMBER($B$16),IF(AND($C$16=5,R19&lt;=-COS(PI()*$B$16)),S19,NA()),NA())</f>
        <v>#N/A</v>
      </c>
      <c r="Y19" s="138">
        <f>IF(ISNUMBER($B$16),IF(AND(ISNUMBER($B$16),R19&gt;=MIN(0,$R$2),R19&lt;=MAX(0,$R$2)),IF($R$2=0,0,R19/$R$2*$S$2),NA()),NA())</f>
        <v>0.26750155033633849</v>
      </c>
      <c r="Z19" s="138">
        <v>-0.72</v>
      </c>
      <c r="AA19" s="138">
        <f>SQRT(MAX(0,1-Z19^2))</f>
        <v>0.69397406291589891</v>
      </c>
      <c r="AB19" s="138" t="e">
        <f>IF(ISNUMBER($B$17),IF(AND($C$17=1,Z19&lt;=-COS(PI()*$B$17)),AA19,NA()),NA())</f>
        <v>#N/A</v>
      </c>
      <c r="AC19" s="138" t="e">
        <f>IF(ISNUMBER($B$17),IF(AND($C$17=2,Z19&lt;=-COS(PI()*$B$17)),AA19,NA()),NA())</f>
        <v>#N/A</v>
      </c>
      <c r="AD19" s="138" t="e">
        <f>IF(ISNUMBER($B$17),IF(AND($C$17=3,Z19&lt;=-COS(PI()*$B$17)),AA19,NA()),NA())</f>
        <v>#N/A</v>
      </c>
      <c r="AE19" s="138" t="e">
        <f>IF(ISNUMBER($B$17),IF(AND($C$17=4,Z19&lt;=-COS(PI()*$B$17)),AA19,NA()),NA())</f>
        <v>#N/A</v>
      </c>
      <c r="AF19" s="138" t="e">
        <f>IF(ISNUMBER($B$17),IF(AND($C$17=5,Z19&lt;=-COS(PI()*$B$17)),AA19,NA()),NA())</f>
        <v>#N/A</v>
      </c>
      <c r="AG19" s="138">
        <f>IF(ISNUMBER($B$17),IF(AND(ISNUMBER($B$17),Z19&gt;=MIN(0,$Z$2),Z19&lt;=MAX(0,$Z$2)),IF($Z$2=0,0,Z19/$Z$2*$AA$2),NA()),NA())</f>
        <v>0.18190004576849464</v>
      </c>
      <c r="AH19" s="138">
        <v>-0.72</v>
      </c>
      <c r="AI19" s="138">
        <f>SQRT(MAX(0,1-AH19^2))</f>
        <v>0.69397406291589891</v>
      </c>
      <c r="AJ19" s="138" t="e">
        <f>IF(ISNUMBER($B$18),IF(AND($C$18=1,AH19&lt;=-COS(PI()*$B$18)),AI19,NA()),NA())</f>
        <v>#N/A</v>
      </c>
      <c r="AK19" s="138" t="e">
        <f>IF(ISNUMBER($B$18),IF(AND($C$18=2,AH19&lt;=-COS(PI()*$B$18)),AI19,NA()),NA())</f>
        <v>#N/A</v>
      </c>
      <c r="AL19" s="138" t="e">
        <f>IF(ISNUMBER($B$18),IF(AND($C$18=3,AH19&lt;=-COS(PI()*$B$18)),AI19,NA()),NA())</f>
        <v>#N/A</v>
      </c>
      <c r="AM19" s="138" t="e">
        <f>IF(ISNUMBER($B$18),IF(AND($C$18=4,AH19&lt;=-COS(PI()*$B$18)),AI19,NA()),NA())</f>
        <v>#N/A</v>
      </c>
      <c r="AN19" s="138" t="e">
        <f>IF(ISNUMBER($B$18),IF(AND($C$18=5,AH19&lt;=-COS(PI()*$B$18)),AI19,NA()),NA())</f>
        <v>#N/A</v>
      </c>
      <c r="AO19" s="138">
        <f>IF(ISNUMBER($B$18),IF(AND(ISNUMBER($B$18),AH19&gt;=MIN(0,$AH$2),AH19&lt;=MAX(0,$AH$2)),IF($AH$2=0,0,AH19/$AH$2*$AI$2),NA()),NA())</f>
        <v>0.49595321973114959</v>
      </c>
    </row>
    <row r="20" spans="1:60">
      <c r="A20" s="148"/>
      <c r="B20" s="152"/>
      <c r="C20" s="152"/>
      <c r="D20" s="152"/>
      <c r="E20" s="152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>
        <v>-0.7</v>
      </c>
      <c r="S20" s="138">
        <f>SQRT(MAX(0,1-R20^2))</f>
        <v>0.71414284285428498</v>
      </c>
      <c r="T20" s="138" t="e">
        <f>IF(ISNUMBER($B$16),IF(AND($C$16=1,R20&lt;=-COS(PI()*$B$16)),S20,NA()),NA())</f>
        <v>#N/A</v>
      </c>
      <c r="U20" s="138" t="e">
        <f>IF(ISNUMBER($B$16),IF(AND($C$16=2,R20&lt;=-COS(PI()*$B$16)),S20,NA()),NA())</f>
        <v>#N/A</v>
      </c>
      <c r="V20" s="138" t="e">
        <f>IF(ISNUMBER($B$16),IF(AND($C$16=3,R20&lt;=-COS(PI()*$B$16)),S20,NA()),NA())</f>
        <v>#N/A</v>
      </c>
      <c r="W20" s="138" t="e">
        <f>IF(ISNUMBER($B$16),IF(AND($C$16=4,R20&lt;=-COS(PI()*$B$16)),S20,NA()),NA())</f>
        <v>#N/A</v>
      </c>
      <c r="X20" s="138" t="e">
        <f>IF(ISNUMBER($B$16),IF(AND($C$16=5,R20&lt;=-COS(PI()*$B$16)),S20,NA()),NA())</f>
        <v>#N/A</v>
      </c>
      <c r="Y20" s="138">
        <f>IF(ISNUMBER($B$16),IF(AND(ISNUMBER($B$16),R20&gt;=MIN(0,$R$2),R20&lt;=MAX(0,$R$2)),IF($R$2=0,0,R20/$R$2*$S$2),NA()),NA())</f>
        <v>0.26007095171588462</v>
      </c>
      <c r="Z20" s="138">
        <v>-0.7</v>
      </c>
      <c r="AA20" s="138">
        <f>SQRT(MAX(0,1-Z20^2))</f>
        <v>0.71414284285428498</v>
      </c>
      <c r="AB20" s="138" t="e">
        <f>IF(ISNUMBER($B$17),IF(AND($C$17=1,Z20&lt;=-COS(PI()*$B$17)),AA20,NA()),NA())</f>
        <v>#N/A</v>
      </c>
      <c r="AC20" s="138" t="e">
        <f>IF(ISNUMBER($B$17),IF(AND($C$17=2,Z20&lt;=-COS(PI()*$B$17)),AA20,NA()),NA())</f>
        <v>#N/A</v>
      </c>
      <c r="AD20" s="138" t="e">
        <f>IF(ISNUMBER($B$17),IF(AND($C$17=3,Z20&lt;=-COS(PI()*$B$17)),AA20,NA()),NA())</f>
        <v>#N/A</v>
      </c>
      <c r="AE20" s="138" t="e">
        <f>IF(ISNUMBER($B$17),IF(AND($C$17=4,Z20&lt;=-COS(PI()*$B$17)),AA20,NA()),NA())</f>
        <v>#N/A</v>
      </c>
      <c r="AF20" s="138" t="e">
        <f>IF(ISNUMBER($B$17),IF(AND($C$17=5,Z20&lt;=-COS(PI()*$B$17)),AA20,NA()),NA())</f>
        <v>#N/A</v>
      </c>
      <c r="AG20" s="138">
        <f>IF(ISNUMBER($B$17),IF(AND(ISNUMBER($B$17),Z20&gt;=MIN(0,$Z$2),Z20&lt;=MAX(0,$Z$2)),IF($Z$2=0,0,Z20/$Z$2*$AA$2),NA()),NA())</f>
        <v>0.17684726671936979</v>
      </c>
      <c r="AH20" s="138">
        <v>-0.7</v>
      </c>
      <c r="AI20" s="138">
        <f>SQRT(MAX(0,1-AH20^2))</f>
        <v>0.71414284285428498</v>
      </c>
      <c r="AJ20" s="138" t="e">
        <f>IF(ISNUMBER($B$18),IF(AND($C$18=1,AH20&lt;=-COS(PI()*$B$18)),AI20,NA()),NA())</f>
        <v>#N/A</v>
      </c>
      <c r="AK20" s="138" t="e">
        <f>IF(ISNUMBER($B$18),IF(AND($C$18=2,AH20&lt;=-COS(PI()*$B$18)),AI20,NA()),NA())</f>
        <v>#N/A</v>
      </c>
      <c r="AL20" s="138" t="e">
        <f>IF(ISNUMBER($B$18),IF(AND($C$18=3,AH20&lt;=-COS(PI()*$B$18)),AI20,NA()),NA())</f>
        <v>#N/A</v>
      </c>
      <c r="AM20" s="138" t="e">
        <f>IF(ISNUMBER($B$18),IF(AND($C$18=4,AH20&lt;=-COS(PI()*$B$18)),AI20,NA()),NA())</f>
        <v>#N/A</v>
      </c>
      <c r="AN20" s="138" t="e">
        <f>IF(ISNUMBER($B$18),IF(AND($C$18=5,AH20&lt;=-COS(PI()*$B$18)),AI20,NA()),NA())</f>
        <v>#N/A</v>
      </c>
      <c r="AO20" s="138">
        <f>IF(ISNUMBER($B$18),IF(AND(ISNUMBER($B$18),AH20&gt;=MIN(0,$AH$2),AH20&lt;=MAX(0,$AH$2)),IF($AH$2=0,0,AH20/$AH$2*$AI$2),NA()),NA())</f>
        <v>0.48217674140528433</v>
      </c>
    </row>
    <row r="21" spans="1:60">
      <c r="A21" s="148"/>
      <c r="B21" s="152"/>
      <c r="C21" s="152"/>
      <c r="D21" s="152"/>
      <c r="E21" s="152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>
        <v>-0.68</v>
      </c>
      <c r="S21" s="138">
        <f>SQRT(MAX(0,1-R21^2))</f>
        <v>0.73321211119293428</v>
      </c>
      <c r="T21" s="138" t="e">
        <f>IF(ISNUMBER($B$16),IF(AND($C$16=1,R21&lt;=-COS(PI()*$B$16)),S21,NA()),NA())</f>
        <v>#N/A</v>
      </c>
      <c r="U21" s="138" t="e">
        <f>IF(ISNUMBER($B$16),IF(AND($C$16=2,R21&lt;=-COS(PI()*$B$16)),S21,NA()),NA())</f>
        <v>#N/A</v>
      </c>
      <c r="V21" s="138" t="e">
        <f>IF(ISNUMBER($B$16),IF(AND($C$16=3,R21&lt;=-COS(PI()*$B$16)),S21,NA()),NA())</f>
        <v>#N/A</v>
      </c>
      <c r="W21" s="138" t="e">
        <f>IF(ISNUMBER($B$16),IF(AND($C$16=4,R21&lt;=-COS(PI()*$B$16)),S21,NA()),NA())</f>
        <v>#N/A</v>
      </c>
      <c r="X21" s="138" t="e">
        <f>IF(ISNUMBER($B$16),IF(AND($C$16=5,R21&lt;=-COS(PI()*$B$16)),S21,NA()),NA())</f>
        <v>#N/A</v>
      </c>
      <c r="Y21" s="138">
        <f>IF(ISNUMBER($B$16),IF(AND(ISNUMBER($B$16),R21&gt;=MIN(0,$R$2),R21&lt;=MAX(0,$R$2)),IF($R$2=0,0,R21/$R$2*$S$2),NA()),NA())</f>
        <v>0.25264035309543081</v>
      </c>
      <c r="Z21" s="138">
        <v>-0.68</v>
      </c>
      <c r="AA21" s="138">
        <f>SQRT(MAX(0,1-Z21^2))</f>
        <v>0.73321211119293428</v>
      </c>
      <c r="AB21" s="138" t="e">
        <f>IF(ISNUMBER($B$17),IF(AND($C$17=1,Z21&lt;=-COS(PI()*$B$17)),AA21,NA()),NA())</f>
        <v>#N/A</v>
      </c>
      <c r="AC21" s="138" t="e">
        <f>IF(ISNUMBER($B$17),IF(AND($C$17=2,Z21&lt;=-COS(PI()*$B$17)),AA21,NA()),NA())</f>
        <v>#N/A</v>
      </c>
      <c r="AD21" s="138" t="e">
        <f>IF(ISNUMBER($B$17),IF(AND($C$17=3,Z21&lt;=-COS(PI()*$B$17)),AA21,NA()),NA())</f>
        <v>#N/A</v>
      </c>
      <c r="AE21" s="138" t="e">
        <f>IF(ISNUMBER($B$17),IF(AND($C$17=4,Z21&lt;=-COS(PI()*$B$17)),AA21,NA()),NA())</f>
        <v>#N/A</v>
      </c>
      <c r="AF21" s="138" t="e">
        <f>IF(ISNUMBER($B$17),IF(AND($C$17=5,Z21&lt;=-COS(PI()*$B$17)),AA21,NA()),NA())</f>
        <v>#N/A</v>
      </c>
      <c r="AG21" s="138">
        <f>IF(ISNUMBER($B$17),IF(AND(ISNUMBER($B$17),Z21&gt;=MIN(0,$Z$2),Z21&lt;=MAX(0,$Z$2)),IF($Z$2=0,0,Z21/$Z$2*$AA$2),NA()),NA())</f>
        <v>0.17179448767024497</v>
      </c>
      <c r="AH21" s="138">
        <v>-0.68</v>
      </c>
      <c r="AI21" s="138">
        <f>SQRT(MAX(0,1-AH21^2))</f>
        <v>0.73321211119293428</v>
      </c>
      <c r="AJ21" s="138" t="e">
        <f>IF(ISNUMBER($B$18),IF(AND($C$18=1,AH21&lt;=-COS(PI()*$B$18)),AI21,NA()),NA())</f>
        <v>#N/A</v>
      </c>
      <c r="AK21" s="138" t="e">
        <f>IF(ISNUMBER($B$18),IF(AND($C$18=2,AH21&lt;=-COS(PI()*$B$18)),AI21,NA()),NA())</f>
        <v>#N/A</v>
      </c>
      <c r="AL21" s="138" t="e">
        <f>IF(ISNUMBER($B$18),IF(AND($C$18=3,AH21&lt;=-COS(PI()*$B$18)),AI21,NA()),NA())</f>
        <v>#N/A</v>
      </c>
      <c r="AM21" s="138" t="e">
        <f>IF(ISNUMBER($B$18),IF(AND($C$18=4,AH21&lt;=-COS(PI()*$B$18)),AI21,NA()),NA())</f>
        <v>#N/A</v>
      </c>
      <c r="AN21" s="138" t="e">
        <f>IF(ISNUMBER($B$18),IF(AND($C$18=5,AH21&lt;=-COS(PI()*$B$18)),AI21,NA()),NA())</f>
        <v>#N/A</v>
      </c>
      <c r="AO21" s="138">
        <f>IF(ISNUMBER($B$18),IF(AND(ISNUMBER($B$18),AH21&gt;=MIN(0,$AH$2),AH21&lt;=MAX(0,$AH$2)),IF($AH$2=0,0,AH21/$AH$2*$AI$2),NA()),NA())</f>
        <v>0.46840026307941912</v>
      </c>
    </row>
    <row r="22" spans="1:60">
      <c r="A22" s="149"/>
      <c r="B22" s="153"/>
      <c r="C22" s="153"/>
      <c r="D22" s="153"/>
      <c r="E22" s="153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>
        <v>-0.66</v>
      </c>
      <c r="S22" s="138">
        <f>SQRT(MAX(0,1-R22^2))</f>
        <v>0.751265598839718</v>
      </c>
      <c r="T22" s="138" t="e">
        <f>IF(ISNUMBER($B$16),IF(AND($C$16=1,R22&lt;=-COS(PI()*$B$16)),S22,NA()),NA())</f>
        <v>#N/A</v>
      </c>
      <c r="U22" s="138" t="e">
        <f>IF(ISNUMBER($B$16),IF(AND($C$16=2,R22&lt;=-COS(PI()*$B$16)),S22,NA()),NA())</f>
        <v>#N/A</v>
      </c>
      <c r="V22" s="138" t="e">
        <f>IF(ISNUMBER($B$16),IF(AND($C$16=3,R22&lt;=-COS(PI()*$B$16)),S22,NA()),NA())</f>
        <v>#N/A</v>
      </c>
      <c r="W22" s="138" t="e">
        <f>IF(ISNUMBER($B$16),IF(AND($C$16=4,R22&lt;=-COS(PI()*$B$16)),S22,NA()),NA())</f>
        <v>#N/A</v>
      </c>
      <c r="X22" s="138" t="e">
        <f>IF(ISNUMBER($B$16),IF(AND($C$16=5,R22&lt;=-COS(PI()*$B$16)),S22,NA()),NA())</f>
        <v>#N/A</v>
      </c>
      <c r="Y22" s="138">
        <f>IF(ISNUMBER($B$16),IF(AND(ISNUMBER($B$16),R22&gt;=MIN(0,$R$2),R22&lt;=MAX(0,$R$2)),IF($R$2=0,0,R22/$R$2*$S$2),NA()),NA())</f>
        <v>0.24520975447497695</v>
      </c>
      <c r="Z22" s="138">
        <v>-0.66</v>
      </c>
      <c r="AA22" s="138">
        <f>SQRT(MAX(0,1-Z22^2))</f>
        <v>0.751265598839718</v>
      </c>
      <c r="AB22" s="138" t="e">
        <f>IF(ISNUMBER($B$17),IF(AND($C$17=1,Z22&lt;=-COS(PI()*$B$17)),AA22,NA()),NA())</f>
        <v>#N/A</v>
      </c>
      <c r="AC22" s="138" t="e">
        <f>IF(ISNUMBER($B$17),IF(AND($C$17=2,Z22&lt;=-COS(PI()*$B$17)),AA22,NA()),NA())</f>
        <v>#N/A</v>
      </c>
      <c r="AD22" s="138" t="e">
        <f>IF(ISNUMBER($B$17),IF(AND($C$17=3,Z22&lt;=-COS(PI()*$B$17)),AA22,NA()),NA())</f>
        <v>#N/A</v>
      </c>
      <c r="AE22" s="138" t="e">
        <f>IF(ISNUMBER($B$17),IF(AND($C$17=4,Z22&lt;=-COS(PI()*$B$17)),AA22,NA()),NA())</f>
        <v>#N/A</v>
      </c>
      <c r="AF22" s="138" t="e">
        <f>IF(ISNUMBER($B$17),IF(AND($C$17=5,Z22&lt;=-COS(PI()*$B$17)),AA22,NA()),NA())</f>
        <v>#N/A</v>
      </c>
      <c r="AG22" s="138">
        <f>IF(ISNUMBER($B$17),IF(AND(ISNUMBER($B$17),Z22&gt;=MIN(0,$Z$2),Z22&lt;=MAX(0,$Z$2)),IF($Z$2=0,0,Z22/$Z$2*$AA$2),NA()),NA())</f>
        <v>0.16674170862112012</v>
      </c>
      <c r="AH22" s="138">
        <v>-0.66</v>
      </c>
      <c r="AI22" s="138">
        <f>SQRT(MAX(0,1-AH22^2))</f>
        <v>0.751265598839718</v>
      </c>
      <c r="AJ22" s="138" t="e">
        <f>IF(ISNUMBER($B$18),IF(AND($C$18=1,AH22&lt;=-COS(PI()*$B$18)),AI22,NA()),NA())</f>
        <v>#N/A</v>
      </c>
      <c r="AK22" s="138" t="e">
        <f>IF(ISNUMBER($B$18),IF(AND($C$18=2,AH22&lt;=-COS(PI()*$B$18)),AI22,NA()),NA())</f>
        <v>#N/A</v>
      </c>
      <c r="AL22" s="138" t="e">
        <f>IF(ISNUMBER($B$18),IF(AND($C$18=3,AH22&lt;=-COS(PI()*$B$18)),AI22,NA()),NA())</f>
        <v>#N/A</v>
      </c>
      <c r="AM22" s="138" t="e">
        <f>IF(ISNUMBER($B$18),IF(AND($C$18=4,AH22&lt;=-COS(PI()*$B$18)),AI22,NA()),NA())</f>
        <v>#N/A</v>
      </c>
      <c r="AN22" s="138" t="e">
        <f>IF(ISNUMBER($B$18),IF(AND($C$18=5,AH22&lt;=-COS(PI()*$B$18)),AI22,NA()),NA())</f>
        <v>#N/A</v>
      </c>
      <c r="AO22" s="138">
        <f>IF(ISNUMBER($B$18),IF(AND(ISNUMBER($B$18),AH22&gt;=MIN(0,$AH$2),AH22&lt;=MAX(0,$AH$2)),IF($AH$2=0,0,AH22/$AH$2*$AI$2),NA()),NA())</f>
        <v>0.45462378475355386</v>
      </c>
    </row>
    <row r="23" spans="1:60">
      <c r="A23" s="148" t="inlineStr">
        <is>
          <t>Client Beta (Heavy Const.)</t>
        </is>
      </c>
      <c r="B23" s="152">
        <f>SUMIFS('Current AR'!$S$6:$S$103,'Current AR'!$A$6:$A$103,A23)</f>
        <v>2000342999.9999998</v>
      </c>
      <c r="C23" s="152">
        <f>SUMIFS('Prior AR'!$S$6:$S$85,'Prior AR'!$A$6:$A$85,A23)</f>
        <v>1603172747.2431</v>
      </c>
      <c r="D23" s="152">
        <f>SUMIFS('Current AR'!$V$6:$V$103,'Current AR'!$A$6:$A$103,A23,'Current AR'!$Q$6:$Q$103,"&lt;=0")</f>
        <v>450338999.99999994</v>
      </c>
      <c r="E23" s="152">
        <f>SUMIFS('Current AR'!$V$6:$V$103,'Current AR'!$A$6:$A$103,A23,'Current AR'!$Q$6:$Q$103,"&gt;0")</f>
        <v>1550003999.9999998</v>
      </c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>
        <v>-0.64</v>
      </c>
      <c r="S23" s="138">
        <f>SQRT(MAX(0,1-R23^2))</f>
        <v>0.7683749084919419</v>
      </c>
      <c r="T23" s="138" t="e">
        <f>IF(ISNUMBER($B$16),IF(AND($C$16=1,R23&lt;=-COS(PI()*$B$16)),S23,NA()),NA())</f>
        <v>#N/A</v>
      </c>
      <c r="U23" s="138" t="e">
        <f>IF(ISNUMBER($B$16),IF(AND($C$16=2,R23&lt;=-COS(PI()*$B$16)),S23,NA()),NA())</f>
        <v>#N/A</v>
      </c>
      <c r="V23" s="138" t="e">
        <f>IF(ISNUMBER($B$16),IF(AND($C$16=3,R23&lt;=-COS(PI()*$B$16)),S23,NA()),NA())</f>
        <v>#N/A</v>
      </c>
      <c r="W23" s="138" t="e">
        <f>IF(ISNUMBER($B$16),IF(AND($C$16=4,R23&lt;=-COS(PI()*$B$16)),S23,NA()),NA())</f>
        <v>#N/A</v>
      </c>
      <c r="X23" s="138" t="e">
        <f>IF(ISNUMBER($B$16),IF(AND($C$16=5,R23&lt;=-COS(PI()*$B$16)),S23,NA()),NA())</f>
        <v>#N/A</v>
      </c>
      <c r="Y23" s="138">
        <f>IF(ISNUMBER($B$16),IF(AND(ISNUMBER($B$16),R23&gt;=MIN(0,$R$2),R23&lt;=MAX(0,$R$2)),IF($R$2=0,0,R23/$R$2*$S$2),NA()),NA())</f>
        <v>0.23777915585452311</v>
      </c>
      <c r="Z23" s="138">
        <v>-0.64</v>
      </c>
      <c r="AA23" s="138">
        <f>SQRT(MAX(0,1-Z23^2))</f>
        <v>0.7683749084919419</v>
      </c>
      <c r="AB23" s="138" t="e">
        <f>IF(ISNUMBER($B$17),IF(AND($C$17=1,Z23&lt;=-COS(PI()*$B$17)),AA23,NA()),NA())</f>
        <v>#N/A</v>
      </c>
      <c r="AC23" s="138" t="e">
        <f>IF(ISNUMBER($B$17),IF(AND($C$17=2,Z23&lt;=-COS(PI()*$B$17)),AA23,NA()),NA())</f>
        <v>#N/A</v>
      </c>
      <c r="AD23" s="138" t="e">
        <f>IF(ISNUMBER($B$17),IF(AND($C$17=3,Z23&lt;=-COS(PI()*$B$17)),AA23,NA()),NA())</f>
        <v>#N/A</v>
      </c>
      <c r="AE23" s="138" t="e">
        <f>IF(ISNUMBER($B$17),IF(AND($C$17=4,Z23&lt;=-COS(PI()*$B$17)),AA23,NA()),NA())</f>
        <v>#N/A</v>
      </c>
      <c r="AF23" s="138" t="e">
        <f>IF(ISNUMBER($B$17),IF(AND($C$17=5,Z23&lt;=-COS(PI()*$B$17)),AA23,NA()),NA())</f>
        <v>#N/A</v>
      </c>
      <c r="AG23" s="138">
        <f>IF(ISNUMBER($B$17),IF(AND(ISNUMBER($B$17),Z23&gt;=MIN(0,$Z$2),Z23&lt;=MAX(0,$Z$2)),IF($Z$2=0,0,Z23/$Z$2*$AA$2),NA()),NA())</f>
        <v>0.16168892957199524</v>
      </c>
      <c r="AH23" s="138">
        <v>-0.64</v>
      </c>
      <c r="AI23" s="138">
        <f>SQRT(MAX(0,1-AH23^2))</f>
        <v>0.7683749084919419</v>
      </c>
      <c r="AJ23" s="138" t="e">
        <f>IF(ISNUMBER($B$18),IF(AND($C$18=1,AH23&lt;=-COS(PI()*$B$18)),AI23,NA()),NA())</f>
        <v>#N/A</v>
      </c>
      <c r="AK23" s="138" t="e">
        <f>IF(ISNUMBER($B$18),IF(AND($C$18=2,AH23&lt;=-COS(PI()*$B$18)),AI23,NA()),NA())</f>
        <v>#N/A</v>
      </c>
      <c r="AL23" s="138" t="e">
        <f>IF(ISNUMBER($B$18),IF(AND($C$18=3,AH23&lt;=-COS(PI()*$B$18)),AI23,NA()),NA())</f>
        <v>#N/A</v>
      </c>
      <c r="AM23" s="138" t="e">
        <f>IF(ISNUMBER($B$18),IF(AND($C$18=4,AH23&lt;=-COS(PI()*$B$18)),AI23,NA()),NA())</f>
        <v>#N/A</v>
      </c>
      <c r="AN23" s="138" t="e">
        <f>IF(ISNUMBER($B$18),IF(AND($C$18=5,AH23&lt;=-COS(PI()*$B$18)),AI23,NA()),NA())</f>
        <v>#N/A</v>
      </c>
      <c r="AO23" s="138">
        <f>IF(ISNUMBER($B$18),IF(AND(ISNUMBER($B$18),AH23&gt;=MIN(0,$AH$2),AH23&lt;=MAX(0,$AH$2)),IF($AH$2=0,0,AH23/$AH$2*$AI$2),NA()),NA())</f>
        <v>0.44084730642768855</v>
      </c>
      <c r="AW23" t="str">
        <f>IF(D23=0,"",IF(ABS(D23)&gt;=1000000000,TEXT(D23/1000000000,IF(MOD(ROUND(D23/1000000000,2),1)=0,"0","0.00"))&amp;" B VND",IF(ABS(D23)&gt;=1000000,TEXT(D23/1000000,IF(MOD(ROUND(D23/1000000,2),1)=0,"0","0.00"))&amp;" M VND",TEXT(D23/1000,IF(MOD(ROUND(D23/1000,2),1)=0,"0","0.00"))&amp;"k")))</f>
        <v>430M VND</v>
      </c>
      <c r="AX23" t="str">
        <f>IF(E23=0,"",IF(ABS(E23)&gt;=1000000000,TEXT(E23/1000000000,IF(MOD(ROUND(E23/1000000000,2),1)=0,"0","0.00"))&amp;" B VND",IF(ABS(E23)&gt;=1000000,TEXT(E23/1000000,IF(MOD(ROUND(E23/1000000,2),1)=0,"0","0.00"))&amp;" M VND",TEXT(E23/1000,IF(MOD(ROUND(E23/1000,2),1)=0,"0","0.00"))&amp;"k")))</f>
        <v>1.48B VND</v>
      </c>
    </row>
    <row r="24" spans="1:60">
      <c r="A24" s="148" t="inlineStr">
        <is>
          <t>Client Delta (Commercial Facade)</t>
        </is>
      </c>
      <c r="B24" s="152">
        <f>SUMIFS('Current AR'!$S$6:$S$103,'Current AR'!$A$6:$A$103,A24)</f>
        <v>2283113998.9526997</v>
      </c>
      <c r="C24" s="152">
        <f>SUMIFS('Prior AR'!$S$6:$S$85,'Prior AR'!$A$6:$A$85,A24)</f>
        <v>0</v>
      </c>
      <c r="D24" s="152">
        <f>SUMIFS('Current AR'!$V$6:$V$103,'Current AR'!$A$6:$A$103,A24,'Current AR'!$Q$6:$Q$103,"&lt;=0")</f>
        <v>2283113998.9526997</v>
      </c>
      <c r="E24" s="152">
        <f>SUMIFS('Current AR'!$V$6:$V$103,'Current AR'!$A$6:$A$103,A24,'Current AR'!$Q$6:$Q$103,"&gt;0")</f>
        <v>0</v>
      </c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>
        <v>-0.62</v>
      </c>
      <c r="S24" s="138">
        <f>SQRT(MAX(0,1-R24^2))</f>
        <v>0.7846018098373212</v>
      </c>
      <c r="T24" s="138" t="e">
        <f>IF(ISNUMBER($B$16),IF(AND($C$16=1,R24&lt;=-COS(PI()*$B$16)),S24,NA()),NA())</f>
        <v>#N/A</v>
      </c>
      <c r="U24" s="138" t="e">
        <f>IF(ISNUMBER($B$16),IF(AND($C$16=2,R24&lt;=-COS(PI()*$B$16)),S24,NA()),NA())</f>
        <v>#N/A</v>
      </c>
      <c r="V24" s="138" t="e">
        <f>IF(ISNUMBER($B$16),IF(AND($C$16=3,R24&lt;=-COS(PI()*$B$16)),S24,NA()),NA())</f>
        <v>#N/A</v>
      </c>
      <c r="W24" s="138" t="e">
        <f>IF(ISNUMBER($B$16),IF(AND($C$16=4,R24&lt;=-COS(PI()*$B$16)),S24,NA()),NA())</f>
        <v>#N/A</v>
      </c>
      <c r="X24" s="138" t="e">
        <f>IF(ISNUMBER($B$16),IF(AND($C$16=5,R24&lt;=-COS(PI()*$B$16)),S24,NA()),NA())</f>
        <v>#N/A</v>
      </c>
      <c r="Y24" s="138">
        <f>IF(ISNUMBER($B$16),IF(AND(ISNUMBER($B$16),R24&gt;=MIN(0,$R$2),R24&lt;=MAX(0,$R$2)),IF($R$2=0,0,R24/$R$2*$S$2),NA()),NA())</f>
        <v>0.23034855723406925</v>
      </c>
      <c r="Z24" s="138">
        <v>-0.62</v>
      </c>
      <c r="AA24" s="138">
        <f>SQRT(MAX(0,1-Z24^2))</f>
        <v>0.7846018098373212</v>
      </c>
      <c r="AB24" s="138" t="e">
        <f>IF(ISNUMBER($B$17),IF(AND($C$17=1,Z24&lt;=-COS(PI()*$B$17)),AA24,NA()),NA())</f>
        <v>#N/A</v>
      </c>
      <c r="AC24" s="138" t="e">
        <f>IF(ISNUMBER($B$17),IF(AND($C$17=2,Z24&lt;=-COS(PI()*$B$17)),AA24,NA()),NA())</f>
        <v>#N/A</v>
      </c>
      <c r="AD24" s="138" t="e">
        <f>IF(ISNUMBER($B$17),IF(AND($C$17=3,Z24&lt;=-COS(PI()*$B$17)),AA24,NA()),NA())</f>
        <v>#N/A</v>
      </c>
      <c r="AE24" s="138" t="e">
        <f>IF(ISNUMBER($B$17),IF(AND($C$17=4,Z24&lt;=-COS(PI()*$B$17)),AA24,NA()),NA())</f>
        <v>#N/A</v>
      </c>
      <c r="AF24" s="138" t="e">
        <f>IF(ISNUMBER($B$17),IF(AND($C$17=5,Z24&lt;=-COS(PI()*$B$17)),AA24,NA()),NA())</f>
        <v>#N/A</v>
      </c>
      <c r="AG24" s="138">
        <f>IF(ISNUMBER($B$17),IF(AND(ISNUMBER($B$17),Z24&gt;=MIN(0,$Z$2),Z24&lt;=MAX(0,$Z$2)),IF($Z$2=0,0,Z24/$Z$2*$AA$2),NA()),NA())</f>
        <v>0.15663615052287039</v>
      </c>
      <c r="AH24" s="138">
        <v>-0.62</v>
      </c>
      <c r="AI24" s="138">
        <f>SQRT(MAX(0,1-AH24^2))</f>
        <v>0.7846018098373212</v>
      </c>
      <c r="AJ24" s="138" t="e">
        <f>IF(ISNUMBER($B$18),IF(AND($C$18=1,AH24&lt;=-COS(PI()*$B$18)),AI24,NA()),NA())</f>
        <v>#N/A</v>
      </c>
      <c r="AK24" s="138" t="e">
        <f>IF(ISNUMBER($B$18),IF(AND($C$18=2,AH24&lt;=-COS(PI()*$B$18)),AI24,NA()),NA())</f>
        <v>#N/A</v>
      </c>
      <c r="AL24" s="138" t="e">
        <f>IF(ISNUMBER($B$18),IF(AND($C$18=3,AH24&lt;=-COS(PI()*$B$18)),AI24,NA()),NA())</f>
        <v>#N/A</v>
      </c>
      <c r="AM24" s="138" t="e">
        <f>IF(ISNUMBER($B$18),IF(AND($C$18=4,AH24&lt;=-COS(PI()*$B$18)),AI24,NA()),NA())</f>
        <v>#N/A</v>
      </c>
      <c r="AN24" s="138" t="e">
        <f>IF(ISNUMBER($B$18),IF(AND($C$18=5,AH24&lt;=-COS(PI()*$B$18)),AI24,NA()),NA())</f>
        <v>#N/A</v>
      </c>
      <c r="AO24" s="138">
        <f>IF(ISNUMBER($B$18),IF(AND(ISNUMBER($B$18),AH24&gt;=MIN(0,$AH$2),AH24&lt;=MAX(0,$AH$2)),IF($AH$2=0,0,AH24/$AH$2*$AI$2),NA()),NA())</f>
        <v>0.42707082810182329</v>
      </c>
      <c r="AW24" t="str">
        <f>IF(D24=0,"",IF(ABS(D24)&gt;=1000000000,TEXT(D24/1000000000,IF(MOD(ROUND(D24/1000000000,2),1)=0,"0","0.00"))&amp;" B VND",IF(ABS(D24)&gt;=1000000,TEXT(D24/1000000,IF(MOD(ROUND(D24/1000000,2),1)=0,"0","0.00"))&amp;" M VND",TEXT(D24/1000,IF(MOD(ROUND(D24/1000,2),1)=0,"0","0.00"))&amp;"k")))</f>
        <v>2.18B VND</v>
      </c>
      <c r="AX24" t="str">
        <f>IF(E24=0,"",IF(ABS(E24)&gt;=1000000000,TEXT(E24/1000000000,IF(MOD(ROUND(E24/1000000000,2),1)=0,"0","0.00"))&amp;" B VND",IF(ABS(E24)&gt;=1000000,TEXT(E24/1000000,IF(MOD(ROUND(E24/1000000,2),1)=0,"0","0.00"))&amp;" M VND",TEXT(E24/1000,IF(MOD(ROUND(E24/1000,2),1)=0,"0","0.00"))&amp;"k")))</f>
        <v/>
      </c>
    </row>
    <row r="25" spans="1:60">
      <c r="A25" s="148" t="inlineStr">
        <is>
          <t>Client Alpha (Steel EPC)</t>
        </is>
      </c>
      <c r="B25" s="152">
        <f>SUMIFS('Current AR'!$S$6:$S$103,'Current AR'!$A$6:$A$103,A25)</f>
        <v>39053816997.905396</v>
      </c>
      <c r="C25" s="152">
        <f>SUMIFS('Prior AR'!$S$6:$S$85,'Prior AR'!$A$6:$A$85,A25)</f>
        <v>23724532597.8882</v>
      </c>
      <c r="D25" s="152">
        <f>SUMIFS('Current AR'!$V$6:$V$103,'Current AR'!$A$6:$A$103,A25,'Current AR'!$Q$6:$Q$103,"&lt;=0")</f>
        <v>36498404998.9527</v>
      </c>
      <c r="E25" s="152">
        <f>SUMIFS('Current AR'!$V$6:$V$103,'Current AR'!$A$6:$A$103,A25,'Current AR'!$Q$6:$Q$103,"&gt;0")</f>
        <v>2555411998.9526997</v>
      </c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>
        <v>-0.6</v>
      </c>
      <c r="S25" s="138">
        <f>SQRT(MAX(0,1-R25^2))</f>
        <v>0.8</v>
      </c>
      <c r="T25" s="138" t="e">
        <f>IF(ISNUMBER($B$16),IF(AND($C$16=1,R25&lt;=-COS(PI()*$B$16)),S25,NA()),NA())</f>
        <v>#N/A</v>
      </c>
      <c r="U25" s="138" t="e">
        <f>IF(ISNUMBER($B$16),IF(AND($C$16=2,R25&lt;=-COS(PI()*$B$16)),S25,NA()),NA())</f>
        <v>#N/A</v>
      </c>
      <c r="V25" s="138" t="e">
        <f>IF(ISNUMBER($B$16),IF(AND($C$16=3,R25&lt;=-COS(PI()*$B$16)),S25,NA()),NA())</f>
        <v>#N/A</v>
      </c>
      <c r="W25" s="138" t="e">
        <f>IF(ISNUMBER($B$16),IF(AND($C$16=4,R25&lt;=-COS(PI()*$B$16)),S25,NA()),NA())</f>
        <v>#N/A</v>
      </c>
      <c r="X25" s="138" t="e">
        <f>IF(ISNUMBER($B$16),IF(AND($C$16=5,R25&lt;=-COS(PI()*$B$16)),S25,NA()),NA())</f>
        <v>#N/A</v>
      </c>
      <c r="Y25" s="138">
        <f>IF(ISNUMBER($B$16),IF(AND(ISNUMBER($B$16),R25&gt;=MIN(0,$R$2),R25&lt;=MAX(0,$R$2)),IF($R$2=0,0,R25/$R$2*$S$2),NA()),NA())</f>
        <v>0.22291795861361541</v>
      </c>
      <c r="Z25" s="138">
        <v>-0.6</v>
      </c>
      <c r="AA25" s="138">
        <f>SQRT(MAX(0,1-Z25^2))</f>
        <v>0.8</v>
      </c>
      <c r="AB25" s="138" t="e">
        <f>IF(ISNUMBER($B$17),IF(AND($C$17=1,Z25&lt;=-COS(PI()*$B$17)),AA25,NA()),NA())</f>
        <v>#N/A</v>
      </c>
      <c r="AC25" s="138" t="e">
        <f>IF(ISNUMBER($B$17),IF(AND($C$17=2,Z25&lt;=-COS(PI()*$B$17)),AA25,NA()),NA())</f>
        <v>#N/A</v>
      </c>
      <c r="AD25" s="138" t="e">
        <f>IF(ISNUMBER($B$17),IF(AND($C$17=3,Z25&lt;=-COS(PI()*$B$17)),AA25,NA()),NA())</f>
        <v>#N/A</v>
      </c>
      <c r="AE25" s="138" t="e">
        <f>IF(ISNUMBER($B$17),IF(AND($C$17=4,Z25&lt;=-COS(PI()*$B$17)),AA25,NA()),NA())</f>
        <v>#N/A</v>
      </c>
      <c r="AF25" s="138" t="e">
        <f>IF(ISNUMBER($B$17),IF(AND($C$17=5,Z25&lt;=-COS(PI()*$B$17)),AA25,NA()),NA())</f>
        <v>#N/A</v>
      </c>
      <c r="AG25" s="138">
        <f>IF(ISNUMBER($B$17),IF(AND(ISNUMBER($B$17),Z25&gt;=MIN(0,$Z$2),Z25&lt;=MAX(0,$Z$2)),IF($Z$2=0,0,Z25/$Z$2*$AA$2),NA()),NA())</f>
        <v>0.15158337147374554</v>
      </c>
      <c r="AH25" s="138">
        <v>-0.6</v>
      </c>
      <c r="AI25" s="138">
        <f>SQRT(MAX(0,1-AH25^2))</f>
        <v>0.8</v>
      </c>
      <c r="AJ25" s="138" t="e">
        <f>IF(ISNUMBER($B$18),IF(AND($C$18=1,AH25&lt;=-COS(PI()*$B$18)),AI25,NA()),NA())</f>
        <v>#N/A</v>
      </c>
      <c r="AK25" s="138" t="e">
        <f>IF(ISNUMBER($B$18),IF(AND($C$18=2,AH25&lt;=-COS(PI()*$B$18)),AI25,NA()),NA())</f>
        <v>#N/A</v>
      </c>
      <c r="AL25" s="138" t="e">
        <f>IF(ISNUMBER($B$18),IF(AND($C$18=3,AH25&lt;=-COS(PI()*$B$18)),AI25,NA()),NA())</f>
        <v>#N/A</v>
      </c>
      <c r="AM25" s="138" t="e">
        <f>IF(ISNUMBER($B$18),IF(AND($C$18=4,AH25&lt;=-COS(PI()*$B$18)),AI25,NA()),NA())</f>
        <v>#N/A</v>
      </c>
      <c r="AN25" s="138" t="e">
        <f>IF(ISNUMBER($B$18),IF(AND($C$18=5,AH25&lt;=-COS(PI()*$B$18)),AI25,NA()),NA())</f>
        <v>#N/A</v>
      </c>
      <c r="AO25" s="138">
        <f>IF(ISNUMBER($B$18),IF(AND(ISNUMBER($B$18),AH25&gt;=MIN(0,$AH$2),AH25&lt;=MAX(0,$AH$2)),IF($AH$2=0,0,AH25/$AH$2*$AI$2),NA()),NA())</f>
        <v>0.41329434977595803</v>
      </c>
      <c r="AW25" t="str">
        <f>IF(D25=0,"",IF(ABS(D25)&gt;=1000000000,TEXT(D25/1000000000,IF(MOD(ROUND(D25/1000000000,2),1)=0,"0","0.00"))&amp;" B VND",IF(ABS(D25)&gt;=1000000,TEXT(D25/1000000,IF(MOD(ROUND(D25/1000000,2),1)=0,"0","0.00"))&amp;" M VND",TEXT(D25/1000,IF(MOD(ROUND(D25/1000,2),1)=0,"0","0.00"))&amp;"k")))</f>
        <v>34.85B VND</v>
      </c>
      <c r="AX25" t="str">
        <f>IF(E25=0,"",IF(ABS(E25)&gt;=1000000000,TEXT(E25/1000000000,IF(MOD(ROUND(E25/1000000000,2),1)=0,"0","0.00"))&amp;" B VND",IF(ABS(E25)&gt;=1000000,TEXT(E25/1000000,IF(MOD(ROUND(E25/1000000,2),1)=0,"0","0.00"))&amp;" M VND",TEXT(E25/1000,IF(MOD(ROUND(E25/1000,2),1)=0,"0","0.00"))&amp;"k")))</f>
        <v>2.44B VND</v>
      </c>
    </row>
    <row r="26" spans="1:60">
      <c r="A26" s="148" t="inlineStr">
        <is>
          <t>Client Alpha Sub-Contract</t>
        </is>
      </c>
      <c r="B26" s="152">
        <f>SUMIFS('Current AR'!$S$6:$S$103,'Current AR'!$A$6:$A$103,A26)</f>
        <v>3653181386.9999995</v>
      </c>
      <c r="C26" s="152">
        <f>SUMIFS('Prior AR'!$S$6:$S$85,'Prior AR'!$A$6:$A$85,A26)</f>
        <v>4505176912.685699</v>
      </c>
      <c r="D26" s="152">
        <f>SUMIFS('Current AR'!$V$6:$V$103,'Current AR'!$A$6:$A$103,A26,'Current AR'!$Q$6:$Q$103,"&lt;=0")</f>
        <v>1977501386.9999998</v>
      </c>
      <c r="E26" s="152">
        <f>SUMIFS('Current AR'!$V$6:$V$103,'Current AR'!$A$6:$A$103,A26,'Current AR'!$Q$6:$Q$103,"&gt;0")</f>
        <v>1675679999.9999998</v>
      </c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>
        <v>-0.57999999999999996</v>
      </c>
      <c r="S26" s="138">
        <f>SQRT(MAX(0,1-R26^2))</f>
        <v>0.81461647417665206</v>
      </c>
      <c r="T26" s="138" t="e">
        <f>IF(ISNUMBER($B$16),IF(AND($C$16=1,R26&lt;=-COS(PI()*$B$16)),S26,NA()),NA())</f>
        <v>#N/A</v>
      </c>
      <c r="U26" s="138" t="e">
        <f>IF(ISNUMBER($B$16),IF(AND($C$16=2,R26&lt;=-COS(PI()*$B$16)),S26,NA()),NA())</f>
        <v>#N/A</v>
      </c>
      <c r="V26" s="138" t="e">
        <f>IF(ISNUMBER($B$16),IF(AND($C$16=3,R26&lt;=-COS(PI()*$B$16)),S26,NA()),NA())</f>
        <v>#N/A</v>
      </c>
      <c r="W26" s="138" t="e">
        <f>IF(ISNUMBER($B$16),IF(AND($C$16=4,R26&lt;=-COS(PI()*$B$16)),S26,NA()),NA())</f>
        <v>#N/A</v>
      </c>
      <c r="X26" s="138" t="e">
        <f>IF(ISNUMBER($B$16),IF(AND($C$16=5,R26&lt;=-COS(PI()*$B$16)),S26,NA()),NA())</f>
        <v>#N/A</v>
      </c>
      <c r="Y26" s="138">
        <f>IF(ISNUMBER($B$16),IF(AND(ISNUMBER($B$16),R26&gt;=MIN(0,$R$2),R26&lt;=MAX(0,$R$2)),IF($R$2=0,0,R26/$R$2*$S$2),NA()),NA())</f>
        <v>0.21548735999316154</v>
      </c>
      <c r="Z26" s="138">
        <v>-0.57999999999999996</v>
      </c>
      <c r="AA26" s="138">
        <f>SQRT(MAX(0,1-Z26^2))</f>
        <v>0.81461647417665206</v>
      </c>
      <c r="AB26" s="138" t="e">
        <f>IF(ISNUMBER($B$17),IF(AND($C$17=1,Z26&lt;=-COS(PI()*$B$17)),AA26,NA()),NA())</f>
        <v>#N/A</v>
      </c>
      <c r="AC26" s="138" t="e">
        <f>IF(ISNUMBER($B$17),IF(AND($C$17=2,Z26&lt;=-COS(PI()*$B$17)),AA26,NA()),NA())</f>
        <v>#N/A</v>
      </c>
      <c r="AD26" s="138" t="e">
        <f>IF(ISNUMBER($B$17),IF(AND($C$17=3,Z26&lt;=-COS(PI()*$B$17)),AA26,NA()),NA())</f>
        <v>#N/A</v>
      </c>
      <c r="AE26" s="138" t="e">
        <f>IF(ISNUMBER($B$17),IF(AND($C$17=4,Z26&lt;=-COS(PI()*$B$17)),AA26,NA()),NA())</f>
        <v>#N/A</v>
      </c>
      <c r="AF26" s="138" t="e">
        <f>IF(ISNUMBER($B$17),IF(AND($C$17=5,Z26&lt;=-COS(PI()*$B$17)),AA26,NA()),NA())</f>
        <v>#N/A</v>
      </c>
      <c r="AG26" s="138">
        <f>IF(ISNUMBER($B$17),IF(AND(ISNUMBER($B$17),Z26&gt;=MIN(0,$Z$2),Z26&lt;=MAX(0,$Z$2)),IF($Z$2=0,0,Z26/$Z$2*$AA$2),NA()),NA())</f>
        <v>0.14653059242462066</v>
      </c>
      <c r="AH26" s="138">
        <v>-0.57999999999999996</v>
      </c>
      <c r="AI26" s="138">
        <f>SQRT(MAX(0,1-AH26^2))</f>
        <v>0.81461647417665206</v>
      </c>
      <c r="AJ26" s="138" t="e">
        <f>IF(ISNUMBER($B$18),IF(AND($C$18=1,AH26&lt;=-COS(PI()*$B$18)),AI26,NA()),NA())</f>
        <v>#N/A</v>
      </c>
      <c r="AK26" s="138" t="e">
        <f>IF(ISNUMBER($B$18),IF(AND($C$18=2,AH26&lt;=-COS(PI()*$B$18)),AI26,NA()),NA())</f>
        <v>#N/A</v>
      </c>
      <c r="AL26" s="138" t="e">
        <f>IF(ISNUMBER($B$18),IF(AND($C$18=3,AH26&lt;=-COS(PI()*$B$18)),AI26,NA()),NA())</f>
        <v>#N/A</v>
      </c>
      <c r="AM26" s="138" t="e">
        <f>IF(ISNUMBER($B$18),IF(AND($C$18=4,AH26&lt;=-COS(PI()*$B$18)),AI26,NA()),NA())</f>
        <v>#N/A</v>
      </c>
      <c r="AN26" s="138" t="e">
        <f>IF(ISNUMBER($B$18),IF(AND($C$18=5,AH26&lt;=-COS(PI()*$B$18)),AI26,NA()),NA())</f>
        <v>#N/A</v>
      </c>
      <c r="AO26" s="138">
        <f>IF(ISNUMBER($B$18),IF(AND(ISNUMBER($B$18),AH26&gt;=MIN(0,$AH$2),AH26&lt;=MAX(0,$AH$2)),IF($AH$2=0,0,AH26/$AH$2*$AI$2),NA()),NA())</f>
        <v>0.39951787145009271</v>
      </c>
      <c r="AW26" t="str">
        <f>IF(D26=0,"",IF(ABS(D26)&gt;=1000000000,TEXT(D26/1000000000,IF(MOD(ROUND(D26/1000000000,2),1)=0,"0","0.00"))&amp;" B VND",IF(ABS(D26)&gt;=1000000,TEXT(D26/1000000,IF(MOD(ROUND(D26/1000000,2),1)=0,"0","0.00"))&amp;" M VND",TEXT(D26/1000,IF(MOD(ROUND(D26/1000,2),1)=0,"0","0.00"))&amp;"k")))</f>
        <v>1.89B VND</v>
      </c>
      <c r="AX26" t="str">
        <f>IF(E26=0,"",IF(ABS(E26)&gt;=1000000000,TEXT(E26/1000000000,IF(MOD(ROUND(E26/1000000000,2),1)=0,"0","0.00"))&amp;" B VND",IF(ABS(E26)&gt;=1000000,TEXT(E26/1000000,IF(MOD(ROUND(E26/1000000,2),1)=0,"0","0.00"))&amp;" M VND",TEXT(E26/1000,IF(MOD(ROUND(E26/1000,2),1)=0,"0","0.00"))&amp;"k")))</f>
        <v>1.60B VND</v>
      </c>
    </row>
    <row r="27" spans="1:60">
      <c r="A27" s="148" t="inlineStr">
        <is>
          <t>Client Epsilon (Equipment)</t>
        </is>
      </c>
      <c r="B27" s="152">
        <f>SUMIFS('Current AR'!$S$6:$S$103,'Current AR'!$A$6:$A$103,A27)</f>
        <v>43462949.99999999</v>
      </c>
      <c r="C27" s="152">
        <f>SUMIFS('Prior AR'!$S$6:$S$85,'Prior AR'!$A$6:$A$85,A27)</f>
        <v>0</v>
      </c>
      <c r="D27" s="152">
        <f>SUMIFS('Current AR'!$V$6:$V$103,'Current AR'!$A$6:$A$103,A27,'Current AR'!$Q$6:$Q$103,"&lt;=0")</f>
        <v>43462949.99999999</v>
      </c>
      <c r="E27" s="152">
        <f>SUMIFS('Current AR'!$V$6:$V$103,'Current AR'!$A$6:$A$103,A27,'Current AR'!$Q$6:$Q$103,"&gt;0")</f>
        <v>0</v>
      </c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>
        <v>-0.56000000000000005</v>
      </c>
      <c r="S27" s="138">
        <f>SQRT(MAX(0,1-R27^2))</f>
        <v>0.82849260708831907</v>
      </c>
      <c r="T27" s="138" t="e">
        <f>IF(ISNUMBER($B$16),IF(AND($C$16=1,R27&lt;=-COS(PI()*$B$16)),S27,NA()),NA())</f>
        <v>#N/A</v>
      </c>
      <c r="U27" s="138" t="e">
        <f>IF(ISNUMBER($B$16),IF(AND($C$16=2,R27&lt;=-COS(PI()*$B$16)),S27,NA()),NA())</f>
        <v>#N/A</v>
      </c>
      <c r="V27" s="138" t="e">
        <f>IF(ISNUMBER($B$16),IF(AND($C$16=3,R27&lt;=-COS(PI()*$B$16)),S27,NA()),NA())</f>
        <v>#N/A</v>
      </c>
      <c r="W27" s="138" t="e">
        <f>IF(ISNUMBER($B$16),IF(AND($C$16=4,R27&lt;=-COS(PI()*$B$16)),S27,NA()),NA())</f>
        <v>#N/A</v>
      </c>
      <c r="X27" s="138" t="e">
        <f>IF(ISNUMBER($B$16),IF(AND($C$16=5,R27&lt;=-COS(PI()*$B$16)),S27,NA()),NA())</f>
        <v>#N/A</v>
      </c>
      <c r="Y27" s="138">
        <f>IF(ISNUMBER($B$16),IF(AND(ISNUMBER($B$16),R27&gt;=MIN(0,$R$2),R27&lt;=MAX(0,$R$2)),IF($R$2=0,0,R27/$R$2*$S$2),NA()),NA())</f>
        <v>0.20805676137270773</v>
      </c>
      <c r="Z27" s="138">
        <v>-0.56000000000000005</v>
      </c>
      <c r="AA27" s="138">
        <f>SQRT(MAX(0,1-Z27^2))</f>
        <v>0.82849260708831907</v>
      </c>
      <c r="AB27" s="138" t="e">
        <f>IF(ISNUMBER($B$17),IF(AND($C$17=1,Z27&lt;=-COS(PI()*$B$17)),AA27,NA()),NA())</f>
        <v>#N/A</v>
      </c>
      <c r="AC27" s="138" t="e">
        <f>IF(ISNUMBER($B$17),IF(AND($C$17=2,Z27&lt;=-COS(PI()*$B$17)),AA27,NA()),NA())</f>
        <v>#N/A</v>
      </c>
      <c r="AD27" s="138" t="e">
        <f>IF(ISNUMBER($B$17),IF(AND($C$17=3,Z27&lt;=-COS(PI()*$B$17)),AA27,NA()),NA())</f>
        <v>#N/A</v>
      </c>
      <c r="AE27" s="138" t="e">
        <f>IF(ISNUMBER($B$17),IF(AND($C$17=4,Z27&lt;=-COS(PI()*$B$17)),AA27,NA()),NA())</f>
        <v>#N/A</v>
      </c>
      <c r="AF27" s="138" t="e">
        <f>IF(ISNUMBER($B$17),IF(AND($C$17=5,Z27&lt;=-COS(PI()*$B$17)),AA27,NA()),NA())</f>
        <v>#N/A</v>
      </c>
      <c r="AG27" s="138">
        <f>IF(ISNUMBER($B$17),IF(AND(ISNUMBER($B$17),Z27&gt;=MIN(0,$Z$2),Z27&lt;=MAX(0,$Z$2)),IF($Z$2=0,0,Z27/$Z$2*$AA$2),NA()),NA())</f>
        <v>0.14147781337549586</v>
      </c>
      <c r="AH27" s="138">
        <v>-0.56000000000000005</v>
      </c>
      <c r="AI27" s="138">
        <f>SQRT(MAX(0,1-AH27^2))</f>
        <v>0.82849260708831907</v>
      </c>
      <c r="AJ27" s="138" t="e">
        <f>IF(ISNUMBER($B$18),IF(AND($C$18=1,AH27&lt;=-COS(PI()*$B$18)),AI27,NA()),NA())</f>
        <v>#N/A</v>
      </c>
      <c r="AK27" s="138" t="e">
        <f>IF(ISNUMBER($B$18),IF(AND($C$18=2,AH27&lt;=-COS(PI()*$B$18)),AI27,NA()),NA())</f>
        <v>#N/A</v>
      </c>
      <c r="AL27" s="138" t="e">
        <f>IF(ISNUMBER($B$18),IF(AND($C$18=3,AH27&lt;=-COS(PI()*$B$18)),AI27,NA()),NA())</f>
        <v>#N/A</v>
      </c>
      <c r="AM27" s="138" t="e">
        <f>IF(ISNUMBER($B$18),IF(AND($C$18=4,AH27&lt;=-COS(PI()*$B$18)),AI27,NA()),NA())</f>
        <v>#N/A</v>
      </c>
      <c r="AN27" s="138" t="e">
        <f>IF(ISNUMBER($B$18),IF(AND($C$18=5,AH27&lt;=-COS(PI()*$B$18)),AI27,NA()),NA())</f>
        <v>#N/A</v>
      </c>
      <c r="AO27" s="138">
        <f>IF(ISNUMBER($B$18),IF(AND(ISNUMBER($B$18),AH27&gt;=MIN(0,$AH$2),AH27&lt;=MAX(0,$AH$2)),IF($AH$2=0,0,AH27/$AH$2*$AI$2),NA()),NA())</f>
        <v>0.38574139312422751</v>
      </c>
      <c r="AW27" t="str">
        <f>IF(D27=0,"",IF(ABS(D27)&gt;=1000000000,TEXT(D27/1000000000,IF(MOD(ROUND(D27/1000000000,2),1)=0,"0","0.00"))&amp;" B VND",IF(ABS(D27)&gt;=1000000,TEXT(D27/1000000,IF(MOD(ROUND(D27/1000000,2),1)=0,"0","0.00"))&amp;" M VND",TEXT(D27/1000,IF(MOD(ROUND(D27/1000,2),1)=0,"0","0.00"))&amp;"k")))</f>
        <v>41.50M VND</v>
      </c>
      <c r="AX27" t="str">
        <f>IF(E27=0,"",IF(ABS(E27)&gt;=1000000000,TEXT(E27/1000000000,IF(MOD(ROUND(E27/1000000000,2),1)=0,"0","0.00"))&amp;" B VND",IF(ABS(E27)&gt;=1000000,TEXT(E27/1000000,IF(MOD(ROUND(E27/1000000,2),1)=0,"0","0.00"))&amp;" M VND",TEXT(E27/1000,IF(MOD(ROUND(E27/1000,2),1)=0,"0","0.00"))&amp;"k")))</f>
        <v/>
      </c>
    </row>
    <row r="28" spans="1:60">
      <c r="A28" s="148" t="inlineStr">
        <is>
          <t>Client Zeta (Building Tech)</t>
        </is>
      </c>
      <c r="B28" s="152">
        <f>SUMIFS('Current AR'!$S$6:$S$103,'Current AR'!$A$6:$A$103,A28)</f>
        <v>324662.99999999994</v>
      </c>
      <c r="C28" s="152">
        <f>SUMIFS('Prior AR'!$S$6:$S$85,'Prior AR'!$A$6:$A$85,A28)</f>
        <v>333943.12529999996</v>
      </c>
      <c r="D28" s="152">
        <f>SUMIFS('Current AR'!$V$6:$V$103,'Current AR'!$A$6:$A$103,A28,'Current AR'!$Q$6:$Q$103,"&lt;=0")</f>
        <v>324662.99999999994</v>
      </c>
      <c r="E28" s="152">
        <f>SUMIFS('Current AR'!$V$6:$V$103,'Current AR'!$A$6:$A$103,A28,'Current AR'!$Q$6:$Q$103,"&gt;0")</f>
        <v>0</v>
      </c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>
        <v>-0.54</v>
      </c>
      <c r="S28" s="138">
        <f>SQRT(MAX(0,1-R28^2))</f>
        <v>0.84166501650003245</v>
      </c>
      <c r="T28" s="138" t="e">
        <f>IF(ISNUMBER($B$16),IF(AND($C$16=1,R28&lt;=-COS(PI()*$B$16)),S28,NA()),NA())</f>
        <v>#N/A</v>
      </c>
      <c r="U28" s="138" t="e">
        <f>IF(ISNUMBER($B$16),IF(AND($C$16=2,R28&lt;=-COS(PI()*$B$16)),S28,NA()),NA())</f>
        <v>#N/A</v>
      </c>
      <c r="V28" s="138" t="e">
        <f>IF(ISNUMBER($B$16),IF(AND($C$16=3,R28&lt;=-COS(PI()*$B$16)),S28,NA()),NA())</f>
        <v>#N/A</v>
      </c>
      <c r="W28" s="138" t="e">
        <f>IF(ISNUMBER($B$16),IF(AND($C$16=4,R28&lt;=-COS(PI()*$B$16)),S28,NA()),NA())</f>
        <v>#N/A</v>
      </c>
      <c r="X28" s="138" t="e">
        <f>IF(ISNUMBER($B$16),IF(AND($C$16=5,R28&lt;=-COS(PI()*$B$16)),S28,NA()),NA())</f>
        <v>#N/A</v>
      </c>
      <c r="Y28" s="138">
        <f>IF(ISNUMBER($B$16),IF(AND(ISNUMBER($B$16),R28&gt;=MIN(0,$R$2),R28&lt;=MAX(0,$R$2)),IF($R$2=0,0,R28/$R$2*$S$2),NA()),NA())</f>
        <v>0.20062616275225389</v>
      </c>
      <c r="Z28" s="138">
        <v>-0.54</v>
      </c>
      <c r="AA28" s="138">
        <f>SQRT(MAX(0,1-Z28^2))</f>
        <v>0.84166501650003245</v>
      </c>
      <c r="AB28" s="138" t="e">
        <f>IF(ISNUMBER($B$17),IF(AND($C$17=1,Z28&lt;=-COS(PI()*$B$17)),AA28,NA()),NA())</f>
        <v>#N/A</v>
      </c>
      <c r="AC28" s="138" t="e">
        <f>IF(ISNUMBER($B$17),IF(AND($C$17=2,Z28&lt;=-COS(PI()*$B$17)),AA28,NA()),NA())</f>
        <v>#N/A</v>
      </c>
      <c r="AD28" s="138" t="e">
        <f>IF(ISNUMBER($B$17),IF(AND($C$17=3,Z28&lt;=-COS(PI()*$B$17)),AA28,NA()),NA())</f>
        <v>#N/A</v>
      </c>
      <c r="AE28" s="138" t="e">
        <f>IF(ISNUMBER($B$17),IF(AND($C$17=4,Z28&lt;=-COS(PI()*$B$17)),AA28,NA()),NA())</f>
        <v>#N/A</v>
      </c>
      <c r="AF28" s="138" t="e">
        <f>IF(ISNUMBER($B$17),IF(AND($C$17=5,Z28&lt;=-COS(PI()*$B$17)),AA28,NA()),NA())</f>
        <v>#N/A</v>
      </c>
      <c r="AG28" s="138">
        <f>IF(ISNUMBER($B$17),IF(AND(ISNUMBER($B$17),Z28&gt;=MIN(0,$Z$2),Z28&lt;=MAX(0,$Z$2)),IF($Z$2=0,0,Z28/$Z$2*$AA$2),NA()),NA())</f>
        <v>0.13642503432637101</v>
      </c>
      <c r="AH28" s="138">
        <v>-0.54</v>
      </c>
      <c r="AI28" s="138">
        <f>SQRT(MAX(0,1-AH28^2))</f>
        <v>0.84166501650003245</v>
      </c>
      <c r="AJ28" s="138" t="e">
        <f>IF(ISNUMBER($B$18),IF(AND($C$18=1,AH28&lt;=-COS(PI()*$B$18)),AI28,NA()),NA())</f>
        <v>#N/A</v>
      </c>
      <c r="AK28" s="138" t="e">
        <f>IF(ISNUMBER($B$18),IF(AND($C$18=2,AH28&lt;=-COS(PI()*$B$18)),AI28,NA()),NA())</f>
        <v>#N/A</v>
      </c>
      <c r="AL28" s="138" t="e">
        <f>IF(ISNUMBER($B$18),IF(AND($C$18=3,AH28&lt;=-COS(PI()*$B$18)),AI28,NA()),NA())</f>
        <v>#N/A</v>
      </c>
      <c r="AM28" s="138" t="e">
        <f>IF(ISNUMBER($B$18),IF(AND($C$18=4,AH28&lt;=-COS(PI()*$B$18)),AI28,NA()),NA())</f>
        <v>#N/A</v>
      </c>
      <c r="AN28" s="138" t="e">
        <f>IF(ISNUMBER($B$18),IF(AND($C$18=5,AH28&lt;=-COS(PI()*$B$18)),AI28,NA()),NA())</f>
        <v>#N/A</v>
      </c>
      <c r="AO28" s="138">
        <f>IF(ISNUMBER($B$18),IF(AND(ISNUMBER($B$18),AH28&gt;=MIN(0,$AH$2),AH28&lt;=MAX(0,$AH$2)),IF($AH$2=0,0,AH28/$AH$2*$AI$2),NA()),NA())</f>
        <v>0.37196491479836225</v>
      </c>
      <c r="AW28" t="str">
        <f>IF(D28=0,"",IF(ABS(D28)&gt;=1000000000,TEXT(D28/1000000000,IF(MOD(ROUND(D28/1000000000,2),1)=0,"0","0.00"))&amp;" B VND",IF(ABS(D28)&gt;=1000000,TEXT(D28/1000000,IF(MOD(ROUND(D28/1000000,2),1)=0,"0","0.00"))&amp;" M VND",TEXT(D28/1000,IF(MOD(ROUND(D28/1000,2),1)=0,"0","0.00"))&amp;"k")))</f>
        <v>310k</v>
      </c>
      <c r="AX28" t="str">
        <f>IF(E28=0,"",IF(ABS(E28)&gt;=1000000000,TEXT(E28/1000000000,IF(MOD(ROUND(E28/1000000000,2),1)=0,"0","0.00"))&amp;" B VND",IF(ABS(E28)&gt;=1000000,TEXT(E28/1000000,IF(MOD(ROUND(E28/1000000,2),1)=0,"0","0.00"))&amp;" M VND",TEXT(E28/1000,IF(MOD(ROUND(E28/1000,2),1)=0,"0","0.00"))&amp;"k")))</f>
        <v/>
      </c>
    </row>
    <row r="29" spans="1:60">
      <c r="A29" s="148" t="inlineStr">
        <is>
          <t>Client Gamma (Offshore Energy)</t>
        </is>
      </c>
      <c r="B29" s="152">
        <f>SUMIFS('Current AR'!$S$6:$S$103,'Current AR'!$A$6:$A$103,A29)</f>
        <v>4021631999.9999995</v>
      </c>
      <c r="C29" s="152">
        <f>SUMIFS('Prior AR'!$S$6:$S$85,'Prior AR'!$A$6:$A$85,A29)</f>
        <v>4099303795.9157996</v>
      </c>
      <c r="D29" s="152">
        <f>SUMIFS('Current AR'!$V$6:$V$103,'Current AR'!$A$6:$A$103,A29,'Current AR'!$Q$6:$Q$103,"&lt;=0")</f>
        <v>0</v>
      </c>
      <c r="E29" s="152">
        <f>SUMIFS('Current AR'!$V$6:$V$103,'Current AR'!$A$6:$A$103,A29,'Current AR'!$Q$6:$Q$103,"&gt;0")</f>
        <v>4021631999.9999995</v>
      </c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>
        <v>-0.52</v>
      </c>
      <c r="S29" s="138">
        <f>SQRT(MAX(0,1-R29^2))</f>
        <v>0.85416626016250496</v>
      </c>
      <c r="T29" s="138" t="e">
        <f>IF(ISNUMBER($B$16),IF(AND($C$16=1,R29&lt;=-COS(PI()*$B$16)),S29,NA()),NA())</f>
        <v>#N/A</v>
      </c>
      <c r="U29" s="138" t="e">
        <f>IF(ISNUMBER($B$16),IF(AND($C$16=2,R29&lt;=-COS(PI()*$B$16)),S29,NA()),NA())</f>
        <v>#N/A</v>
      </c>
      <c r="V29" s="138" t="e">
        <f>IF(ISNUMBER($B$16),IF(AND($C$16=3,R29&lt;=-COS(PI()*$B$16)),S29,NA()),NA())</f>
        <v>#N/A</v>
      </c>
      <c r="W29" s="138" t="e">
        <f>IF(ISNUMBER($B$16),IF(AND($C$16=4,R29&lt;=-COS(PI()*$B$16)),S29,NA()),NA())</f>
        <v>#N/A</v>
      </c>
      <c r="X29" s="138" t="e">
        <f>IF(ISNUMBER($B$16),IF(AND($C$16=5,R29&lt;=-COS(PI()*$B$16)),S29,NA()),NA())</f>
        <v>#N/A</v>
      </c>
      <c r="Y29" s="138">
        <f>IF(ISNUMBER($B$16),IF(AND(ISNUMBER($B$16),R29&gt;=MIN(0,$R$2),R29&lt;=MAX(0,$R$2)),IF($R$2=0,0,R29/$R$2*$S$2),NA()),NA())</f>
        <v>0.19319556413180003</v>
      </c>
      <c r="Z29" s="138">
        <v>-0.52</v>
      </c>
      <c r="AA29" s="138">
        <f>SQRT(MAX(0,1-Z29^2))</f>
        <v>0.85416626016250496</v>
      </c>
      <c r="AB29" s="138" t="e">
        <f>IF(ISNUMBER($B$17),IF(AND($C$17=1,Z29&lt;=-COS(PI()*$B$17)),AA29,NA()),NA())</f>
        <v>#N/A</v>
      </c>
      <c r="AC29" s="138" t="e">
        <f>IF(ISNUMBER($B$17),IF(AND($C$17=2,Z29&lt;=-COS(PI()*$B$17)),AA29,NA()),NA())</f>
        <v>#N/A</v>
      </c>
      <c r="AD29" s="138" t="e">
        <f>IF(ISNUMBER($B$17),IF(AND($C$17=3,Z29&lt;=-COS(PI()*$B$17)),AA29,NA()),NA())</f>
        <v>#N/A</v>
      </c>
      <c r="AE29" s="138" t="e">
        <f>IF(ISNUMBER($B$17),IF(AND($C$17=4,Z29&lt;=-COS(PI()*$B$17)),AA29,NA()),NA())</f>
        <v>#N/A</v>
      </c>
      <c r="AF29" s="138" t="e">
        <f>IF(ISNUMBER($B$17),IF(AND($C$17=5,Z29&lt;=-COS(PI()*$B$17)),AA29,NA()),NA())</f>
        <v>#N/A</v>
      </c>
      <c r="AG29" s="138">
        <f>IF(ISNUMBER($B$17),IF(AND(ISNUMBER($B$17),Z29&gt;=MIN(0,$Z$2),Z29&lt;=MAX(0,$Z$2)),IF($Z$2=0,0,Z29/$Z$2*$AA$2),NA()),NA())</f>
        <v>0.13137225527724614</v>
      </c>
      <c r="AH29" s="138">
        <v>-0.52</v>
      </c>
      <c r="AI29" s="138">
        <f>SQRT(MAX(0,1-AH29^2))</f>
        <v>0.85416626016250496</v>
      </c>
      <c r="AJ29" s="138" t="e">
        <f>IF(ISNUMBER($B$18),IF(AND($C$18=1,AH29&lt;=-COS(PI()*$B$18)),AI29,NA()),NA())</f>
        <v>#N/A</v>
      </c>
      <c r="AK29" s="138" t="e">
        <f>IF(ISNUMBER($B$18),IF(AND($C$18=2,AH29&lt;=-COS(PI()*$B$18)),AI29,NA()),NA())</f>
        <v>#N/A</v>
      </c>
      <c r="AL29" s="138" t="e">
        <f>IF(ISNUMBER($B$18),IF(AND($C$18=3,AH29&lt;=-COS(PI()*$B$18)),AI29,NA()),NA())</f>
        <v>#N/A</v>
      </c>
      <c r="AM29" s="138" t="e">
        <f>IF(ISNUMBER($B$18),IF(AND($C$18=4,AH29&lt;=-COS(PI()*$B$18)),AI29,NA()),NA())</f>
        <v>#N/A</v>
      </c>
      <c r="AN29" s="138" t="e">
        <f>IF(ISNUMBER($B$18),IF(AND($C$18=5,AH29&lt;=-COS(PI()*$B$18)),AI29,NA()),NA())</f>
        <v>#N/A</v>
      </c>
      <c r="AO29" s="138">
        <f>IF(ISNUMBER($B$18),IF(AND(ISNUMBER($B$18),AH29&gt;=MIN(0,$AH$2),AH29&lt;=MAX(0,$AH$2)),IF($AH$2=0,0,AH29/$AH$2*$AI$2),NA()),NA())</f>
        <v>0.35818843647249698</v>
      </c>
      <c r="AW29" t="str">
        <f>IF(D29=0,"",IF(ABS(D29)&gt;=1000000000,TEXT(D29/1000000000,IF(MOD(ROUND(D29/1000000000,2),1)=0,"0","0.00"))&amp;" B VND",IF(ABS(D29)&gt;=1000000,TEXT(D29/1000000,IF(MOD(ROUND(D29/1000000,2),1)=0,"0","0.00"))&amp;" M VND",TEXT(D29/1000,IF(MOD(ROUND(D29/1000,2),1)=0,"0","0.00"))&amp;"k")))</f>
        <v/>
      </c>
      <c r="AX29" t="str">
        <f>IF(E29=0,"",IF(ABS(E29)&gt;=1000000000,TEXT(E29/1000000000,IF(MOD(ROUND(E29/1000000000,2),1)=0,"0","0.00"))&amp;" B VND",IF(ABS(E29)&gt;=1000000,TEXT(E29/1000000,IF(MOD(ROUND(E29/1000000,2),1)=0,"0","0.00"))&amp;" M VND",TEXT(E29/1000,IF(MOD(ROUND(E29/1000,2),1)=0,"0","0.00"))&amp;"k")))</f>
        <v>3.84B VND</v>
      </c>
    </row>
    <row r="30" spans="1:60">
      <c r="A30" s="149"/>
      <c r="B30" s="153"/>
      <c r="C30" s="153"/>
      <c r="D30" s="153"/>
      <c r="E30" s="153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>
        <v>-0.5</v>
      </c>
      <c r="S30" s="138">
        <f>SQRT(MAX(0,1-R30^2))</f>
        <v>0.8660254037844386</v>
      </c>
      <c r="T30" s="138" t="e">
        <f>IF(ISNUMBER($B$16),IF(AND($C$16=1,R30&lt;=-COS(PI()*$B$16)),S30,NA()),NA())</f>
        <v>#N/A</v>
      </c>
      <c r="U30" s="138" t="e">
        <f>IF(ISNUMBER($B$16),IF(AND($C$16=2,R30&lt;=-COS(PI()*$B$16)),S30,NA()),NA())</f>
        <v>#N/A</v>
      </c>
      <c r="V30" s="138" t="e">
        <f>IF(ISNUMBER($B$16),IF(AND($C$16=3,R30&lt;=-COS(PI()*$B$16)),S30,NA()),NA())</f>
        <v>#N/A</v>
      </c>
      <c r="W30" s="138" t="e">
        <f>IF(ISNUMBER($B$16),IF(AND($C$16=4,R30&lt;=-COS(PI()*$B$16)),S30,NA()),NA())</f>
        <v>#N/A</v>
      </c>
      <c r="X30" s="138" t="e">
        <f>IF(ISNUMBER($B$16),IF(AND($C$16=5,R30&lt;=-COS(PI()*$B$16)),S30,NA()),NA())</f>
        <v>#N/A</v>
      </c>
      <c r="Y30" s="138">
        <f>IF(ISNUMBER($B$16),IF(AND(ISNUMBER($B$16),R30&gt;=MIN(0,$R$2),R30&lt;=MAX(0,$R$2)),IF($R$2=0,0,R30/$R$2*$S$2),NA()),NA())</f>
        <v>0.18576496551134619</v>
      </c>
      <c r="Z30" s="138">
        <v>-0.5</v>
      </c>
      <c r="AA30" s="138">
        <f>SQRT(MAX(0,1-Z30^2))</f>
        <v>0.8660254037844386</v>
      </c>
      <c r="AB30" s="138" t="e">
        <f>IF(ISNUMBER($B$17),IF(AND($C$17=1,Z30&lt;=-COS(PI()*$B$17)),AA30,NA()),NA())</f>
        <v>#N/A</v>
      </c>
      <c r="AC30" s="138" t="e">
        <f>IF(ISNUMBER($B$17),IF(AND($C$17=2,Z30&lt;=-COS(PI()*$B$17)),AA30,NA()),NA())</f>
        <v>#N/A</v>
      </c>
      <c r="AD30" s="138" t="e">
        <f>IF(ISNUMBER($B$17),IF(AND($C$17=3,Z30&lt;=-COS(PI()*$B$17)),AA30,NA()),NA())</f>
        <v>#N/A</v>
      </c>
      <c r="AE30" s="138" t="e">
        <f>IF(ISNUMBER($B$17),IF(AND($C$17=4,Z30&lt;=-COS(PI()*$B$17)),AA30,NA()),NA())</f>
        <v>#N/A</v>
      </c>
      <c r="AF30" s="138" t="e">
        <f>IF(ISNUMBER($B$17),IF(AND($C$17=5,Z30&lt;=-COS(PI()*$B$17)),AA30,NA()),NA())</f>
        <v>#N/A</v>
      </c>
      <c r="AG30" s="138">
        <f>IF(ISNUMBER($B$17),IF(AND(ISNUMBER($B$17),Z30&gt;=MIN(0,$Z$2),Z30&lt;=MAX(0,$Z$2)),IF($Z$2=0,0,Z30/$Z$2*$AA$2),NA()),NA())</f>
        <v>0.12631947622812129</v>
      </c>
      <c r="AH30" s="138">
        <v>-0.5</v>
      </c>
      <c r="AI30" s="138">
        <f>SQRT(MAX(0,1-AH30^2))</f>
        <v>0.8660254037844386</v>
      </c>
      <c r="AJ30" s="138" t="e">
        <f>IF(ISNUMBER($B$18),IF(AND($C$18=1,AH30&lt;=-COS(PI()*$B$18)),AI30,NA()),NA())</f>
        <v>#N/A</v>
      </c>
      <c r="AK30" s="138" t="e">
        <f>IF(ISNUMBER($B$18),IF(AND($C$18=2,AH30&lt;=-COS(PI()*$B$18)),AI30,NA()),NA())</f>
        <v>#N/A</v>
      </c>
      <c r="AL30" s="138" t="e">
        <f>IF(ISNUMBER($B$18),IF(AND($C$18=3,AH30&lt;=-COS(PI()*$B$18)),AI30,NA()),NA())</f>
        <v>#N/A</v>
      </c>
      <c r="AM30" s="138" t="e">
        <f>IF(ISNUMBER($B$18),IF(AND($C$18=4,AH30&lt;=-COS(PI()*$B$18)),AI30,NA()),NA())</f>
        <v>#N/A</v>
      </c>
      <c r="AN30" s="138" t="e">
        <f>IF(ISNUMBER($B$18),IF(AND($C$18=5,AH30&lt;=-COS(PI()*$B$18)),AI30,NA()),NA())</f>
        <v>#N/A</v>
      </c>
      <c r="AO30" s="138">
        <f>IF(ISNUMBER($B$18),IF(AND(ISNUMBER($B$18),AH30&gt;=MIN(0,$AH$2),AH30&lt;=MAX(0,$AH$2)),IF($AH$2=0,0,AH30/$AH$2*$AI$2),NA()),NA())</f>
        <v>0.34441195814663167</v>
      </c>
    </row>
    <row r="31" spans="1:60">
      <c r="A31" s="148" t="inlineStr">
        <is>
          <t>Senior Sales Rep 1</t>
        </is>
      </c>
      <c r="B31" s="152">
        <f>SUMIFS('Current AR'!$S$6:$S$103,'Current AR'!$J$6:$J$103,A31)</f>
        <v>14614668375.3786</v>
      </c>
      <c r="C31" s="152">
        <f>SUMIFS('Prior AR'!$S$6:$S$85,'Prior AR'!$J$6:$J$85,A31)</f>
        <v>14415882830.864698</v>
      </c>
      <c r="D31" s="152">
        <f>SUMIFS('Current AR'!$V$6:$V$103,'Current AR'!$J$6:$J$103,A31,'Current AR'!$Q$6:$Q$103,"&lt;=0")</f>
        <v>10509252376.4259</v>
      </c>
      <c r="E31" s="152">
        <f>SUMIFS('Current AR'!$V$6:$V$103,'Current AR'!$J$6:$J$103,A31,'Current AR'!$Q$6:$Q$103,"&gt;0")</f>
        <v>4105415998.9526997</v>
      </c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>
        <v>-0.48</v>
      </c>
      <c r="S31" s="138">
        <f>SQRT(MAX(0,1-R31^2))</f>
        <v>0.87726848797845236</v>
      </c>
      <c r="T31" s="138" t="e">
        <f>IF(ISNUMBER($B$16),IF(AND($C$16=1,R31&lt;=-COS(PI()*$B$16)),S31,NA()),NA())</f>
        <v>#N/A</v>
      </c>
      <c r="U31" s="138" t="e">
        <f>IF(ISNUMBER($B$16),IF(AND($C$16=2,R31&lt;=-COS(PI()*$B$16)),S31,NA()),NA())</f>
        <v>#N/A</v>
      </c>
      <c r="V31" s="138" t="e">
        <f>IF(ISNUMBER($B$16),IF(AND($C$16=3,R31&lt;=-COS(PI()*$B$16)),S31,NA()),NA())</f>
        <v>#N/A</v>
      </c>
      <c r="W31" s="138" t="e">
        <f>IF(ISNUMBER($B$16),IF(AND($C$16=4,R31&lt;=-COS(PI()*$B$16)),S31,NA()),NA())</f>
        <v>#N/A</v>
      </c>
      <c r="X31" s="138" t="e">
        <f>IF(ISNUMBER($B$16),IF(AND($C$16=5,R31&lt;=-COS(PI()*$B$16)),S31,NA()),NA())</f>
        <v>#N/A</v>
      </c>
      <c r="Y31" s="138">
        <f>IF(ISNUMBER($B$16),IF(AND(ISNUMBER($B$16),R31&gt;=MIN(0,$R$2),R31&lt;=MAX(0,$R$2)),IF($R$2=0,0,R31/$R$2*$S$2),NA()),NA())</f>
        <v>0.17833436689089233</v>
      </c>
      <c r="Z31" s="138">
        <v>-0.48</v>
      </c>
      <c r="AA31" s="138">
        <f>SQRT(MAX(0,1-Z31^2))</f>
        <v>0.87726848797845236</v>
      </c>
      <c r="AB31" s="138" t="e">
        <f>IF(ISNUMBER($B$17),IF(AND($C$17=1,Z31&lt;=-COS(PI()*$B$17)),AA31,NA()),NA())</f>
        <v>#N/A</v>
      </c>
      <c r="AC31" s="138" t="e">
        <f>IF(ISNUMBER($B$17),IF(AND($C$17=2,Z31&lt;=-COS(PI()*$B$17)),AA31,NA()),NA())</f>
        <v>#N/A</v>
      </c>
      <c r="AD31" s="138" t="e">
        <f>IF(ISNUMBER($B$17),IF(AND($C$17=3,Z31&lt;=-COS(PI()*$B$17)),AA31,NA()),NA())</f>
        <v>#N/A</v>
      </c>
      <c r="AE31" s="138" t="e">
        <f>IF(ISNUMBER($B$17),IF(AND($C$17=4,Z31&lt;=-COS(PI()*$B$17)),AA31,NA()),NA())</f>
        <v>#N/A</v>
      </c>
      <c r="AF31" s="138" t="e">
        <f>IF(ISNUMBER($B$17),IF(AND($C$17=5,Z31&lt;=-COS(PI()*$B$17)),AA31,NA()),NA())</f>
        <v>#N/A</v>
      </c>
      <c r="AG31" s="138">
        <f>IF(ISNUMBER($B$17),IF(AND(ISNUMBER($B$17),Z31&gt;=MIN(0,$Z$2),Z31&lt;=MAX(0,$Z$2)),IF($Z$2=0,0,Z31/$Z$2*$AA$2),NA()),NA())</f>
        <v>0.12126669717899642</v>
      </c>
      <c r="AH31" s="138">
        <v>-0.48</v>
      </c>
      <c r="AI31" s="138">
        <f>SQRT(MAX(0,1-AH31^2))</f>
        <v>0.87726848797845236</v>
      </c>
      <c r="AJ31" s="138" t="e">
        <f>IF(ISNUMBER($B$18),IF(AND($C$18=1,AH31&lt;=-COS(PI()*$B$18)),AI31,NA()),NA())</f>
        <v>#N/A</v>
      </c>
      <c r="AK31" s="138" t="e">
        <f>IF(ISNUMBER($B$18),IF(AND($C$18=2,AH31&lt;=-COS(PI()*$B$18)),AI31,NA()),NA())</f>
        <v>#N/A</v>
      </c>
      <c r="AL31" s="138" t="e">
        <f>IF(ISNUMBER($B$18),IF(AND($C$18=3,AH31&lt;=-COS(PI()*$B$18)),AI31,NA()),NA())</f>
        <v>#N/A</v>
      </c>
      <c r="AM31" s="138" t="e">
        <f>IF(ISNUMBER($B$18),IF(AND($C$18=4,AH31&lt;=-COS(PI()*$B$18)),AI31,NA()),NA())</f>
        <v>#N/A</v>
      </c>
      <c r="AN31" s="138" t="e">
        <f>IF(ISNUMBER($B$18),IF(AND($C$18=5,AH31&lt;=-COS(PI()*$B$18)),AI31,NA()),NA())</f>
        <v>#N/A</v>
      </c>
      <c r="AO31" s="138">
        <f>IF(ISNUMBER($B$18),IF(AND(ISNUMBER($B$18),AH31&gt;=MIN(0,$AH$2),AH31&lt;=MAX(0,$AH$2)),IF($AH$2=0,0,AH31/$AH$2*$AI$2),NA()),NA())</f>
        <v>0.33063547982076641</v>
      </c>
      <c r="AY31" t="str">
        <f>IF(D31=0,"",IF(ABS(D31)&gt;=1000000000,TEXT(D31/1000000000,IF(MOD(ROUND(D31/1000000000,2),1)=0,"0","0.00"))&amp;" B VND",IF(ABS(D31)&gt;=1000000,TEXT(D31/1000000,IF(MOD(ROUND(D31/1000000,2),1)=0,"0","0.00"))&amp;" M VND",TEXT(D31/1000,IF(MOD(ROUND(D31/1000,2),1)=0,"0","0.00"))&amp;"k")))</f>
        <v>10.03B VND</v>
      </c>
      <c r="AZ31" t="str">
        <f>IF(E31=0,"",IF(ABS(E31)&gt;=1000000000,TEXT(E31/1000000000,IF(MOD(ROUND(E31/1000000000,2),1)=0,"0","0.00"))&amp;" B VND",IF(ABS(E31)&gt;=1000000,TEXT(E31/1000000,IF(MOD(ROUND(E31/1000000,2),1)=0,"0","0.00"))&amp;" M VND",TEXT(E31/1000,IF(MOD(ROUND(E31/1000,2),1)=0,"0","0.00"))&amp;"k")))</f>
        <v>3.92B VND</v>
      </c>
      <c r="BD31" s="146">
        <f>D31</f>
        <v>10509252376.4259</v>
      </c>
      <c r="BE31" s="146">
        <f>E31</f>
        <v>4105415998.9526997</v>
      </c>
      <c r="BF31" t="str">
        <f>A31</f>
        <v>Senior Sales Rep 1</v>
      </c>
      <c r="BG31" t="str">
        <f>AY31</f>
        <v>10.03B VND</v>
      </c>
      <c r="BH31" t="str">
        <f>AZ31</f>
        <v>3.92B VND</v>
      </c>
    </row>
    <row r="32" spans="1:60">
      <c r="A32" s="148" t="inlineStr">
        <is>
          <t>Sales Rep 6</t>
        </is>
      </c>
      <c r="B32" s="152">
        <f>SUMIFS('Current AR'!$S$6:$S$103,'Current AR'!$J$6:$J$103,A32)</f>
        <v>2283113998.9526997</v>
      </c>
      <c r="C32" s="152">
        <f>SUMIFS('Prior AR'!$S$6:$S$85,'Prior AR'!$J$6:$J$85,A32)</f>
        <v>0</v>
      </c>
      <c r="D32" s="152">
        <f>SUMIFS('Current AR'!$V$6:$V$103,'Current AR'!$J$6:$J$103,A32,'Current AR'!$Q$6:$Q$103,"&lt;=0")</f>
        <v>2283113998.9526997</v>
      </c>
      <c r="E32" s="152">
        <f>SUMIFS('Current AR'!$V$6:$V$103,'Current AR'!$J$6:$J$103,A32,'Current AR'!$Q$6:$Q$103,"&gt;0")</f>
        <v>0</v>
      </c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>
        <v>-0.46</v>
      </c>
      <c r="S32" s="138">
        <f>SQRT(MAX(0,1-R32^2))</f>
        <v>0.88791891521692456</v>
      </c>
      <c r="T32" s="138" t="e">
        <f>IF(ISNUMBER($B$16),IF(AND($C$16=1,R32&lt;=-COS(PI()*$B$16)),S32,NA()),NA())</f>
        <v>#N/A</v>
      </c>
      <c r="U32" s="138" t="e">
        <f>IF(ISNUMBER($B$16),IF(AND($C$16=2,R32&lt;=-COS(PI()*$B$16)),S32,NA()),NA())</f>
        <v>#N/A</v>
      </c>
      <c r="V32" s="138" t="e">
        <f>IF(ISNUMBER($B$16),IF(AND($C$16=3,R32&lt;=-COS(PI()*$B$16)),S32,NA()),NA())</f>
        <v>#N/A</v>
      </c>
      <c r="W32" s="138" t="e">
        <f>IF(ISNUMBER($B$16),IF(AND($C$16=4,R32&lt;=-COS(PI()*$B$16)),S32,NA()),NA())</f>
        <v>#N/A</v>
      </c>
      <c r="X32" s="138" t="e">
        <f>IF(ISNUMBER($B$16),IF(AND($C$16=5,R32&lt;=-COS(PI()*$B$16)),S32,NA()),NA())</f>
        <v>#N/A</v>
      </c>
      <c r="Y32" s="138">
        <f>IF(ISNUMBER($B$16),IF(AND(ISNUMBER($B$16),R32&gt;=MIN(0,$R$2),R32&lt;=MAX(0,$R$2)),IF($R$2=0,0,R32/$R$2*$S$2),NA()),NA())</f>
        <v>0.17090376827043849</v>
      </c>
      <c r="Z32" s="138">
        <v>-0.46</v>
      </c>
      <c r="AA32" s="138">
        <f>SQRT(MAX(0,1-Z32^2))</f>
        <v>0.88791891521692456</v>
      </c>
      <c r="AB32" s="138" t="e">
        <f>IF(ISNUMBER($B$17),IF(AND($C$17=1,Z32&lt;=-COS(PI()*$B$17)),AA32,NA()),NA())</f>
        <v>#N/A</v>
      </c>
      <c r="AC32" s="138" t="e">
        <f>IF(ISNUMBER($B$17),IF(AND($C$17=2,Z32&lt;=-COS(PI()*$B$17)),AA32,NA()),NA())</f>
        <v>#N/A</v>
      </c>
      <c r="AD32" s="138" t="e">
        <f>IF(ISNUMBER($B$17),IF(AND($C$17=3,Z32&lt;=-COS(PI()*$B$17)),AA32,NA()),NA())</f>
        <v>#N/A</v>
      </c>
      <c r="AE32" s="138" t="e">
        <f>IF(ISNUMBER($B$17),IF(AND($C$17=4,Z32&lt;=-COS(PI()*$B$17)),AA32,NA()),NA())</f>
        <v>#N/A</v>
      </c>
      <c r="AF32" s="138" t="e">
        <f>IF(ISNUMBER($B$17),IF(AND($C$17=5,Z32&lt;=-COS(PI()*$B$17)),AA32,NA()),NA())</f>
        <v>#N/A</v>
      </c>
      <c r="AG32" s="138">
        <f>IF(ISNUMBER($B$17),IF(AND(ISNUMBER($B$17),Z32&gt;=MIN(0,$Z$2),Z32&lt;=MAX(0,$Z$2)),IF($Z$2=0,0,Z32/$Z$2*$AA$2),NA()),NA())</f>
        <v>0.1162139181298716</v>
      </c>
      <c r="AH32" s="138">
        <v>-0.46</v>
      </c>
      <c r="AI32" s="138">
        <f>SQRT(MAX(0,1-AH32^2))</f>
        <v>0.88791891521692456</v>
      </c>
      <c r="AJ32" s="138" t="e">
        <f>IF(ISNUMBER($B$18),IF(AND($C$18=1,AH32&lt;=-COS(PI()*$B$18)),AI32,NA()),NA())</f>
        <v>#N/A</v>
      </c>
      <c r="AK32" s="138" t="e">
        <f>IF(ISNUMBER($B$18),IF(AND($C$18=2,AH32&lt;=-COS(PI()*$B$18)),AI32,NA()),NA())</f>
        <v>#N/A</v>
      </c>
      <c r="AL32" s="138" t="e">
        <f>IF(ISNUMBER($B$18),IF(AND($C$18=3,AH32&lt;=-COS(PI()*$B$18)),AI32,NA()),NA())</f>
        <v>#N/A</v>
      </c>
      <c r="AM32" s="138" t="e">
        <f>IF(ISNUMBER($B$18),IF(AND($C$18=4,AH32&lt;=-COS(PI()*$B$18)),AI32,NA()),NA())</f>
        <v>#N/A</v>
      </c>
      <c r="AN32" s="138" t="e">
        <f>IF(ISNUMBER($B$18),IF(AND($C$18=5,AH32&lt;=-COS(PI()*$B$18)),AI32,NA()),NA())</f>
        <v>#N/A</v>
      </c>
      <c r="AO32" s="138">
        <f>IF(ISNUMBER($B$18),IF(AND(ISNUMBER($B$18),AH32&gt;=MIN(0,$AH$2),AH32&lt;=MAX(0,$AH$2)),IF($AH$2=0,0,AH32/$AH$2*$AI$2),NA()),NA())</f>
        <v>0.3168590014949012</v>
      </c>
      <c r="AY32" t="str">
        <f>IF(D32=0,"",IF(ABS(D32)&gt;=1000000000,TEXT(D32/1000000000,IF(MOD(ROUND(D32/1000000000,2),1)=0,"0","0.00"))&amp;" B VND",IF(ABS(D32)&gt;=1000000,TEXT(D32/1000000,IF(MOD(ROUND(D32/1000000,2),1)=0,"0","0.00"))&amp;" M VND",TEXT(D32/1000,IF(MOD(ROUND(D32/1000,2),1)=0,"0","0.00"))&amp;"k")))</f>
        <v>2.18B VND</v>
      </c>
      <c r="AZ32" t="str">
        <f>IF(E32=0,"",IF(ABS(E32)&gt;=1000000000,TEXT(E32/1000000000,IF(MOD(ROUND(E32/1000000000,2),1)=0,"0","0.00"))&amp;" B VND",IF(ABS(E32)&gt;=1000000,TEXT(E32/1000000,IF(MOD(ROUND(E32/1000000,2),1)=0,"0","0.00"))&amp;" M VND",TEXT(E32/1000,IF(MOD(ROUND(E32/1000,2),1)=0,"0","0.00"))&amp;"k")))</f>
        <v/>
      </c>
      <c r="BD32" s="146">
        <f>D33</f>
        <v>28416993009.5268</v>
      </c>
      <c r="BE32" s="146">
        <f>E33</f>
        <v>1675679999.9999998</v>
      </c>
      <c r="BF32" t="str">
        <f>A33</f>
        <v>Senior Sales Rep 2</v>
      </c>
      <c r="BG32" t="str">
        <f>AY33</f>
        <v>27.13B VND</v>
      </c>
      <c r="BH32" t="str">
        <f>AZ33</f>
        <v>1.60B VND</v>
      </c>
    </row>
    <row r="33" spans="1:60">
      <c r="A33" s="148" t="inlineStr">
        <is>
          <t>Senior Sales Rep 2</t>
        </is>
      </c>
      <c r="B33" s="152">
        <f>SUMIFS('Current AR'!$S$6:$S$103,'Current AR'!$J$6:$J$103,A33)</f>
        <v>30092673009.5268</v>
      </c>
      <c r="C33" s="152">
        <f>SUMIFS('Prior AR'!$S$6:$S$85,'Prior AR'!$J$6:$J$85,A33)</f>
        <v>15416999426.9523</v>
      </c>
      <c r="D33" s="152">
        <f>SUMIFS('Current AR'!$V$6:$V$103,'Current AR'!$J$6:$J$103,A33,'Current AR'!$Q$6:$Q$103,"&lt;=0")</f>
        <v>28416993009.5268</v>
      </c>
      <c r="E33" s="152">
        <f>SUMIFS('Current AR'!$V$6:$V$103,'Current AR'!$J$6:$J$103,A33,'Current AR'!$Q$6:$Q$103,"&gt;0")</f>
        <v>1675679999.9999998</v>
      </c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>
        <v>-0.44</v>
      </c>
      <c r="S33" s="138">
        <f>SQRT(MAX(0,1-R33^2))</f>
        <v>0.89799777282574589</v>
      </c>
      <c r="T33" s="138" t="e">
        <f>IF(ISNUMBER($B$16),IF(AND($C$16=1,R33&lt;=-COS(PI()*$B$16)),S33,NA()),NA())</f>
        <v>#N/A</v>
      </c>
      <c r="U33" s="138" t="e">
        <f>IF(ISNUMBER($B$16),IF(AND($C$16=2,R33&lt;=-COS(PI()*$B$16)),S33,NA()),NA())</f>
        <v>#N/A</v>
      </c>
      <c r="V33" s="138" t="e">
        <f>IF(ISNUMBER($B$16),IF(AND($C$16=3,R33&lt;=-COS(PI()*$B$16)),S33,NA()),NA())</f>
        <v>#N/A</v>
      </c>
      <c r="W33" s="138" t="e">
        <f>IF(ISNUMBER($B$16),IF(AND($C$16=4,R33&lt;=-COS(PI()*$B$16)),S33,NA()),NA())</f>
        <v>#N/A</v>
      </c>
      <c r="X33" s="138" t="e">
        <f>IF(ISNUMBER($B$16),IF(AND($C$16=5,R33&lt;=-COS(PI()*$B$16)),S33,NA()),NA())</f>
        <v>#N/A</v>
      </c>
      <c r="Y33" s="138">
        <f>IF(ISNUMBER($B$16),IF(AND(ISNUMBER($B$16),R33&gt;=MIN(0,$R$2),R33&lt;=MAX(0,$R$2)),IF($R$2=0,0,R33/$R$2*$S$2),NA()),NA())</f>
        <v>0.16347316964998462</v>
      </c>
      <c r="Z33" s="138">
        <v>-0.44</v>
      </c>
      <c r="AA33" s="138">
        <f>SQRT(MAX(0,1-Z33^2))</f>
        <v>0.89799777282574589</v>
      </c>
      <c r="AB33" s="138" t="e">
        <f>IF(ISNUMBER($B$17),IF(AND($C$17=1,Z33&lt;=-COS(PI()*$B$17)),AA33,NA()),NA())</f>
        <v>#N/A</v>
      </c>
      <c r="AC33" s="138" t="e">
        <f>IF(ISNUMBER($B$17),IF(AND($C$17=2,Z33&lt;=-COS(PI()*$B$17)),AA33,NA()),NA())</f>
        <v>#N/A</v>
      </c>
      <c r="AD33" s="138" t="e">
        <f>IF(ISNUMBER($B$17),IF(AND($C$17=3,Z33&lt;=-COS(PI()*$B$17)),AA33,NA()),NA())</f>
        <v>#N/A</v>
      </c>
      <c r="AE33" s="138" t="e">
        <f>IF(ISNUMBER($B$17),IF(AND($C$17=4,Z33&lt;=-COS(PI()*$B$17)),AA33,NA()),NA())</f>
        <v>#N/A</v>
      </c>
      <c r="AF33" s="138" t="e">
        <f>IF(ISNUMBER($B$17),IF(AND($C$17=5,Z33&lt;=-COS(PI()*$B$17)),AA33,NA()),NA())</f>
        <v>#N/A</v>
      </c>
      <c r="AG33" s="138">
        <f>IF(ISNUMBER($B$17),IF(AND(ISNUMBER($B$17),Z33&gt;=MIN(0,$Z$2),Z33&lt;=MAX(0,$Z$2)),IF($Z$2=0,0,Z33/$Z$2*$AA$2),NA()),NA())</f>
        <v>0.11116113908074673</v>
      </c>
      <c r="AH33" s="138">
        <v>-0.44</v>
      </c>
      <c r="AI33" s="138">
        <f>SQRT(MAX(0,1-AH33^2))</f>
        <v>0.89799777282574589</v>
      </c>
      <c r="AJ33" s="138" t="e">
        <f>IF(ISNUMBER($B$18),IF(AND($C$18=1,AH33&lt;=-COS(PI()*$B$18)),AI33,NA()),NA())</f>
        <v>#N/A</v>
      </c>
      <c r="AK33" s="138" t="e">
        <f>IF(ISNUMBER($B$18),IF(AND($C$18=2,AH33&lt;=-COS(PI()*$B$18)),AI33,NA()),NA())</f>
        <v>#N/A</v>
      </c>
      <c r="AL33" s="138" t="e">
        <f>IF(ISNUMBER($B$18),IF(AND($C$18=3,AH33&lt;=-COS(PI()*$B$18)),AI33,NA()),NA())</f>
        <v>#N/A</v>
      </c>
      <c r="AM33" s="138" t="e">
        <f>IF(ISNUMBER($B$18),IF(AND($C$18=4,AH33&lt;=-COS(PI()*$B$18)),AI33,NA()),NA())</f>
        <v>#N/A</v>
      </c>
      <c r="AN33" s="138" t="e">
        <f>IF(ISNUMBER($B$18),IF(AND($C$18=5,AH33&lt;=-COS(PI()*$B$18)),AI33,NA()),NA())</f>
        <v>#N/A</v>
      </c>
      <c r="AO33" s="138">
        <f>IF(ISNUMBER($B$18),IF(AND(ISNUMBER($B$18),AH33&gt;=MIN(0,$AH$2),AH33&lt;=MAX(0,$AH$2)),IF($AH$2=0,0,AH33/$AH$2*$AI$2),NA()),NA())</f>
        <v>0.30308252316903589</v>
      </c>
      <c r="AY33" t="str">
        <f>IF(D33=0,"",IF(ABS(D33)&gt;=1000000000,TEXT(D33/1000000000,IF(MOD(ROUND(D33/1000000000,2),1)=0,"0","0.00"))&amp;" B VND",IF(ABS(D33)&gt;=1000000,TEXT(D33/1000000,IF(MOD(ROUND(D33/1000000,2),1)=0,"0","0.00"))&amp;" M VND",TEXT(D33/1000,IF(MOD(ROUND(D33/1000,2),1)=0,"0","0.00"))&amp;"k")))</f>
        <v>27.13B VND</v>
      </c>
      <c r="AZ33" t="str">
        <f>IF(E33=0,"",IF(ABS(E33)&gt;=1000000000,TEXT(E33/1000000000,IF(MOD(ROUND(E33/1000000000,2),1)=0,"0","0.00"))&amp;" B VND",IF(ABS(E33)&gt;=1000000,TEXT(E33/1000000,IF(MOD(ROUND(E33/1000000,2),1)=0,"0","0.00"))&amp;" M VND",TEXT(E33/1000,IF(MOD(ROUND(E33/1000,2),1)=0,"0","0.00"))&amp;"k")))</f>
        <v>1.60B VND</v>
      </c>
      <c r="BD33" s="146">
        <f>D34</f>
        <v>0</v>
      </c>
      <c r="BE33" s="146">
        <f>E34</f>
        <v>0</v>
      </c>
      <c r="BF33" t="str">
        <f>A34</f>
        <v>Sales Rep 6</v>
      </c>
      <c r="BG33" t="str">
        <f>AY34</f>
        <v/>
      </c>
      <c r="BH33" t="str">
        <f>AZ34</f>
        <v/>
      </c>
    </row>
    <row r="34" spans="1:60">
      <c r="A34" s="148" t="inlineStr">
        <is>
          <t>Sales Rep 6</t>
        </is>
      </c>
      <c r="B34" s="152">
        <f>SUMIFS('Current AR'!$S$6:$S$103,'Current AR'!$J$6:$J$103,A34)</f>
        <v>0</v>
      </c>
      <c r="C34" s="152">
        <f>SUMIFS('Prior AR'!$S$6:$S$85,'Prior AR'!$J$6:$J$85,A34)</f>
        <v>0</v>
      </c>
      <c r="D34" s="152">
        <f>SUMIFS('Current AR'!$V$6:$V$103,'Current AR'!$J$6:$J$103,A34,'Current AR'!$Q$6:$Q$103,"&lt;=0")</f>
        <v>0</v>
      </c>
      <c r="E34" s="152">
        <f>SUMIFS('Current AR'!$V$6:$V$103,'Current AR'!$J$6:$J$103,A34,'Current AR'!$Q$6:$Q$103,"&gt;0")</f>
        <v>0</v>
      </c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>
        <v>-0.42</v>
      </c>
      <c r="S34" s="138">
        <f>SQRT(MAX(0,1-R34^2))</f>
        <v>0.90752410436307418</v>
      </c>
      <c r="T34" s="138" t="e">
        <f>IF(ISNUMBER($B$16),IF(AND($C$16=1,R34&lt;=-COS(PI()*$B$16)),S34,NA()),NA())</f>
        <v>#N/A</v>
      </c>
      <c r="U34" s="138" t="e">
        <f>IF(ISNUMBER($B$16),IF(AND($C$16=2,R34&lt;=-COS(PI()*$B$16)),S34,NA()),NA())</f>
        <v>#N/A</v>
      </c>
      <c r="V34" s="138" t="e">
        <f>IF(ISNUMBER($B$16),IF(AND($C$16=3,R34&lt;=-COS(PI()*$B$16)),S34,NA()),NA())</f>
        <v>#N/A</v>
      </c>
      <c r="W34" s="138" t="e">
        <f>IF(ISNUMBER($B$16),IF(AND($C$16=4,R34&lt;=-COS(PI()*$B$16)),S34,NA()),NA())</f>
        <v>#N/A</v>
      </c>
      <c r="X34" s="138" t="e">
        <f>IF(ISNUMBER($B$16),IF(AND($C$16=5,R34&lt;=-COS(PI()*$B$16)),S34,NA()),NA())</f>
        <v>#N/A</v>
      </c>
      <c r="Y34" s="138">
        <f>IF(ISNUMBER($B$16),IF(AND(ISNUMBER($B$16),R34&gt;=MIN(0,$R$2),R34&lt;=MAX(0,$R$2)),IF($R$2=0,0,R34/$R$2*$S$2),NA()),NA())</f>
        <v>0.15604257102953079</v>
      </c>
      <c r="Z34" s="138">
        <v>-0.42</v>
      </c>
      <c r="AA34" s="138">
        <f>SQRT(MAX(0,1-Z34^2))</f>
        <v>0.90752410436307418</v>
      </c>
      <c r="AB34" s="138" t="e">
        <f>IF(ISNUMBER($B$17),IF(AND($C$17=1,Z34&lt;=-COS(PI()*$B$17)),AA34,NA()),NA())</f>
        <v>#N/A</v>
      </c>
      <c r="AC34" s="138" t="e">
        <f>IF(ISNUMBER($B$17),IF(AND($C$17=2,Z34&lt;=-COS(PI()*$B$17)),AA34,NA()),NA())</f>
        <v>#N/A</v>
      </c>
      <c r="AD34" s="138" t="e">
        <f>IF(ISNUMBER($B$17),IF(AND($C$17=3,Z34&lt;=-COS(PI()*$B$17)),AA34,NA()),NA())</f>
        <v>#N/A</v>
      </c>
      <c r="AE34" s="138" t="e">
        <f>IF(ISNUMBER($B$17),IF(AND($C$17=4,Z34&lt;=-COS(PI()*$B$17)),AA34,NA()),NA())</f>
        <v>#N/A</v>
      </c>
      <c r="AF34" s="138" t="e">
        <f>IF(ISNUMBER($B$17),IF(AND($C$17=5,Z34&lt;=-COS(PI()*$B$17)),AA34,NA()),NA())</f>
        <v>#N/A</v>
      </c>
      <c r="AG34" s="138">
        <f>IF(ISNUMBER($B$17),IF(AND(ISNUMBER($B$17),Z34&gt;=MIN(0,$Z$2),Z34&lt;=MAX(0,$Z$2)),IF($Z$2=0,0,Z34/$Z$2*$AA$2),NA()),NA())</f>
        <v>0.10610836003162187</v>
      </c>
      <c r="AH34" s="138">
        <v>-0.42</v>
      </c>
      <c r="AI34" s="138">
        <f>SQRT(MAX(0,1-AH34^2))</f>
        <v>0.90752410436307418</v>
      </c>
      <c r="AJ34" s="138" t="e">
        <f>IF(ISNUMBER($B$18),IF(AND($C$18=1,AH34&lt;=-COS(PI()*$B$18)),AI34,NA()),NA())</f>
        <v>#N/A</v>
      </c>
      <c r="AK34" s="138" t="e">
        <f>IF(ISNUMBER($B$18),IF(AND($C$18=2,AH34&lt;=-COS(PI()*$B$18)),AI34,NA()),NA())</f>
        <v>#N/A</v>
      </c>
      <c r="AL34" s="138" t="e">
        <f>IF(ISNUMBER($B$18),IF(AND($C$18=3,AH34&lt;=-COS(PI()*$B$18)),AI34,NA()),NA())</f>
        <v>#N/A</v>
      </c>
      <c r="AM34" s="138" t="e">
        <f>IF(ISNUMBER($B$18),IF(AND($C$18=4,AH34&lt;=-COS(PI()*$B$18)),AI34,NA()),NA())</f>
        <v>#N/A</v>
      </c>
      <c r="AN34" s="138" t="e">
        <f>IF(ISNUMBER($B$18),IF(AND($C$18=5,AH34&lt;=-COS(PI()*$B$18)),AI34,NA()),NA())</f>
        <v>#N/A</v>
      </c>
      <c r="AO34" s="138">
        <f>IF(ISNUMBER($B$18),IF(AND(ISNUMBER($B$18),AH34&gt;=MIN(0,$AH$2),AH34&lt;=MAX(0,$AH$2)),IF($AH$2=0,0,AH34/$AH$2*$AI$2),NA()),NA())</f>
        <v>0.28930604484317063</v>
      </c>
      <c r="AY34" t="str">
        <f>IF(D34=0,"",IF(ABS(D34)&gt;=1000000000,TEXT(D34/1000000000,IF(MOD(ROUND(D34/1000000000,2),1)=0,"0","0.00"))&amp;" B VND",IF(ABS(D34)&gt;=1000000,TEXT(D34/1000000,IF(MOD(ROUND(D34/1000000,2),1)=0,"0","0.00"))&amp;" M VND",TEXT(D34/1000,IF(MOD(ROUND(D34/1000,2),1)=0,"0","0.00"))&amp;"k")))</f>
        <v/>
      </c>
      <c r="AZ34" t="str">
        <f>IF(E34=0,"",IF(ABS(E34)&gt;=1000000000,TEXT(E34/1000000000,IF(MOD(ROUND(E34/1000000000,2),1)=0,"0","0.00"))&amp;" B VND",IF(ABS(E34)&gt;=1000000,TEXT(E34/1000000,IF(MOD(ROUND(E34/1000000,2),1)=0,"0","0.00"))&amp;" M VND",TEXT(E34/1000,IF(MOD(ROUND(E34/1000,2),1)=0,"0","0.00"))&amp;"k")))</f>
        <v/>
      </c>
      <c r="BD34" s="146">
        <f>D35</f>
        <v>43462949.99999999</v>
      </c>
      <c r="BE34" s="146">
        <f>E35</f>
        <v>0</v>
      </c>
      <c r="BF34" t="str">
        <f>A35</f>
        <v>Sales Rep 4</v>
      </c>
      <c r="BG34" t="str">
        <f>AY35</f>
        <v>41.50M VND</v>
      </c>
      <c r="BH34" t="str">
        <f>AZ35</f>
        <v/>
      </c>
    </row>
    <row r="35" spans="1:60">
      <c r="A35" s="148" t="inlineStr">
        <is>
          <t>Sales Rep 4</t>
        </is>
      </c>
      <c r="B35" s="152">
        <f>SUMIFS('Current AR'!$S$6:$S$103,'Current AR'!$J$6:$J$103,A35)</f>
        <v>43462949.99999999</v>
      </c>
      <c r="C35" s="152">
        <f>SUMIFS('Prior AR'!$S$6:$S$85,'Prior AR'!$J$6:$J$85,A35)</f>
        <v>0</v>
      </c>
      <c r="D35" s="152">
        <f>SUMIFS('Current AR'!$V$6:$V$103,'Current AR'!$J$6:$J$103,A35,'Current AR'!$Q$6:$Q$103,"&lt;=0")</f>
        <v>43462949.99999999</v>
      </c>
      <c r="E35" s="152">
        <f>SUMIFS('Current AR'!$V$6:$V$103,'Current AR'!$J$6:$J$103,A35,'Current AR'!$Q$6:$Q$103,"&gt;0")</f>
        <v>0</v>
      </c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>
        <v>-0.4</v>
      </c>
      <c r="S35" s="138">
        <f>SQRT(MAX(0,1-R35^2))</f>
        <v>0.91651513899116799</v>
      </c>
      <c r="T35" s="138" t="e">
        <f>IF(ISNUMBER($B$16),IF(AND($C$16=1,R35&lt;=-COS(PI()*$B$16)),S35,NA()),NA())</f>
        <v>#N/A</v>
      </c>
      <c r="U35" s="138" t="e">
        <f>IF(ISNUMBER($B$16),IF(AND($C$16=2,R35&lt;=-COS(PI()*$B$16)),S35,NA()),NA())</f>
        <v>#N/A</v>
      </c>
      <c r="V35" s="138" t="e">
        <f>IF(ISNUMBER($B$16),IF(AND($C$16=3,R35&lt;=-COS(PI()*$B$16)),S35,NA()),NA())</f>
        <v>#N/A</v>
      </c>
      <c r="W35" s="138" t="e">
        <f>IF(ISNUMBER($B$16),IF(AND($C$16=4,R35&lt;=-COS(PI()*$B$16)),S35,NA()),NA())</f>
        <v>#N/A</v>
      </c>
      <c r="X35" s="138" t="e">
        <f>IF(ISNUMBER($B$16),IF(AND($C$16=5,R35&lt;=-COS(PI()*$B$16)),S35,NA()),NA())</f>
        <v>#N/A</v>
      </c>
      <c r="Y35" s="138">
        <f>IF(ISNUMBER($B$16),IF(AND(ISNUMBER($B$16),R35&gt;=MIN(0,$R$2),R35&lt;=MAX(0,$R$2)),IF($R$2=0,0,R35/$R$2*$S$2),NA()),NA())</f>
        <v>0.14861197240907695</v>
      </c>
      <c r="Z35" s="138">
        <v>-0.4</v>
      </c>
      <c r="AA35" s="138">
        <f>SQRT(MAX(0,1-Z35^2))</f>
        <v>0.91651513899116799</v>
      </c>
      <c r="AB35" s="138" t="e">
        <f>IF(ISNUMBER($B$17),IF(AND($C$17=1,Z35&lt;=-COS(PI()*$B$17)),AA35,NA()),NA())</f>
        <v>#N/A</v>
      </c>
      <c r="AC35" s="138" t="e">
        <f>IF(ISNUMBER($B$17),IF(AND($C$17=2,Z35&lt;=-COS(PI()*$B$17)),AA35,NA()),NA())</f>
        <v>#N/A</v>
      </c>
      <c r="AD35" s="138" t="e">
        <f>IF(ISNUMBER($B$17),IF(AND($C$17=3,Z35&lt;=-COS(PI()*$B$17)),AA35,NA()),NA())</f>
        <v>#N/A</v>
      </c>
      <c r="AE35" s="138" t="e">
        <f>IF(ISNUMBER($B$17),IF(AND($C$17=4,Z35&lt;=-COS(PI()*$B$17)),AA35,NA()),NA())</f>
        <v>#N/A</v>
      </c>
      <c r="AF35" s="138" t="e">
        <f>IF(ISNUMBER($B$17),IF(AND($C$17=5,Z35&lt;=-COS(PI()*$B$17)),AA35,NA()),NA())</f>
        <v>#N/A</v>
      </c>
      <c r="AG35" s="138">
        <f>IF(ISNUMBER($B$17),IF(AND(ISNUMBER($B$17),Z35&gt;=MIN(0,$Z$2),Z35&lt;=MAX(0,$Z$2)),IF($Z$2=0,0,Z35/$Z$2*$AA$2),NA()),NA())</f>
        <v>0.10105558098249703</v>
      </c>
      <c r="AH35" s="138">
        <v>-0.4</v>
      </c>
      <c r="AI35" s="138">
        <f>SQRT(MAX(0,1-AH35^2))</f>
        <v>0.91651513899116799</v>
      </c>
      <c r="AJ35" s="138" t="e">
        <f>IF(ISNUMBER($B$18),IF(AND($C$18=1,AH35&lt;=-COS(PI()*$B$18)),AI35,NA()),NA())</f>
        <v>#N/A</v>
      </c>
      <c r="AK35" s="138" t="e">
        <f>IF(ISNUMBER($B$18),IF(AND($C$18=2,AH35&lt;=-COS(PI()*$B$18)),AI35,NA()),NA())</f>
        <v>#N/A</v>
      </c>
      <c r="AL35" s="138" t="e">
        <f>IF(ISNUMBER($B$18),IF(AND($C$18=3,AH35&lt;=-COS(PI()*$B$18)),AI35,NA()),NA())</f>
        <v>#N/A</v>
      </c>
      <c r="AM35" s="138" t="e">
        <f>IF(ISNUMBER($B$18),IF(AND($C$18=4,AH35&lt;=-COS(PI()*$B$18)),AI35,NA()),NA())</f>
        <v>#N/A</v>
      </c>
      <c r="AN35" s="138" t="e">
        <f>IF(ISNUMBER($B$18),IF(AND($C$18=5,AH35&lt;=-COS(PI()*$B$18)),AI35,NA()),NA())</f>
        <v>#N/A</v>
      </c>
      <c r="AO35" s="138">
        <f>IF(ISNUMBER($B$18),IF(AND(ISNUMBER($B$18),AH35&gt;=MIN(0,$AH$2),AH35&lt;=MAX(0,$AH$2)),IF($AH$2=0,0,AH35/$AH$2*$AI$2),NA()),NA())</f>
        <v>0.27552956651730537</v>
      </c>
      <c r="AY35" t="str">
        <f>IF(D35=0,"",IF(ABS(D35)&gt;=1000000000,TEXT(D35/1000000000,IF(MOD(ROUND(D35/1000000000,2),1)=0,"0","0.00"))&amp;" B VND",IF(ABS(D35)&gt;=1000000,TEXT(D35/1000000,IF(MOD(ROUND(D35/1000000,2),1)=0,"0","0.00"))&amp;" M VND",TEXT(D35/1000,IF(MOD(ROUND(D35/1000,2),1)=0,"0","0.00"))&amp;"k")))</f>
        <v>41.50M VND</v>
      </c>
      <c r="AZ35" t="str">
        <f>IF(E35=0,"",IF(ABS(E35)&gt;=1000000000,TEXT(E35/1000000000,IF(MOD(ROUND(E35/1000000000,2),1)=0,"0","0.00"))&amp;" B VND",IF(ABS(E35)&gt;=1000000,TEXT(E35/1000000,IF(MOD(ROUND(E35/1000000,2),1)=0,"0","0.00"))&amp;" M VND",TEXT(E35/1000,IF(MOD(ROUND(E35/1000,2),1)=0,"0","0.00"))&amp;"k")))</f>
        <v/>
      </c>
      <c r="BD35" s="146">
        <f>D36</f>
        <v>324662.99999999994</v>
      </c>
      <c r="BE35" s="146">
        <f>E36</f>
        <v>0</v>
      </c>
      <c r="BF35" t="str">
        <f>A36</f>
        <v>Sales Rep 5</v>
      </c>
      <c r="BG35" t="str">
        <f>AY36</f>
        <v>310k</v>
      </c>
      <c r="BH35" t="str">
        <f>AZ36</f>
        <v/>
      </c>
    </row>
    <row r="36" spans="1:60">
      <c r="A36" s="148" t="inlineStr">
        <is>
          <t>Sales Rep 5</t>
        </is>
      </c>
      <c r="B36" s="152">
        <f>SUMIFS('Current AR'!$S$6:$S$103,'Current AR'!$J$6:$J$103,A36)</f>
        <v>324662.99999999994</v>
      </c>
      <c r="C36" s="152">
        <f>SUMIFS('Prior AR'!$S$6:$S$85,'Prior AR'!$J$6:$J$85,A36)</f>
        <v>333943.12529999996</v>
      </c>
      <c r="D36" s="152">
        <f>SUMIFS('Current AR'!$V$6:$V$103,'Current AR'!$J$6:$J$103,A36,'Current AR'!$Q$6:$Q$103,"&lt;=0")</f>
        <v>324662.99999999994</v>
      </c>
      <c r="E36" s="152">
        <f>SUMIFS('Current AR'!$V$6:$V$103,'Current AR'!$J$6:$J$103,A36,'Current AR'!$Q$6:$Q$103,"&gt;0")</f>
        <v>0</v>
      </c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>
        <v>-0.38</v>
      </c>
      <c r="S36" s="138">
        <f>SQRT(MAX(0,1-R36^2))</f>
        <v>0.92498648638777425</v>
      </c>
      <c r="T36" s="138" t="e">
        <f>IF(ISNUMBER($B$16),IF(AND($C$16=1,R36&lt;=-COS(PI()*$B$16)),S36,NA()),NA())</f>
        <v>#N/A</v>
      </c>
      <c r="U36" s="138" t="e">
        <f>IF(ISNUMBER($B$16),IF(AND($C$16=2,R36&lt;=-COS(PI()*$B$16)),S36,NA()),NA())</f>
        <v>#N/A</v>
      </c>
      <c r="V36" s="138" t="e">
        <f>IF(ISNUMBER($B$16),IF(AND($C$16=3,R36&lt;=-COS(PI()*$B$16)),S36,NA()),NA())</f>
        <v>#N/A</v>
      </c>
      <c r="W36" s="138" t="e">
        <f>IF(ISNUMBER($B$16),IF(AND($C$16=4,R36&lt;=-COS(PI()*$B$16)),S36,NA()),NA())</f>
        <v>#N/A</v>
      </c>
      <c r="X36" s="138" t="e">
        <f>IF(ISNUMBER($B$16),IF(AND($C$16=5,R36&lt;=-COS(PI()*$B$16)),S36,NA()),NA())</f>
        <v>#N/A</v>
      </c>
      <c r="Y36" s="138">
        <f>IF(ISNUMBER($B$16),IF(AND(ISNUMBER($B$16),R36&gt;=MIN(0,$R$2),R36&lt;=MAX(0,$R$2)),IF($R$2=0,0,R36/$R$2*$S$2),NA()),NA())</f>
        <v>0.14118137378862308</v>
      </c>
      <c r="Z36" s="138">
        <v>-0.38</v>
      </c>
      <c r="AA36" s="138">
        <f>SQRT(MAX(0,1-Z36^2))</f>
        <v>0.92498648638777425</v>
      </c>
      <c r="AB36" s="138" t="e">
        <f>IF(ISNUMBER($B$17),IF(AND($C$17=1,Z36&lt;=-COS(PI()*$B$17)),AA36,NA()),NA())</f>
        <v>#N/A</v>
      </c>
      <c r="AC36" s="138" t="e">
        <f>IF(ISNUMBER($B$17),IF(AND($C$17=2,Z36&lt;=-COS(PI()*$B$17)),AA36,NA()),NA())</f>
        <v>#N/A</v>
      </c>
      <c r="AD36" s="138" t="e">
        <f>IF(ISNUMBER($B$17),IF(AND($C$17=3,Z36&lt;=-COS(PI()*$B$17)),AA36,NA()),NA())</f>
        <v>#N/A</v>
      </c>
      <c r="AE36" s="138" t="e">
        <f>IF(ISNUMBER($B$17),IF(AND($C$17=4,Z36&lt;=-COS(PI()*$B$17)),AA36,NA()),NA())</f>
        <v>#N/A</v>
      </c>
      <c r="AF36" s="138" t="e">
        <f>IF(ISNUMBER($B$17),IF(AND($C$17=5,Z36&lt;=-COS(PI()*$B$17)),AA36,NA()),NA())</f>
        <v>#N/A</v>
      </c>
      <c r="AG36" s="138">
        <f>IF(ISNUMBER($B$17),IF(AND(ISNUMBER($B$17),Z36&gt;=MIN(0,$Z$2),Z36&lt;=MAX(0,$Z$2)),IF($Z$2=0,0,Z36/$Z$2*$AA$2),NA()),NA())</f>
        <v>9.6002801933372184E-2</v>
      </c>
      <c r="AH36" s="138">
        <v>-0.38</v>
      </c>
      <c r="AI36" s="138">
        <f>SQRT(MAX(0,1-AH36^2))</f>
        <v>0.92498648638777425</v>
      </c>
      <c r="AJ36" s="138" t="e">
        <f>IF(ISNUMBER($B$18),IF(AND($C$18=1,AH36&lt;=-COS(PI()*$B$18)),AI36,NA()),NA())</f>
        <v>#N/A</v>
      </c>
      <c r="AK36" s="138" t="e">
        <f>IF(ISNUMBER($B$18),IF(AND($C$18=2,AH36&lt;=-COS(PI()*$B$18)),AI36,NA()),NA())</f>
        <v>#N/A</v>
      </c>
      <c r="AL36" s="138" t="e">
        <f>IF(ISNUMBER($B$18),IF(AND($C$18=3,AH36&lt;=-COS(PI()*$B$18)),AI36,NA()),NA())</f>
        <v>#N/A</v>
      </c>
      <c r="AM36" s="138" t="e">
        <f>IF(ISNUMBER($B$18),IF(AND($C$18=4,AH36&lt;=-COS(PI()*$B$18)),AI36,NA()),NA())</f>
        <v>#N/A</v>
      </c>
      <c r="AN36" s="138" t="e">
        <f>IF(ISNUMBER($B$18),IF(AND($C$18=5,AH36&lt;=-COS(PI()*$B$18)),AI36,NA()),NA())</f>
        <v>#N/A</v>
      </c>
      <c r="AO36" s="138">
        <f>IF(ISNUMBER($B$18),IF(AND(ISNUMBER($B$18),AH36&gt;=MIN(0,$AH$2),AH36&lt;=MAX(0,$AH$2)),IF($AH$2=0,0,AH36/$AH$2*$AI$2),NA()),NA())</f>
        <v>0.26175308819144005</v>
      </c>
      <c r="AY36" t="str">
        <f>IF(D36=0,"",IF(ABS(D36)&gt;=1000000000,TEXT(D36/1000000000,IF(MOD(ROUND(D36/1000000000,2),1)=0,"0","0.00"))&amp;" B VND",IF(ABS(D36)&gt;=1000000,TEXT(D36/1000000,IF(MOD(ROUND(D36/1000000,2),1)=0,"0","0.00"))&amp;" M VND",TEXT(D36/1000,IF(MOD(ROUND(D36/1000,2),1)=0,"0","0.00"))&amp;"k")))</f>
        <v>310k</v>
      </c>
      <c r="AZ36" t="str">
        <f>IF(E36=0,"",IF(ABS(E36)&gt;=1000000000,TEXT(E36/1000000000,IF(MOD(ROUND(E36/1000000000,2),1)=0,"0","0.00"))&amp;" B VND",IF(ABS(E36)&gt;=1000000,TEXT(E36/1000000,IF(MOD(ROUND(E36/1000000,2),1)=0,"0","0.00"))&amp;" M VND",TEXT(E36/1000,IF(MOD(ROUND(E36/1000,2),1)=0,"0","0.00"))&amp;"k")))</f>
        <v/>
      </c>
      <c r="BD36" s="146">
        <f>D37</f>
        <v>0</v>
      </c>
      <c r="BE36" s="146">
        <f>E37</f>
        <v>4021631999.9999995</v>
      </c>
      <c r="BF36" t="str">
        <f>A37</f>
        <v>Sales Rep 3</v>
      </c>
      <c r="BG36" t="str">
        <f>AY37</f>
        <v/>
      </c>
      <c r="BH36" t="str">
        <f>AZ37</f>
        <v>3.84B VND</v>
      </c>
    </row>
    <row r="37" spans="1:60">
      <c r="A37" s="149" t="inlineStr">
        <is>
          <t>Sales Rep 3</t>
        </is>
      </c>
      <c r="B37" s="153">
        <f>SUMIFS('Current AR'!$S$6:$S$103,'Current AR'!$J$6:$J$103,A37)</f>
        <v>4021631999.9999995</v>
      </c>
      <c r="C37" s="152">
        <f>SUMIFS('Prior AR'!$S$6:$S$85,'Prior AR'!$J$6:$J$85,A37)</f>
        <v>4099303795.9157996</v>
      </c>
      <c r="D37" s="152">
        <f>SUMIFS('Current AR'!$V$6:$V$103,'Current AR'!$J$6:$J$103,A37,'Current AR'!$Q$6:$Q$103,"&lt;=0")</f>
        <v>0</v>
      </c>
      <c r="E37" s="152">
        <f>SUMIFS('Current AR'!$V$6:$V$103,'Current AR'!$J$6:$J$103,A37,'Current AR'!$Q$6:$Q$103,"&gt;0")</f>
        <v>4021631999.9999995</v>
      </c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>
        <v>-0.36</v>
      </c>
      <c r="S37" s="138">
        <f>SQRT(MAX(0,1-R37^2))</f>
        <v>0.93295230317524813</v>
      </c>
      <c r="T37" s="138" t="e">
        <f>IF(ISNUMBER($B$16),IF(AND($C$16=1,R37&lt;=-COS(PI()*$B$16)),S37,NA()),NA())</f>
        <v>#N/A</v>
      </c>
      <c r="U37" s="138" t="e">
        <f>IF(ISNUMBER($B$16),IF(AND($C$16=2,R37&lt;=-COS(PI()*$B$16)),S37,NA()),NA())</f>
        <v>#N/A</v>
      </c>
      <c r="V37" s="138" t="e">
        <f>IF(ISNUMBER($B$16),IF(AND($C$16=3,R37&lt;=-COS(PI()*$B$16)),S37,NA()),NA())</f>
        <v>#N/A</v>
      </c>
      <c r="W37" s="138" t="e">
        <f>IF(ISNUMBER($B$16),IF(AND($C$16=4,R37&lt;=-COS(PI()*$B$16)),S37,NA()),NA())</f>
        <v>#N/A</v>
      </c>
      <c r="X37" s="138" t="e">
        <f>IF(ISNUMBER($B$16),IF(AND($C$16=5,R37&lt;=-COS(PI()*$B$16)),S37,NA()),NA())</f>
        <v>#N/A</v>
      </c>
      <c r="Y37" s="138">
        <f>IF(ISNUMBER($B$16),IF(AND(ISNUMBER($B$16),R37&gt;=MIN(0,$R$2),R37&lt;=MAX(0,$R$2)),IF($R$2=0,0,R37/$R$2*$S$2),NA()),NA())</f>
        <v>0.13375077516816924</v>
      </c>
      <c r="Z37" s="138">
        <v>-0.36</v>
      </c>
      <c r="AA37" s="138">
        <f>SQRT(MAX(0,1-Z37^2))</f>
        <v>0.93295230317524813</v>
      </c>
      <c r="AB37" s="138" t="e">
        <f>IF(ISNUMBER($B$17),IF(AND($C$17=1,Z37&lt;=-COS(PI()*$B$17)),AA37,NA()),NA())</f>
        <v>#N/A</v>
      </c>
      <c r="AC37" s="138" t="e">
        <f>IF(ISNUMBER($B$17),IF(AND($C$17=2,Z37&lt;=-COS(PI()*$B$17)),AA37,NA()),NA())</f>
        <v>#N/A</v>
      </c>
      <c r="AD37" s="138" t="e">
        <f>IF(ISNUMBER($B$17),IF(AND($C$17=3,Z37&lt;=-COS(PI()*$B$17)),AA37,NA()),NA())</f>
        <v>#N/A</v>
      </c>
      <c r="AE37" s="138" t="e">
        <f>IF(ISNUMBER($B$17),IF(AND($C$17=4,Z37&lt;=-COS(PI()*$B$17)),AA37,NA()),NA())</f>
        <v>#N/A</v>
      </c>
      <c r="AF37" s="138" t="e">
        <f>IF(ISNUMBER($B$17),IF(AND($C$17=5,Z37&lt;=-COS(PI()*$B$17)),AA37,NA()),NA())</f>
        <v>#N/A</v>
      </c>
      <c r="AG37" s="138">
        <f>IF(ISNUMBER($B$17),IF(AND(ISNUMBER($B$17),Z37&gt;=MIN(0,$Z$2),Z37&lt;=MAX(0,$Z$2)),IF($Z$2=0,0,Z37/$Z$2*$AA$2),NA()),NA())</f>
        <v>9.095002288424732E-2</v>
      </c>
      <c r="AH37" s="138">
        <v>-0.36</v>
      </c>
      <c r="AI37" s="138">
        <f>SQRT(MAX(0,1-AH37^2))</f>
        <v>0.93295230317524813</v>
      </c>
      <c r="AJ37" s="138" t="e">
        <f>IF(ISNUMBER($B$18),IF(AND($C$18=1,AH37&lt;=-COS(PI()*$B$18)),AI37,NA()),NA())</f>
        <v>#N/A</v>
      </c>
      <c r="AK37" s="138" t="e">
        <f>IF(ISNUMBER($B$18),IF(AND($C$18=2,AH37&lt;=-COS(PI()*$B$18)),AI37,NA()),NA())</f>
        <v>#N/A</v>
      </c>
      <c r="AL37" s="138" t="e">
        <f>IF(ISNUMBER($B$18),IF(AND($C$18=3,AH37&lt;=-COS(PI()*$B$18)),AI37,NA()),NA())</f>
        <v>#N/A</v>
      </c>
      <c r="AM37" s="138" t="e">
        <f>IF(ISNUMBER($B$18),IF(AND($C$18=4,AH37&lt;=-COS(PI()*$B$18)),AI37,NA()),NA())</f>
        <v>#N/A</v>
      </c>
      <c r="AN37" s="138" t="e">
        <f>IF(ISNUMBER($B$18),IF(AND($C$18=5,AH37&lt;=-COS(PI()*$B$18)),AI37,NA()),NA())</f>
        <v>#N/A</v>
      </c>
      <c r="AO37" s="138">
        <f>IF(ISNUMBER($B$18),IF(AND(ISNUMBER($B$18),AH37&gt;=MIN(0,$AH$2),AH37&lt;=MAX(0,$AH$2)),IF($AH$2=0,0,AH37/$AH$2*$AI$2),NA()),NA())</f>
        <v>0.24797660986557479</v>
      </c>
      <c r="AY37" t="str">
        <f>IF(D37=0,"",IF(ABS(D37)&gt;=1000000000,TEXT(D37/1000000000,IF(MOD(ROUND(D37/1000000000,2),1)=0,"0","0.00"))&amp;" B VND",IF(ABS(D37)&gt;=1000000,TEXT(D37/1000000,IF(MOD(ROUND(D37/1000000,2),1)=0,"0","0.00"))&amp;" M VND",TEXT(D37/1000,IF(MOD(ROUND(D37/1000,2),1)=0,"0","0.00"))&amp;"k")))</f>
        <v/>
      </c>
      <c r="AZ37" t="str">
        <f>IF(E37=0,"",IF(ABS(E37)&gt;=1000000000,TEXT(E37/1000000000,IF(MOD(ROUND(E37/1000000000,2),1)=0,"0","0.00"))&amp;" B VND",IF(ABS(E37)&gt;=1000000,TEXT(E37/1000000,IF(MOD(ROUND(E37/1000000,2),1)=0,"0","0.00"))&amp;" M VND",TEXT(E37/1000,IF(MOD(ROUND(E37/1000,2),1)=0,"0","0.00"))&amp;"k")))</f>
        <v>3.84B VND</v>
      </c>
    </row>
    <row r="38" spans="1:60">
      <c r="A38" s="148" t="inlineStr">
        <is>
          <t>Current / In-Term</t>
        </is>
      </c>
      <c r="B38" s="152">
        <f>SUMIFS('Current AR'!$V$6:$V$160,'Current AR'!$Q$6:$Q$160,"&lt;0")</f>
        <v>41216259755</v>
      </c>
      <c r="C38" s="152"/>
      <c r="D38" s="152"/>
      <c r="E38" s="152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>
        <v>-0.34</v>
      </c>
      <c r="S38" s="138">
        <f>SQRT(MAX(0,1-R38^2))</f>
        <v>0.9404254356406998</v>
      </c>
      <c r="T38" s="138" t="e">
        <f>IF(ISNUMBER($B$16),IF(AND($C$16=1,R38&lt;=-COS(PI()*$B$16)),S38,NA()),NA())</f>
        <v>#N/A</v>
      </c>
      <c r="U38" s="138" t="e">
        <f>IF(ISNUMBER($B$16),IF(AND($C$16=2,R38&lt;=-COS(PI()*$B$16)),S38,NA()),NA())</f>
        <v>#N/A</v>
      </c>
      <c r="V38" s="138" t="e">
        <f>IF(ISNUMBER($B$16),IF(AND($C$16=3,R38&lt;=-COS(PI()*$B$16)),S38,NA()),NA())</f>
        <v>#N/A</v>
      </c>
      <c r="W38" s="138" t="e">
        <f>IF(ISNUMBER($B$16),IF(AND($C$16=4,R38&lt;=-COS(PI()*$B$16)),S38,NA()),NA())</f>
        <v>#N/A</v>
      </c>
      <c r="X38" s="138" t="e">
        <f>IF(ISNUMBER($B$16),IF(AND($C$16=5,R38&lt;=-COS(PI()*$B$16)),S38,NA()),NA())</f>
        <v>#N/A</v>
      </c>
      <c r="Y38" s="138">
        <f>IF(ISNUMBER($B$16),IF(AND(ISNUMBER($B$16),R38&gt;=MIN(0,$R$2),R38&lt;=MAX(0,$R$2)),IF($R$2=0,0,R38/$R$2*$S$2),NA()),NA())</f>
        <v>0.12632017654771541</v>
      </c>
      <c r="Z38" s="138">
        <v>-0.34</v>
      </c>
      <c r="AA38" s="138">
        <f>SQRT(MAX(0,1-Z38^2))</f>
        <v>0.9404254356406998</v>
      </c>
      <c r="AB38" s="138" t="e">
        <f>IF(ISNUMBER($B$17),IF(AND($C$17=1,Z38&lt;=-COS(PI()*$B$17)),AA38,NA()),NA())</f>
        <v>#N/A</v>
      </c>
      <c r="AC38" s="138" t="e">
        <f>IF(ISNUMBER($B$17),IF(AND($C$17=2,Z38&lt;=-COS(PI()*$B$17)),AA38,NA()),NA())</f>
        <v>#N/A</v>
      </c>
      <c r="AD38" s="138" t="e">
        <f>IF(ISNUMBER($B$17),IF(AND($C$17=3,Z38&lt;=-COS(PI()*$B$17)),AA38,NA()),NA())</f>
        <v>#N/A</v>
      </c>
      <c r="AE38" s="138" t="e">
        <f>IF(ISNUMBER($B$17),IF(AND($C$17=4,Z38&lt;=-COS(PI()*$B$17)),AA38,NA()),NA())</f>
        <v>#N/A</v>
      </c>
      <c r="AF38" s="138" t="e">
        <f>IF(ISNUMBER($B$17),IF(AND($C$17=5,Z38&lt;=-COS(PI()*$B$17)),AA38,NA()),NA())</f>
        <v>#N/A</v>
      </c>
      <c r="AG38" s="138">
        <f>IF(ISNUMBER($B$17),IF(AND(ISNUMBER($B$17),Z38&gt;=MIN(0,$Z$2),Z38&lt;=MAX(0,$Z$2)),IF($Z$2=0,0,Z38/$Z$2*$AA$2),NA()),NA())</f>
        <v>8.5897243835122483E-2</v>
      </c>
      <c r="AH38" s="138">
        <v>-0.34</v>
      </c>
      <c r="AI38" s="138">
        <f>SQRT(MAX(0,1-AH38^2))</f>
        <v>0.9404254356406998</v>
      </c>
      <c r="AJ38" s="138" t="e">
        <f>IF(ISNUMBER($B$18),IF(AND($C$18=1,AH38&lt;=-COS(PI()*$B$18)),AI38,NA()),NA())</f>
        <v>#N/A</v>
      </c>
      <c r="AK38" s="138" t="e">
        <f>IF(ISNUMBER($B$18),IF(AND($C$18=2,AH38&lt;=-COS(PI()*$B$18)),AI38,NA()),NA())</f>
        <v>#N/A</v>
      </c>
      <c r="AL38" s="138" t="e">
        <f>IF(ISNUMBER($B$18),IF(AND($C$18=3,AH38&lt;=-COS(PI()*$B$18)),AI38,NA()),NA())</f>
        <v>#N/A</v>
      </c>
      <c r="AM38" s="138" t="e">
        <f>IF(ISNUMBER($B$18),IF(AND($C$18=4,AH38&lt;=-COS(PI()*$B$18)),AI38,NA()),NA())</f>
        <v>#N/A</v>
      </c>
      <c r="AN38" s="138" t="e">
        <f>IF(ISNUMBER($B$18),IF(AND($C$18=5,AH38&lt;=-COS(PI()*$B$18)),AI38,NA()),NA())</f>
        <v>#N/A</v>
      </c>
      <c r="AO38" s="138">
        <f>IF(ISNUMBER($B$18),IF(AND(ISNUMBER($B$18),AH38&gt;=MIN(0,$AH$2),AH38&lt;=MAX(0,$AH$2)),IF($AH$2=0,0,AH38/$AH$2*$AI$2),NA()),NA())</f>
        <v>0.23420013153970956</v>
      </c>
      <c r="BB38" t="str">
        <f>IF(B38=0,"–",IF(ABS(B38)&gt;=1000000000,TEXT(B38/1000000000,"0.00")&amp;"B",IF(ABS(B38)&gt;=1000000,TEXT(B38/1000000,"0.0")&amp;"M",TEXT(B38/1000,"0")&amp;"K")))</f>
        <v>41.22B</v>
      </c>
      <c r="CB38" t="inlineStr">
        <is>
          <t>Current
(not due)</t>
        </is>
      </c>
    </row>
    <row r="39" spans="1:60">
      <c r="A39" s="148" t="inlineStr">
        <is>
          <t>Due Today</t>
        </is>
      </c>
      <c r="B39" s="152">
        <f>SUMIFS('Current AR'!$V$6:$V$160,'Current AR'!$Q$6:$Q$160,"=0")</f>
        <v>36887245</v>
      </c>
      <c r="C39" s="152"/>
      <c r="D39" s="152"/>
      <c r="E39" s="152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>
        <v>-0.32</v>
      </c>
      <c r="S39" s="138">
        <f>SQRT(MAX(0,1-R39^2))</f>
        <v>0.94741754258616084</v>
      </c>
      <c r="T39" s="138" t="e">
        <f>IF(ISNUMBER($B$16),IF(AND($C$16=1,R39&lt;=-COS(PI()*$B$16)),S39,NA()),NA())</f>
        <v>#N/A</v>
      </c>
      <c r="U39" s="138" t="e">
        <f>IF(ISNUMBER($B$16),IF(AND($C$16=2,R39&lt;=-COS(PI()*$B$16)),S39,NA()),NA())</f>
        <v>#N/A</v>
      </c>
      <c r="V39" s="138" t="e">
        <f>IF(ISNUMBER($B$16),IF(AND($C$16=3,R39&lt;=-COS(PI()*$B$16)),S39,NA()),NA())</f>
        <v>#N/A</v>
      </c>
      <c r="W39" s="138" t="e">
        <f>IF(ISNUMBER($B$16),IF(AND($C$16=4,R39&lt;=-COS(PI()*$B$16)),S39,NA()),NA())</f>
        <v>#N/A</v>
      </c>
      <c r="X39" s="138" t="e">
        <f>IF(ISNUMBER($B$16),IF(AND($C$16=5,R39&lt;=-COS(PI()*$B$16)),S39,NA()),NA())</f>
        <v>#N/A</v>
      </c>
      <c r="Y39" s="138">
        <f>IF(ISNUMBER($B$16),IF(AND(ISNUMBER($B$16),R39&gt;=MIN(0,$R$2),R39&lt;=MAX(0,$R$2)),IF($R$2=0,0,R39/$R$2*$S$2),NA()),NA())</f>
        <v>0.11888957792726156</v>
      </c>
      <c r="Z39" s="138">
        <v>-0.32</v>
      </c>
      <c r="AA39" s="138">
        <f>SQRT(MAX(0,1-Z39^2))</f>
        <v>0.94741754258616084</v>
      </c>
      <c r="AB39" s="138" t="e">
        <f>IF(ISNUMBER($B$17),IF(AND($C$17=1,Z39&lt;=-COS(PI()*$B$17)),AA39,NA()),NA())</f>
        <v>#N/A</v>
      </c>
      <c r="AC39" s="138" t="e">
        <f>IF(ISNUMBER($B$17),IF(AND($C$17=2,Z39&lt;=-COS(PI()*$B$17)),AA39,NA()),NA())</f>
        <v>#N/A</v>
      </c>
      <c r="AD39" s="138" t="e">
        <f>IF(ISNUMBER($B$17),IF(AND($C$17=3,Z39&lt;=-COS(PI()*$B$17)),AA39,NA()),NA())</f>
        <v>#N/A</v>
      </c>
      <c r="AE39" s="138" t="e">
        <f>IF(ISNUMBER($B$17),IF(AND($C$17=4,Z39&lt;=-COS(PI()*$B$17)),AA39,NA()),NA())</f>
        <v>#N/A</v>
      </c>
      <c r="AF39" s="138" t="e">
        <f>IF(ISNUMBER($B$17),IF(AND($C$17=5,Z39&lt;=-COS(PI()*$B$17)),AA39,NA()),NA())</f>
        <v>#N/A</v>
      </c>
      <c r="AG39" s="138">
        <f>IF(ISNUMBER($B$17),IF(AND(ISNUMBER($B$17),Z39&gt;=MIN(0,$Z$2),Z39&lt;=MAX(0,$Z$2)),IF($Z$2=0,0,Z39/$Z$2*$AA$2),NA()),NA())</f>
        <v>8.0844464785997619E-2</v>
      </c>
      <c r="AH39" s="138">
        <v>-0.32</v>
      </c>
      <c r="AI39" s="138">
        <f>SQRT(MAX(0,1-AH39^2))</f>
        <v>0.94741754258616084</v>
      </c>
      <c r="AJ39" s="138" t="e">
        <f>IF(ISNUMBER($B$18),IF(AND($C$18=1,AH39&lt;=-COS(PI()*$B$18)),AI39,NA()),NA())</f>
        <v>#N/A</v>
      </c>
      <c r="AK39" s="138" t="e">
        <f>IF(ISNUMBER($B$18),IF(AND($C$18=2,AH39&lt;=-COS(PI()*$B$18)),AI39,NA()),NA())</f>
        <v>#N/A</v>
      </c>
      <c r="AL39" s="138" t="e">
        <f>IF(ISNUMBER($B$18),IF(AND($C$18=3,AH39&lt;=-COS(PI()*$B$18)),AI39,NA()),NA())</f>
        <v>#N/A</v>
      </c>
      <c r="AM39" s="138" t="e">
        <f>IF(ISNUMBER($B$18),IF(AND($C$18=4,AH39&lt;=-COS(PI()*$B$18)),AI39,NA()),NA())</f>
        <v>#N/A</v>
      </c>
      <c r="AN39" s="138" t="e">
        <f>IF(ISNUMBER($B$18),IF(AND($C$18=5,AH39&lt;=-COS(PI()*$B$18)),AI39,NA()),NA())</f>
        <v>#N/A</v>
      </c>
      <c r="AO39" s="138">
        <f>IF(ISNUMBER($B$18),IF(AND(ISNUMBER($B$18),AH39&gt;=MIN(0,$AH$2),AH39&lt;=MAX(0,$AH$2)),IF($AH$2=0,0,AH39/$AH$2*$AI$2),NA()),NA())</f>
        <v>0.22042365321384427</v>
      </c>
      <c r="BB39" t="str">
        <f>IF(B39=0,"–",IF(ABS(B39)&gt;=1000000000,TEXT(B39/1000000000,"0.00")&amp;"B",IF(ABS(B39)&gt;=1000000,TEXT(B39/1000000,"0.0")&amp;"M",TEXT(B39/1000,"0")&amp;"K")))</f>
        <v>36.9M</v>
      </c>
      <c r="CB39" t="inlineStr">
        <is>
          <t>Due
today</t>
        </is>
      </c>
    </row>
    <row r="40" spans="1:60">
      <c r="A40" s="148" t="inlineStr">
        <is>
          <t>1–30d Overdue</t>
        </is>
      </c>
      <c r="B40" s="152">
        <f>SUMIFS('Current AR'!$V$6:$V$160,'Current AR'!$Q$6:$Q$160,"&gt;0",'Current AR'!$Q$6:$Q$160,"&lt;=30")</f>
        <v>5235411407</v>
      </c>
      <c r="C40" s="152"/>
      <c r="D40" s="152"/>
      <c r="E40" s="152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>
        <v>-0.3</v>
      </c>
      <c r="S40" s="138">
        <f>SQRT(MAX(0,1-R40^2))</f>
        <v>0.95393920141694566</v>
      </c>
      <c r="T40" s="138" t="e">
        <f>IF(ISNUMBER($B$16),IF(AND($C$16=1,R40&lt;=-COS(PI()*$B$16)),S40,NA()),NA())</f>
        <v>#N/A</v>
      </c>
      <c r="U40" s="138" t="e">
        <f>IF(ISNUMBER($B$16),IF(AND($C$16=2,R40&lt;=-COS(PI()*$B$16)),S40,NA()),NA())</f>
        <v>#N/A</v>
      </c>
      <c r="V40" s="138" t="e">
        <f>IF(ISNUMBER($B$16),IF(AND($C$16=3,R40&lt;=-COS(PI()*$B$16)),S40,NA()),NA())</f>
        <v>#N/A</v>
      </c>
      <c r="W40" s="138" t="e">
        <f>IF(ISNUMBER($B$16),IF(AND($C$16=4,R40&lt;=-COS(PI()*$B$16)),S40,NA()),NA())</f>
        <v>#N/A</v>
      </c>
      <c r="X40" s="138" t="e">
        <f>IF(ISNUMBER($B$16),IF(AND($C$16=5,R40&lt;=-COS(PI()*$B$16)),S40,NA()),NA())</f>
        <v>#N/A</v>
      </c>
      <c r="Y40" s="138">
        <f>IF(ISNUMBER($B$16),IF(AND(ISNUMBER($B$16),R40&gt;=MIN(0,$R$2),R40&lt;=MAX(0,$R$2)),IF($R$2=0,0,R40/$R$2*$S$2),NA()),NA())</f>
        <v>0.1114589793068077</v>
      </c>
      <c r="Z40" s="138">
        <v>-0.3</v>
      </c>
      <c r="AA40" s="138">
        <f>SQRT(MAX(0,1-Z40^2))</f>
        <v>0.95393920141694566</v>
      </c>
      <c r="AB40" s="138" t="e">
        <f>IF(ISNUMBER($B$17),IF(AND($C$17=1,Z40&lt;=-COS(PI()*$B$17)),AA40,NA()),NA())</f>
        <v>#N/A</v>
      </c>
      <c r="AC40" s="138" t="e">
        <f>IF(ISNUMBER($B$17),IF(AND($C$17=2,Z40&lt;=-COS(PI()*$B$17)),AA40,NA()),NA())</f>
        <v>#N/A</v>
      </c>
      <c r="AD40" s="138" t="e">
        <f>IF(ISNUMBER($B$17),IF(AND($C$17=3,Z40&lt;=-COS(PI()*$B$17)),AA40,NA()),NA())</f>
        <v>#N/A</v>
      </c>
      <c r="AE40" s="138" t="e">
        <f>IF(ISNUMBER($B$17),IF(AND($C$17=4,Z40&lt;=-COS(PI()*$B$17)),AA40,NA()),NA())</f>
        <v>#N/A</v>
      </c>
      <c r="AF40" s="138" t="e">
        <f>IF(ISNUMBER($B$17),IF(AND($C$17=5,Z40&lt;=-COS(PI()*$B$17)),AA40,NA()),NA())</f>
        <v>#N/A</v>
      </c>
      <c r="AG40" s="138">
        <f>IF(ISNUMBER($B$17),IF(AND(ISNUMBER($B$17),Z40&gt;=MIN(0,$Z$2),Z40&lt;=MAX(0,$Z$2)),IF($Z$2=0,0,Z40/$Z$2*$AA$2),NA()),NA())</f>
        <v>7.5791685736872769E-2</v>
      </c>
      <c r="AH40" s="138">
        <v>-0.3</v>
      </c>
      <c r="AI40" s="138">
        <f>SQRT(MAX(0,1-AH40^2))</f>
        <v>0.95393920141694566</v>
      </c>
      <c r="AJ40" s="138" t="e">
        <f>IF(ISNUMBER($B$18),IF(AND($C$18=1,AH40&lt;=-COS(PI()*$B$18)),AI40,NA()),NA())</f>
        <v>#N/A</v>
      </c>
      <c r="AK40" s="138" t="e">
        <f>IF(ISNUMBER($B$18),IF(AND($C$18=2,AH40&lt;=-COS(PI()*$B$18)),AI40,NA()),NA())</f>
        <v>#N/A</v>
      </c>
      <c r="AL40" s="138" t="e">
        <f>IF(ISNUMBER($B$18),IF(AND($C$18=3,AH40&lt;=-COS(PI()*$B$18)),AI40,NA()),NA())</f>
        <v>#N/A</v>
      </c>
      <c r="AM40" s="138" t="e">
        <f>IF(ISNUMBER($B$18),IF(AND($C$18=4,AH40&lt;=-COS(PI()*$B$18)),AI40,NA()),NA())</f>
        <v>#N/A</v>
      </c>
      <c r="AN40" s="138" t="e">
        <f>IF(ISNUMBER($B$18),IF(AND($C$18=5,AH40&lt;=-COS(PI()*$B$18)),AI40,NA()),NA())</f>
        <v>#N/A</v>
      </c>
      <c r="AO40" s="138">
        <f>IF(ISNUMBER($B$18),IF(AND(ISNUMBER($B$18),AH40&gt;=MIN(0,$AH$2),AH40&lt;=MAX(0,$AH$2)),IF($AH$2=0,0,AH40/$AH$2*$AI$2),NA()),NA())</f>
        <v>0.20664717488797901</v>
      </c>
      <c r="BB40" t="str">
        <f>IF(B40=0,"–",IF(ABS(B40)&gt;=1000000000,TEXT(B40/1000000000,"0.00")&amp;"B",IF(ABS(B40)&gt;=1000000,TEXT(B40/1000000,"0.0")&amp;"M",TEXT(B40/1000,"0")&amp;"K")))</f>
        <v>5.24B</v>
      </c>
      <c r="CB40" t="inlineStr">
        <is>
          <t>1–30d
overdue</t>
        </is>
      </c>
    </row>
    <row r="41" spans="1:60">
      <c r="A41" s="148" t="inlineStr">
        <is>
          <t>31–60d Overdue</t>
        </is>
      </c>
      <c r="B41" s="152">
        <f>SUMIFS('Current AR'!$V$6:$V$160,'Current AR'!$Q$6:$Q$160,"&gt;30",'Current AR'!$Q$6:$Q$160,"&lt;=60")</f>
        <v>545684593</v>
      </c>
      <c r="C41" s="152"/>
      <c r="D41" s="152"/>
      <c r="E41" s="152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>
        <v>-0.28000000000000003</v>
      </c>
      <c r="S41" s="138">
        <f>SQRT(MAX(0,1-R41^2))</f>
        <v>0.96</v>
      </c>
      <c r="T41" s="138" t="e">
        <f>IF(ISNUMBER($B$16),IF(AND($C$16=1,R41&lt;=-COS(PI()*$B$16)),S41,NA()),NA())</f>
        <v>#N/A</v>
      </c>
      <c r="U41" s="138" t="e">
        <f>IF(ISNUMBER($B$16),IF(AND($C$16=2,R41&lt;=-COS(PI()*$B$16)),S41,NA()),NA())</f>
        <v>#N/A</v>
      </c>
      <c r="V41" s="138" t="e">
        <f>IF(ISNUMBER($B$16),IF(AND($C$16=3,R41&lt;=-COS(PI()*$B$16)),S41,NA()),NA())</f>
        <v>#N/A</v>
      </c>
      <c r="W41" s="138" t="e">
        <f>IF(ISNUMBER($B$16),IF(AND($C$16=4,R41&lt;=-COS(PI()*$B$16)),S41,NA()),NA())</f>
        <v>#N/A</v>
      </c>
      <c r="X41" s="138" t="e">
        <f>IF(ISNUMBER($B$16),IF(AND($C$16=5,R41&lt;=-COS(PI()*$B$16)),S41,NA()),NA())</f>
        <v>#N/A</v>
      </c>
      <c r="Y41" s="138">
        <f>IF(ISNUMBER($B$16),IF(AND(ISNUMBER($B$16),R41&gt;=MIN(0,$R$2),R41&lt;=MAX(0,$R$2)),IF($R$2=0,0,R41/$R$2*$S$2),NA()),NA())</f>
        <v>0.10402838068635387</v>
      </c>
      <c r="Z41" s="138">
        <v>-0.28000000000000003</v>
      </c>
      <c r="AA41" s="138">
        <f>SQRT(MAX(0,1-Z41^2))</f>
        <v>0.96</v>
      </c>
      <c r="AB41" s="138" t="e">
        <f>IF(ISNUMBER($B$17),IF(AND($C$17=1,Z41&lt;=-COS(PI()*$B$17)),AA41,NA()),NA())</f>
        <v>#N/A</v>
      </c>
      <c r="AC41" s="138" t="e">
        <f>IF(ISNUMBER($B$17),IF(AND($C$17=2,Z41&lt;=-COS(PI()*$B$17)),AA41,NA()),NA())</f>
        <v>#N/A</v>
      </c>
      <c r="AD41" s="138" t="e">
        <f>IF(ISNUMBER($B$17),IF(AND($C$17=3,Z41&lt;=-COS(PI()*$B$17)),AA41,NA()),NA())</f>
        <v>#N/A</v>
      </c>
      <c r="AE41" s="138" t="e">
        <f>IF(ISNUMBER($B$17),IF(AND($C$17=4,Z41&lt;=-COS(PI()*$B$17)),AA41,NA()),NA())</f>
        <v>#N/A</v>
      </c>
      <c r="AF41" s="138" t="e">
        <f>IF(ISNUMBER($B$17),IF(AND($C$17=5,Z41&lt;=-COS(PI()*$B$17)),AA41,NA()),NA())</f>
        <v>#N/A</v>
      </c>
      <c r="AG41" s="138">
        <f>IF(ISNUMBER($B$17),IF(AND(ISNUMBER($B$17),Z41&gt;=MIN(0,$Z$2),Z41&lt;=MAX(0,$Z$2)),IF($Z$2=0,0,Z41/$Z$2*$AA$2),NA()),NA())</f>
        <v>7.0738906687747932E-2</v>
      </c>
      <c r="AH41" s="138">
        <v>-0.28000000000000003</v>
      </c>
      <c r="AI41" s="138">
        <f>SQRT(MAX(0,1-AH41^2))</f>
        <v>0.96</v>
      </c>
      <c r="AJ41" s="138" t="e">
        <f>IF(ISNUMBER($B$18),IF(AND($C$18=1,AH41&lt;=-COS(PI()*$B$18)),AI41,NA()),NA())</f>
        <v>#N/A</v>
      </c>
      <c r="AK41" s="138" t="e">
        <f>IF(ISNUMBER($B$18),IF(AND($C$18=2,AH41&lt;=-COS(PI()*$B$18)),AI41,NA()),NA())</f>
        <v>#N/A</v>
      </c>
      <c r="AL41" s="138" t="e">
        <f>IF(ISNUMBER($B$18),IF(AND($C$18=3,AH41&lt;=-COS(PI()*$B$18)),AI41,NA()),NA())</f>
        <v>#N/A</v>
      </c>
      <c r="AM41" s="138" t="e">
        <f>IF(ISNUMBER($B$18),IF(AND($C$18=4,AH41&lt;=-COS(PI()*$B$18)),AI41,NA()),NA())</f>
        <v>#N/A</v>
      </c>
      <c r="AN41" s="138" t="e">
        <f>IF(ISNUMBER($B$18),IF(AND($C$18=5,AH41&lt;=-COS(PI()*$B$18)),AI41,NA()),NA())</f>
        <v>#N/A</v>
      </c>
      <c r="AO41" s="138">
        <f>IF(ISNUMBER($B$18),IF(AND(ISNUMBER($B$18),AH41&gt;=MIN(0,$AH$2),AH41&lt;=MAX(0,$AH$2)),IF($AH$2=0,0,AH41/$AH$2*$AI$2),NA()),NA())</f>
        <v>0.19287069656211375</v>
      </c>
      <c r="BB41" t="str">
        <f>IF(B41=0,"–",IF(ABS(B41)&gt;=1000000000,TEXT(B41/1000000000,"0.00")&amp;"B",IF(ABS(B41)&gt;=1000000,TEXT(B41/1000000,"0.0")&amp;"M",TEXT(B41/1000,"0")&amp;"K")))</f>
        <v>545.7M</v>
      </c>
      <c r="CB41" t="inlineStr">
        <is>
          <t>31–60d
overdue</t>
        </is>
      </c>
    </row>
    <row r="42" spans="1:60">
      <c r="A42" s="148" t="inlineStr">
        <is>
          <t>61–90d Doubtful</t>
        </is>
      </c>
      <c r="B42" s="152">
        <f>SUMIFS('Current AR'!$V$6:$V$160,'Current AR'!$Q$6:$Q$160,"&gt;60",'Current AR'!$Q$6:$Q$160,"&lt;=90")</f>
        <v>4021632000</v>
      </c>
      <c r="C42" s="152"/>
      <c r="D42" s="152"/>
      <c r="E42" s="152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>
        <v>-0.26</v>
      </c>
      <c r="S42" s="138">
        <f>SQRT(MAX(0,1-R42^2))</f>
        <v>0.96560861636586492</v>
      </c>
      <c r="T42" s="138" t="e">
        <f>IF(ISNUMBER($B$16),IF(AND($C$16=1,R42&lt;=-COS(PI()*$B$16)),S42,NA()),NA())</f>
        <v>#N/A</v>
      </c>
      <c r="U42" s="138" t="e">
        <f>IF(ISNUMBER($B$16),IF(AND($C$16=2,R42&lt;=-COS(PI()*$B$16)),S42,NA()),NA())</f>
        <v>#N/A</v>
      </c>
      <c r="V42" s="138" t="e">
        <f>IF(ISNUMBER($B$16),IF(AND($C$16=3,R42&lt;=-COS(PI()*$B$16)),S42,NA()),NA())</f>
        <v>#N/A</v>
      </c>
      <c r="W42" s="138" t="e">
        <f>IF(ISNUMBER($B$16),IF(AND($C$16=4,R42&lt;=-COS(PI()*$B$16)),S42,NA()),NA())</f>
        <v>#N/A</v>
      </c>
      <c r="X42" s="138" t="e">
        <f>IF(ISNUMBER($B$16),IF(AND($C$16=5,R42&lt;=-COS(PI()*$B$16)),S42,NA()),NA())</f>
        <v>#N/A</v>
      </c>
      <c r="Y42" s="138">
        <f>IF(ISNUMBER($B$16),IF(AND(ISNUMBER($B$16),R42&gt;=MIN(0,$R$2),R42&lt;=MAX(0,$R$2)),IF($R$2=0,0,R42/$R$2*$S$2),NA()),NA())</f>
        <v>9.6597782065900015E-2</v>
      </c>
      <c r="Z42" s="138">
        <v>-0.26</v>
      </c>
      <c r="AA42" s="138">
        <f>SQRT(MAX(0,1-Z42^2))</f>
        <v>0.96560861636586492</v>
      </c>
      <c r="AB42" s="138" t="e">
        <f>IF(ISNUMBER($B$17),IF(AND($C$17=1,Z42&lt;=-COS(PI()*$B$17)),AA42,NA()),NA())</f>
        <v>#N/A</v>
      </c>
      <c r="AC42" s="138" t="e">
        <f>IF(ISNUMBER($B$17),IF(AND($C$17=2,Z42&lt;=-COS(PI()*$B$17)),AA42,NA()),NA())</f>
        <v>#N/A</v>
      </c>
      <c r="AD42" s="138" t="e">
        <f>IF(ISNUMBER($B$17),IF(AND($C$17=3,Z42&lt;=-COS(PI()*$B$17)),AA42,NA()),NA())</f>
        <v>#N/A</v>
      </c>
      <c r="AE42" s="138" t="e">
        <f>IF(ISNUMBER($B$17),IF(AND($C$17=4,Z42&lt;=-COS(PI()*$B$17)),AA42,NA()),NA())</f>
        <v>#N/A</v>
      </c>
      <c r="AF42" s="138" t="e">
        <f>IF(ISNUMBER($B$17),IF(AND($C$17=5,Z42&lt;=-COS(PI()*$B$17)),AA42,NA()),NA())</f>
        <v>#N/A</v>
      </c>
      <c r="AG42" s="138">
        <f>IF(ISNUMBER($B$17),IF(AND(ISNUMBER($B$17),Z42&gt;=MIN(0,$Z$2),Z42&lt;=MAX(0,$Z$2)),IF($Z$2=0,0,Z42/$Z$2*$AA$2),NA()),NA())</f>
        <v>6.5686127638623068E-2</v>
      </c>
      <c r="AH42" s="138">
        <v>-0.26</v>
      </c>
      <c r="AI42" s="138">
        <f>SQRT(MAX(0,1-AH42^2))</f>
        <v>0.96560861636586492</v>
      </c>
      <c r="AJ42" s="138" t="e">
        <f>IF(ISNUMBER($B$18),IF(AND($C$18=1,AH42&lt;=-COS(PI()*$B$18)),AI42,NA()),NA())</f>
        <v>#N/A</v>
      </c>
      <c r="AK42" s="138" t="e">
        <f>IF(ISNUMBER($B$18),IF(AND($C$18=2,AH42&lt;=-COS(PI()*$B$18)),AI42,NA()),NA())</f>
        <v>#N/A</v>
      </c>
      <c r="AL42" s="138" t="e">
        <f>IF(ISNUMBER($B$18),IF(AND($C$18=3,AH42&lt;=-COS(PI()*$B$18)),AI42,NA()),NA())</f>
        <v>#N/A</v>
      </c>
      <c r="AM42" s="138" t="e">
        <f>IF(ISNUMBER($B$18),IF(AND($C$18=4,AH42&lt;=-COS(PI()*$B$18)),AI42,NA()),NA())</f>
        <v>#N/A</v>
      </c>
      <c r="AN42" s="138" t="e">
        <f>IF(ISNUMBER($B$18),IF(AND($C$18=5,AH42&lt;=-COS(PI()*$B$18)),AI42,NA()),NA())</f>
        <v>#N/A</v>
      </c>
      <c r="AO42" s="138">
        <f>IF(ISNUMBER($B$18),IF(AND(ISNUMBER($B$18),AH42&gt;=MIN(0,$AH$2),AH42&lt;=MAX(0,$AH$2)),IF($AH$2=0,0,AH42/$AH$2*$AI$2),NA()),NA())</f>
        <v>0.17909421823624849</v>
      </c>
      <c r="BB42" t="str">
        <f>IF(B42=0,"–",IF(ABS(B42)&gt;=1000000000,TEXT(B42/1000000000,"0.00")&amp;"B",IF(ABS(B42)&gt;=1000000,TEXT(B42/1000000,"0.0")&amp;"M",TEXT(B42/1000,"0")&amp;"K")))</f>
        <v>4.02B</v>
      </c>
      <c r="CB42" t="inlineStr">
        <is>
          <t>61–90d
&gt;60 days</t>
        </is>
      </c>
    </row>
    <row r="43" spans="1:60">
      <c r="A43" s="148" t="inlineStr">
        <is>
          <t>91–180d Doubtful</t>
        </is>
      </c>
      <c r="B43" s="152">
        <f>SUMIFS('Current AR'!$V$6:$V$160,'Current AR'!$Q$6:$Q$160,"&gt;90",'Current AR'!$Q$6:$Q$160,"&lt;=180")</f>
        <v>0</v>
      </c>
      <c r="C43" s="152"/>
      <c r="D43" s="152"/>
      <c r="E43" s="152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>
        <v>-0.24</v>
      </c>
      <c r="S43" s="138">
        <f>SQRT(MAX(0,1-R43^2))</f>
        <v>0.97077288796092776</v>
      </c>
      <c r="T43" s="138" t="e">
        <f>IF(ISNUMBER($B$16),IF(AND($C$16=1,R43&lt;=-COS(PI()*$B$16)),S43,NA()),NA())</f>
        <v>#N/A</v>
      </c>
      <c r="U43" s="138" t="e">
        <f>IF(ISNUMBER($B$16),IF(AND($C$16=2,R43&lt;=-COS(PI()*$B$16)),S43,NA()),NA())</f>
        <v>#N/A</v>
      </c>
      <c r="V43" s="138" t="e">
        <f>IF(ISNUMBER($B$16),IF(AND($C$16=3,R43&lt;=-COS(PI()*$B$16)),S43,NA()),NA())</f>
        <v>#N/A</v>
      </c>
      <c r="W43" s="138" t="e">
        <f>IF(ISNUMBER($B$16),IF(AND($C$16=4,R43&lt;=-COS(PI()*$B$16)),S43,NA()),NA())</f>
        <v>#N/A</v>
      </c>
      <c r="X43" s="138" t="e">
        <f>IF(ISNUMBER($B$16),IF(AND($C$16=5,R43&lt;=-COS(PI()*$B$16)),S43,NA()),NA())</f>
        <v>#N/A</v>
      </c>
      <c r="Y43" s="138">
        <f>IF(ISNUMBER($B$16),IF(AND(ISNUMBER($B$16),R43&gt;=MIN(0,$R$2),R43&lt;=MAX(0,$R$2)),IF($R$2=0,0,R43/$R$2*$S$2),NA()),NA())</f>
        <v>8.9167183445446163E-2</v>
      </c>
      <c r="Z43" s="138">
        <v>-0.24</v>
      </c>
      <c r="AA43" s="138">
        <f>SQRT(MAX(0,1-Z43^2))</f>
        <v>0.97077288796092776</v>
      </c>
      <c r="AB43" s="138" t="e">
        <f>IF(ISNUMBER($B$17),IF(AND($C$17=1,Z43&lt;=-COS(PI()*$B$17)),AA43,NA()),NA())</f>
        <v>#N/A</v>
      </c>
      <c r="AC43" s="138" t="e">
        <f>IF(ISNUMBER($B$17),IF(AND($C$17=2,Z43&lt;=-COS(PI()*$B$17)),AA43,NA()),NA())</f>
        <v>#N/A</v>
      </c>
      <c r="AD43" s="138" t="e">
        <f>IF(ISNUMBER($B$17),IF(AND($C$17=3,Z43&lt;=-COS(PI()*$B$17)),AA43,NA()),NA())</f>
        <v>#N/A</v>
      </c>
      <c r="AE43" s="138" t="e">
        <f>IF(ISNUMBER($B$17),IF(AND($C$17=4,Z43&lt;=-COS(PI()*$B$17)),AA43,NA()),NA())</f>
        <v>#N/A</v>
      </c>
      <c r="AF43" s="138" t="e">
        <f>IF(ISNUMBER($B$17),IF(AND($C$17=5,Z43&lt;=-COS(PI()*$B$17)),AA43,NA()),NA())</f>
        <v>#N/A</v>
      </c>
      <c r="AG43" s="138">
        <f>IF(ISNUMBER($B$17),IF(AND(ISNUMBER($B$17),Z43&gt;=MIN(0,$Z$2),Z43&lt;=MAX(0,$Z$2)),IF($Z$2=0,0,Z43/$Z$2*$AA$2),NA()),NA())</f>
        <v>6.0633348589498211E-2</v>
      </c>
      <c r="AH43" s="138">
        <v>-0.24</v>
      </c>
      <c r="AI43" s="138">
        <f>SQRT(MAX(0,1-AH43^2))</f>
        <v>0.97077288796092776</v>
      </c>
      <c r="AJ43" s="138" t="e">
        <f>IF(ISNUMBER($B$18),IF(AND($C$18=1,AH43&lt;=-COS(PI()*$B$18)),AI43,NA()),NA())</f>
        <v>#N/A</v>
      </c>
      <c r="AK43" s="138" t="e">
        <f>IF(ISNUMBER($B$18),IF(AND($C$18=2,AH43&lt;=-COS(PI()*$B$18)),AI43,NA()),NA())</f>
        <v>#N/A</v>
      </c>
      <c r="AL43" s="138" t="e">
        <f>IF(ISNUMBER($B$18),IF(AND($C$18=3,AH43&lt;=-COS(PI()*$B$18)),AI43,NA()),NA())</f>
        <v>#N/A</v>
      </c>
      <c r="AM43" s="138" t="e">
        <f>IF(ISNUMBER($B$18),IF(AND($C$18=4,AH43&lt;=-COS(PI()*$B$18)),AI43,NA()),NA())</f>
        <v>#N/A</v>
      </c>
      <c r="AN43" s="138" t="e">
        <f>IF(ISNUMBER($B$18),IF(AND($C$18=5,AH43&lt;=-COS(PI()*$B$18)),AI43,NA()),NA())</f>
        <v>#N/A</v>
      </c>
      <c r="AO43" s="138">
        <f>IF(ISNUMBER($B$18),IF(AND(ISNUMBER($B$18),AH43&gt;=MIN(0,$AH$2),AH43&lt;=MAX(0,$AH$2)),IF($AH$2=0,0,AH43/$AH$2*$AI$2),NA()),NA())</f>
        <v>0.1653177399103832</v>
      </c>
      <c r="BB43" t="str">
        <f>IF(B43=0,"–",IF(ABS(B43)&gt;=1000000000,TEXT(B43/1000000000,"0.00")&amp;"B",IF(ABS(B43)&gt;=1000000,TEXT(B43/1000000,"0.0")&amp;"M",TEXT(B43/1000,"0")&amp;"K")))</f>
        <v>–</v>
      </c>
      <c r="CB43" t="inlineStr">
        <is>
          <t>91–180d
&gt;60 days</t>
        </is>
      </c>
    </row>
    <row r="44" spans="1:60">
      <c r="A44" s="148" t="inlineStr">
        <is>
          <t>&gt;180d Doubtful</t>
        </is>
      </c>
      <c r="B44" s="152">
        <f>SUMIFS('Current AR'!$V$6:$V$160,'Current AR'!$Q$6:$Q$160,"&gt;180")</f>
        <v>0</v>
      </c>
      <c r="C44" s="152"/>
      <c r="D44" s="152"/>
      <c r="E44" s="152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>
        <v>-0.22</v>
      </c>
      <c r="S44" s="138">
        <f>SQRT(MAX(0,1-R44^2))</f>
        <v>0.97549987186057585</v>
      </c>
      <c r="T44" s="138" t="e">
        <f>IF(ISNUMBER($B$16),IF(AND($C$16=1,R44&lt;=-COS(PI()*$B$16)),S44,NA()),NA())</f>
        <v>#N/A</v>
      </c>
      <c r="U44" s="138" t="e">
        <f>IF(ISNUMBER($B$16),IF(AND($C$16=2,R44&lt;=-COS(PI()*$B$16)),S44,NA()),NA())</f>
        <v>#N/A</v>
      </c>
      <c r="V44" s="138" t="e">
        <f>IF(ISNUMBER($B$16),IF(AND($C$16=3,R44&lt;=-COS(PI()*$B$16)),S44,NA()),NA())</f>
        <v>#N/A</v>
      </c>
      <c r="W44" s="138" t="e">
        <f>IF(ISNUMBER($B$16),IF(AND($C$16=4,R44&lt;=-COS(PI()*$B$16)),S44,NA()),NA())</f>
        <v>#N/A</v>
      </c>
      <c r="X44" s="138" t="e">
        <f>IF(ISNUMBER($B$16),IF(AND($C$16=5,R44&lt;=-COS(PI()*$B$16)),S44,NA()),NA())</f>
        <v>#N/A</v>
      </c>
      <c r="Y44" s="138">
        <f>IF(ISNUMBER($B$16),IF(AND(ISNUMBER($B$16),R44&gt;=MIN(0,$R$2),R44&lt;=MAX(0,$R$2)),IF($R$2=0,0,R44/$R$2*$S$2),NA()),NA())</f>
        <v>8.1736584824992312E-2</v>
      </c>
      <c r="Z44" s="138">
        <v>-0.22</v>
      </c>
      <c r="AA44" s="138">
        <f>SQRT(MAX(0,1-Z44^2))</f>
        <v>0.97549987186057585</v>
      </c>
      <c r="AB44" s="138" t="e">
        <f>IF(ISNUMBER($B$17),IF(AND($C$17=1,Z44&lt;=-COS(PI()*$B$17)),AA44,NA()),NA())</f>
        <v>#N/A</v>
      </c>
      <c r="AC44" s="138" t="e">
        <f>IF(ISNUMBER($B$17),IF(AND($C$17=2,Z44&lt;=-COS(PI()*$B$17)),AA44,NA()),NA())</f>
        <v>#N/A</v>
      </c>
      <c r="AD44" s="138" t="e">
        <f>IF(ISNUMBER($B$17),IF(AND($C$17=3,Z44&lt;=-COS(PI()*$B$17)),AA44,NA()),NA())</f>
        <v>#N/A</v>
      </c>
      <c r="AE44" s="138" t="e">
        <f>IF(ISNUMBER($B$17),IF(AND($C$17=4,Z44&lt;=-COS(PI()*$B$17)),AA44,NA()),NA())</f>
        <v>#N/A</v>
      </c>
      <c r="AF44" s="138" t="e">
        <f>IF(ISNUMBER($B$17),IF(AND($C$17=5,Z44&lt;=-COS(PI()*$B$17)),AA44,NA()),NA())</f>
        <v>#N/A</v>
      </c>
      <c r="AG44" s="138">
        <f>IF(ISNUMBER($B$17),IF(AND(ISNUMBER($B$17),Z44&gt;=MIN(0,$Z$2),Z44&lt;=MAX(0,$Z$2)),IF($Z$2=0,0,Z44/$Z$2*$AA$2),NA()),NA())</f>
        <v>5.5580569540373367E-2</v>
      </c>
      <c r="AH44" s="138">
        <v>-0.22</v>
      </c>
      <c r="AI44" s="138">
        <f>SQRT(MAX(0,1-AH44^2))</f>
        <v>0.97549987186057585</v>
      </c>
      <c r="AJ44" s="138" t="e">
        <f>IF(ISNUMBER($B$18),IF(AND($C$18=1,AH44&lt;=-COS(PI()*$B$18)),AI44,NA()),NA())</f>
        <v>#N/A</v>
      </c>
      <c r="AK44" s="138" t="e">
        <f>IF(ISNUMBER($B$18),IF(AND($C$18=2,AH44&lt;=-COS(PI()*$B$18)),AI44,NA()),NA())</f>
        <v>#N/A</v>
      </c>
      <c r="AL44" s="138" t="e">
        <f>IF(ISNUMBER($B$18),IF(AND($C$18=3,AH44&lt;=-COS(PI()*$B$18)),AI44,NA()),NA())</f>
        <v>#N/A</v>
      </c>
      <c r="AM44" s="138" t="e">
        <f>IF(ISNUMBER($B$18),IF(AND($C$18=4,AH44&lt;=-COS(PI()*$B$18)),AI44,NA()),NA())</f>
        <v>#N/A</v>
      </c>
      <c r="AN44" s="138" t="e">
        <f>IF(ISNUMBER($B$18),IF(AND($C$18=5,AH44&lt;=-COS(PI()*$B$18)),AI44,NA()),NA())</f>
        <v>#N/A</v>
      </c>
      <c r="AO44" s="138">
        <f>IF(ISNUMBER($B$18),IF(AND(ISNUMBER($B$18),AH44&gt;=MIN(0,$AH$2),AH44&lt;=MAX(0,$AH$2)),IF($AH$2=0,0,AH44/$AH$2*$AI$2),NA()),NA())</f>
        <v>0.15154126158451794</v>
      </c>
      <c r="BB44" t="str">
        <f>IF(B44=0,"–",IF(ABS(B44)&gt;=1000000000,TEXT(B44/1000000000,"0.00")&amp;"B",IF(ABS(B44)&gt;=1000000,TEXT(B44/1000000,"0.0")&amp;"M",TEXT(B44/1000,"0")&amp;"K")))</f>
        <v>–</v>
      </c>
      <c r="CB44" t="inlineStr">
        <is>
          <t>&gt;180d
&gt;60 days</t>
        </is>
      </c>
    </row>
    <row r="45" spans="1:60">
      <c r="A45" s="148"/>
      <c r="B45" s="152"/>
      <c r="C45" s="152"/>
      <c r="D45" s="152"/>
      <c r="E45" s="152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>
        <v>-0.2</v>
      </c>
      <c r="S45" s="138">
        <f>SQRT(MAX(0,1-R45^2))</f>
        <v>0.9797958971132712</v>
      </c>
      <c r="T45" s="138" t="e">
        <f>IF(ISNUMBER($B$16),IF(AND($C$16=1,R45&lt;=-COS(PI()*$B$16)),S45,NA()),NA())</f>
        <v>#N/A</v>
      </c>
      <c r="U45" s="138" t="e">
        <f>IF(ISNUMBER($B$16),IF(AND($C$16=2,R45&lt;=-COS(PI()*$B$16)),S45,NA()),NA())</f>
        <v>#N/A</v>
      </c>
      <c r="V45" s="138" t="e">
        <f>IF(ISNUMBER($B$16),IF(AND($C$16=3,R45&lt;=-COS(PI()*$B$16)),S45,NA()),NA())</f>
        <v>#N/A</v>
      </c>
      <c r="W45" s="138" t="e">
        <f>IF(ISNUMBER($B$16),IF(AND($C$16=4,R45&lt;=-COS(PI()*$B$16)),S45,NA()),NA())</f>
        <v>#N/A</v>
      </c>
      <c r="X45" s="138" t="e">
        <f>IF(ISNUMBER($B$16),IF(AND($C$16=5,R45&lt;=-COS(PI()*$B$16)),S45,NA()),NA())</f>
        <v>#N/A</v>
      </c>
      <c r="Y45" s="138">
        <f>IF(ISNUMBER($B$16),IF(AND(ISNUMBER($B$16),R45&gt;=MIN(0,$R$2),R45&lt;=MAX(0,$R$2)),IF($R$2=0,0,R45/$R$2*$S$2),NA()),NA())</f>
        <v>7.4305986204538474E-2</v>
      </c>
      <c r="Z45" s="138">
        <v>-0.2</v>
      </c>
      <c r="AA45" s="138">
        <f>SQRT(MAX(0,1-Z45^2))</f>
        <v>0.9797958971132712</v>
      </c>
      <c r="AB45" s="138" t="e">
        <f>IF(ISNUMBER($B$17),IF(AND($C$17=1,Z45&lt;=-COS(PI()*$B$17)),AA45,NA()),NA())</f>
        <v>#N/A</v>
      </c>
      <c r="AC45" s="138" t="e">
        <f>IF(ISNUMBER($B$17),IF(AND($C$17=2,Z45&lt;=-COS(PI()*$B$17)),AA45,NA()),NA())</f>
        <v>#N/A</v>
      </c>
      <c r="AD45" s="138" t="e">
        <f>IF(ISNUMBER($B$17),IF(AND($C$17=3,Z45&lt;=-COS(PI()*$B$17)),AA45,NA()),NA())</f>
        <v>#N/A</v>
      </c>
      <c r="AE45" s="138" t="e">
        <f>IF(ISNUMBER($B$17),IF(AND($C$17=4,Z45&lt;=-COS(PI()*$B$17)),AA45,NA()),NA())</f>
        <v>#N/A</v>
      </c>
      <c r="AF45" s="138" t="e">
        <f>IF(ISNUMBER($B$17),IF(AND($C$17=5,Z45&lt;=-COS(PI()*$B$17)),AA45,NA()),NA())</f>
        <v>#N/A</v>
      </c>
      <c r="AG45" s="138">
        <f>IF(ISNUMBER($B$17),IF(AND(ISNUMBER($B$17),Z45&gt;=MIN(0,$Z$2),Z45&lt;=MAX(0,$Z$2)),IF($Z$2=0,0,Z45/$Z$2*$AA$2),NA()),NA())</f>
        <v>5.0527790491248517E-2</v>
      </c>
      <c r="AH45" s="138">
        <v>-0.2</v>
      </c>
      <c r="AI45" s="138">
        <f>SQRT(MAX(0,1-AH45^2))</f>
        <v>0.9797958971132712</v>
      </c>
      <c r="AJ45" s="138" t="e">
        <f>IF(ISNUMBER($B$18),IF(AND($C$18=1,AH45&lt;=-COS(PI()*$B$18)),AI45,NA()),NA())</f>
        <v>#N/A</v>
      </c>
      <c r="AK45" s="138" t="e">
        <f>IF(ISNUMBER($B$18),IF(AND($C$18=2,AH45&lt;=-COS(PI()*$B$18)),AI45,NA()),NA())</f>
        <v>#N/A</v>
      </c>
      <c r="AL45" s="138" t="e">
        <f>IF(ISNUMBER($B$18),IF(AND($C$18=3,AH45&lt;=-COS(PI()*$B$18)),AI45,NA()),NA())</f>
        <v>#N/A</v>
      </c>
      <c r="AM45" s="138" t="e">
        <f>IF(ISNUMBER($B$18),IF(AND($C$18=4,AH45&lt;=-COS(PI()*$B$18)),AI45,NA()),NA())</f>
        <v>#N/A</v>
      </c>
      <c r="AN45" s="138" t="e">
        <f>IF(ISNUMBER($B$18),IF(AND($C$18=5,AH45&lt;=-COS(PI()*$B$18)),AI45,NA()),NA())</f>
        <v>#N/A</v>
      </c>
      <c r="AO45" s="138">
        <f>IF(ISNUMBER($B$18),IF(AND(ISNUMBER($B$18),AH45&gt;=MIN(0,$AH$2),AH45&lt;=MAX(0,$AH$2)),IF($AH$2=0,0,AH45/$AH$2*$AI$2),NA()),NA())</f>
        <v>0.13776478325865268</v>
      </c>
    </row>
    <row r="46" spans="1:60">
      <c r="A46" s="148"/>
      <c r="B46" s="152"/>
      <c r="C46" s="152"/>
      <c r="D46" s="152"/>
      <c r="E46" s="152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>
        <v>-0.18</v>
      </c>
      <c r="S46" s="138">
        <f>SQRT(MAX(0,1-R46^2))</f>
        <v>0.98366661018863499</v>
      </c>
      <c r="T46" s="138" t="e">
        <f>IF(ISNUMBER($B$16),IF(AND($C$16=1,R46&lt;=-COS(PI()*$B$16)),S46,NA()),NA())</f>
        <v>#N/A</v>
      </c>
      <c r="U46" s="138" t="e">
        <f>IF(ISNUMBER($B$16),IF(AND($C$16=2,R46&lt;=-COS(PI()*$B$16)),S46,NA()),NA())</f>
        <v>#N/A</v>
      </c>
      <c r="V46" s="138" t="e">
        <f>IF(ISNUMBER($B$16),IF(AND($C$16=3,R46&lt;=-COS(PI()*$B$16)),S46,NA()),NA())</f>
        <v>#N/A</v>
      </c>
      <c r="W46" s="138" t="e">
        <f>IF(ISNUMBER($B$16),IF(AND($C$16=4,R46&lt;=-COS(PI()*$B$16)),S46,NA()),NA())</f>
        <v>#N/A</v>
      </c>
      <c r="X46" s="138" t="e">
        <f>IF(ISNUMBER($B$16),IF(AND($C$16=5,R46&lt;=-COS(PI()*$B$16)),S46,NA()),NA())</f>
        <v>#N/A</v>
      </c>
      <c r="Y46" s="138">
        <f>IF(ISNUMBER($B$16),IF(AND(ISNUMBER($B$16),R46&gt;=MIN(0,$R$2),R46&lt;=MAX(0,$R$2)),IF($R$2=0,0,R46/$R$2*$S$2),NA()),NA())</f>
        <v>6.6875387584084622E-2</v>
      </c>
      <c r="Z46" s="138">
        <v>-0.18</v>
      </c>
      <c r="AA46" s="138">
        <f>SQRT(MAX(0,1-Z46^2))</f>
        <v>0.98366661018863499</v>
      </c>
      <c r="AB46" s="138" t="e">
        <f>IF(ISNUMBER($B$17),IF(AND($C$17=1,Z46&lt;=-COS(PI()*$B$17)),AA46,NA()),NA())</f>
        <v>#N/A</v>
      </c>
      <c r="AC46" s="138" t="e">
        <f>IF(ISNUMBER($B$17),IF(AND($C$17=2,Z46&lt;=-COS(PI()*$B$17)),AA46,NA()),NA())</f>
        <v>#N/A</v>
      </c>
      <c r="AD46" s="138" t="e">
        <f>IF(ISNUMBER($B$17),IF(AND($C$17=3,Z46&lt;=-COS(PI()*$B$17)),AA46,NA()),NA())</f>
        <v>#N/A</v>
      </c>
      <c r="AE46" s="138" t="e">
        <f>IF(ISNUMBER($B$17),IF(AND($C$17=4,Z46&lt;=-COS(PI()*$B$17)),AA46,NA()),NA())</f>
        <v>#N/A</v>
      </c>
      <c r="AF46" s="138" t="e">
        <f>IF(ISNUMBER($B$17),IF(AND($C$17=5,Z46&lt;=-COS(PI()*$B$17)),AA46,NA()),NA())</f>
        <v>#N/A</v>
      </c>
      <c r="AG46" s="138">
        <f>IF(ISNUMBER($B$17),IF(AND(ISNUMBER($B$17),Z46&gt;=MIN(0,$Z$2),Z46&lt;=MAX(0,$Z$2)),IF($Z$2=0,0,Z46/$Z$2*$AA$2),NA()),NA())</f>
        <v>4.547501144212366E-2</v>
      </c>
      <c r="AH46" s="138">
        <v>-0.18</v>
      </c>
      <c r="AI46" s="138">
        <f>SQRT(MAX(0,1-AH46^2))</f>
        <v>0.98366661018863499</v>
      </c>
      <c r="AJ46" s="138" t="e">
        <f>IF(ISNUMBER($B$18),IF(AND($C$18=1,AH46&lt;=-COS(PI()*$B$18)),AI46,NA()),NA())</f>
        <v>#N/A</v>
      </c>
      <c r="AK46" s="138" t="e">
        <f>IF(ISNUMBER($B$18),IF(AND($C$18=2,AH46&lt;=-COS(PI()*$B$18)),AI46,NA()),NA())</f>
        <v>#N/A</v>
      </c>
      <c r="AL46" s="138" t="e">
        <f>IF(ISNUMBER($B$18),IF(AND($C$18=3,AH46&lt;=-COS(PI()*$B$18)),AI46,NA()),NA())</f>
        <v>#N/A</v>
      </c>
      <c r="AM46" s="138" t="e">
        <f>IF(ISNUMBER($B$18),IF(AND($C$18=4,AH46&lt;=-COS(PI()*$B$18)),AI46,NA()),NA())</f>
        <v>#N/A</v>
      </c>
      <c r="AN46" s="138" t="e">
        <f>IF(ISNUMBER($B$18),IF(AND($C$18=5,AH46&lt;=-COS(PI()*$B$18)),AI46,NA()),NA())</f>
        <v>#N/A</v>
      </c>
      <c r="AO46" s="138">
        <f>IF(ISNUMBER($B$18),IF(AND(ISNUMBER($B$18),AH46&gt;=MIN(0,$AH$2),AH46&lt;=MAX(0,$AH$2)),IF($AH$2=0,0,AH46/$AH$2*$AI$2),NA()),NA())</f>
        <v>0.1239883049327874</v>
      </c>
    </row>
    <row r="47" spans="1:60">
      <c r="A47" s="149"/>
      <c r="B47" s="153"/>
      <c r="C47" s="153"/>
      <c r="D47" s="153"/>
      <c r="E47" s="152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>
        <v>-0.16</v>
      </c>
      <c r="S47" s="138">
        <f>SQRT(MAX(0,1-R47^2))</f>
        <v>0.98711701434024535</v>
      </c>
      <c r="T47" s="138" t="e">
        <f>IF(ISNUMBER($B$16),IF(AND($C$16=1,R47&lt;=-COS(PI()*$B$16)),S47,NA()),NA())</f>
        <v>#N/A</v>
      </c>
      <c r="U47" s="138" t="e">
        <f>IF(ISNUMBER($B$16),IF(AND($C$16=2,R47&lt;=-COS(PI()*$B$16)),S47,NA()),NA())</f>
        <v>#N/A</v>
      </c>
      <c r="V47" s="138" t="e">
        <f>IF(ISNUMBER($B$16),IF(AND($C$16=3,R47&lt;=-COS(PI()*$B$16)),S47,NA()),NA())</f>
        <v>#N/A</v>
      </c>
      <c r="W47" s="138" t="e">
        <f>IF(ISNUMBER($B$16),IF(AND($C$16=4,R47&lt;=-COS(PI()*$B$16)),S47,NA()),NA())</f>
        <v>#N/A</v>
      </c>
      <c r="X47" s="138" t="e">
        <f>IF(ISNUMBER($B$16),IF(AND($C$16=5,R47&lt;=-COS(PI()*$B$16)),S47,NA()),NA())</f>
        <v>#N/A</v>
      </c>
      <c r="Y47" s="138">
        <f>IF(ISNUMBER($B$16),IF(AND(ISNUMBER($B$16),R47&gt;=MIN(0,$R$2),R47&lt;=MAX(0,$R$2)),IF($R$2=0,0,R47/$R$2*$S$2),NA()),NA())</f>
        <v>5.9444788963630778E-2</v>
      </c>
      <c r="Z47" s="138">
        <v>-0.16</v>
      </c>
      <c r="AA47" s="138">
        <f>SQRT(MAX(0,1-Z47^2))</f>
        <v>0.98711701434024535</v>
      </c>
      <c r="AB47" s="138" t="e">
        <f>IF(ISNUMBER($B$17),IF(AND($C$17=1,Z47&lt;=-COS(PI()*$B$17)),AA47,NA()),NA())</f>
        <v>#N/A</v>
      </c>
      <c r="AC47" s="138" t="e">
        <f>IF(ISNUMBER($B$17),IF(AND($C$17=2,Z47&lt;=-COS(PI()*$B$17)),AA47,NA()),NA())</f>
        <v>#N/A</v>
      </c>
      <c r="AD47" s="138" t="e">
        <f>IF(ISNUMBER($B$17),IF(AND($C$17=3,Z47&lt;=-COS(PI()*$B$17)),AA47,NA()),NA())</f>
        <v>#N/A</v>
      </c>
      <c r="AE47" s="138" t="e">
        <f>IF(ISNUMBER($B$17),IF(AND($C$17=4,Z47&lt;=-COS(PI()*$B$17)),AA47,NA()),NA())</f>
        <v>#N/A</v>
      </c>
      <c r="AF47" s="138" t="e">
        <f>IF(ISNUMBER($B$17),IF(AND($C$17=5,Z47&lt;=-COS(PI()*$B$17)),AA47,NA()),NA())</f>
        <v>#N/A</v>
      </c>
      <c r="AG47" s="138">
        <f>IF(ISNUMBER($B$17),IF(AND(ISNUMBER($B$17),Z47&gt;=MIN(0,$Z$2),Z47&lt;=MAX(0,$Z$2)),IF($Z$2=0,0,Z47/$Z$2*$AA$2),NA()),NA())</f>
        <v>4.0422232392998809E-2</v>
      </c>
      <c r="AH47" s="138">
        <v>-0.16</v>
      </c>
      <c r="AI47" s="138">
        <f>SQRT(MAX(0,1-AH47^2))</f>
        <v>0.98711701434024535</v>
      </c>
      <c r="AJ47" s="138" t="e">
        <f>IF(ISNUMBER($B$18),IF(AND($C$18=1,AH47&lt;=-COS(PI()*$B$18)),AI47,NA()),NA())</f>
        <v>#N/A</v>
      </c>
      <c r="AK47" s="138" t="e">
        <f>IF(ISNUMBER($B$18),IF(AND($C$18=2,AH47&lt;=-COS(PI()*$B$18)),AI47,NA()),NA())</f>
        <v>#N/A</v>
      </c>
      <c r="AL47" s="138" t="e">
        <f>IF(ISNUMBER($B$18),IF(AND($C$18=3,AH47&lt;=-COS(PI()*$B$18)),AI47,NA()),NA())</f>
        <v>#N/A</v>
      </c>
      <c r="AM47" s="138" t="e">
        <f>IF(ISNUMBER($B$18),IF(AND($C$18=4,AH47&lt;=-COS(PI()*$B$18)),AI47,NA()),NA())</f>
        <v>#N/A</v>
      </c>
      <c r="AN47" s="138" t="e">
        <f>IF(ISNUMBER($B$18),IF(AND($C$18=5,AH47&lt;=-COS(PI()*$B$18)),AI47,NA()),NA())</f>
        <v>#N/A</v>
      </c>
      <c r="AO47" s="138">
        <f>IF(ISNUMBER($B$18),IF(AND(ISNUMBER($B$18),AH47&gt;=MIN(0,$AH$2),AH47&lt;=MAX(0,$AH$2)),IF($AH$2=0,0,AH47/$AH$2*$AI$2),NA()),NA())</f>
        <v>0.11021182660692214</v>
      </c>
    </row>
    <row r="48" spans="1:60">
      <c r="A48" s="148" t="inlineStr">
        <is>
          <t>Days 0–6</t>
        </is>
      </c>
      <c r="B48" s="152">
        <f>SUMIFS('Current AR'!$V$6:$V$103,'Current AR'!$F$6:$F$103,"&gt;="&amp;Dashboard!D2+0,'Current AR'!$F$6:$F$103,"&lt;="&amp;Dashboard!D2+6)</f>
        <v>651346787.3433</v>
      </c>
      <c r="C48" s="152"/>
      <c r="D48" s="152"/>
      <c r="E48" s="152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>
        <v>-0.14000000000000001</v>
      </c>
      <c r="S48" s="138">
        <f>SQRT(MAX(0,1-R48^2))</f>
        <v>0.99015150355892512</v>
      </c>
      <c r="T48" s="138" t="e">
        <f>IF(ISNUMBER($B$16),IF(AND($C$16=1,R48&lt;=-COS(PI()*$B$16)),S48,NA()),NA())</f>
        <v>#N/A</v>
      </c>
      <c r="U48" s="138" t="e">
        <f>IF(ISNUMBER($B$16),IF(AND($C$16=2,R48&lt;=-COS(PI()*$B$16)),S48,NA()),NA())</f>
        <v>#N/A</v>
      </c>
      <c r="V48" s="138" t="e">
        <f>IF(ISNUMBER($B$16),IF(AND($C$16=3,R48&lt;=-COS(PI()*$B$16)),S48,NA()),NA())</f>
        <v>#N/A</v>
      </c>
      <c r="W48" s="138" t="e">
        <f>IF(ISNUMBER($B$16),IF(AND($C$16=4,R48&lt;=-COS(PI()*$B$16)),S48,NA()),NA())</f>
        <v>#N/A</v>
      </c>
      <c r="X48" s="138" t="e">
        <f>IF(ISNUMBER($B$16),IF(AND($C$16=5,R48&lt;=-COS(PI()*$B$16)),S48,NA()),NA())</f>
        <v>#N/A</v>
      </c>
      <c r="Y48" s="138">
        <f>IF(ISNUMBER($B$16),IF(AND(ISNUMBER($B$16),R48&gt;=MIN(0,$R$2),R48&lt;=MAX(0,$R$2)),IF($R$2=0,0,R48/$R$2*$S$2),NA()),NA())</f>
        <v>5.2014190343176933E-2</v>
      </c>
      <c r="Z48" s="138">
        <v>-0.14000000000000001</v>
      </c>
      <c r="AA48" s="138">
        <f>SQRT(MAX(0,1-Z48^2))</f>
        <v>0.99015150355892512</v>
      </c>
      <c r="AB48" s="138" t="e">
        <f>IF(ISNUMBER($B$17),IF(AND($C$17=1,Z48&lt;=-COS(PI()*$B$17)),AA48,NA()),NA())</f>
        <v>#N/A</v>
      </c>
      <c r="AC48" s="138" t="e">
        <f>IF(ISNUMBER($B$17),IF(AND($C$17=2,Z48&lt;=-COS(PI()*$B$17)),AA48,NA()),NA())</f>
        <v>#N/A</v>
      </c>
      <c r="AD48" s="138" t="e">
        <f>IF(ISNUMBER($B$17),IF(AND($C$17=3,Z48&lt;=-COS(PI()*$B$17)),AA48,NA()),NA())</f>
        <v>#N/A</v>
      </c>
      <c r="AE48" s="138" t="e">
        <f>IF(ISNUMBER($B$17),IF(AND($C$17=4,Z48&lt;=-COS(PI()*$B$17)),AA48,NA()),NA())</f>
        <v>#N/A</v>
      </c>
      <c r="AF48" s="138" t="e">
        <f>IF(ISNUMBER($B$17),IF(AND($C$17=5,Z48&lt;=-COS(PI()*$B$17)),AA48,NA()),NA())</f>
        <v>#N/A</v>
      </c>
      <c r="AG48" s="138">
        <f>IF(ISNUMBER($B$17),IF(AND(ISNUMBER($B$17),Z48&gt;=MIN(0,$Z$2),Z48&lt;=MAX(0,$Z$2)),IF($Z$2=0,0,Z48/$Z$2*$AA$2),NA()),NA())</f>
        <v>3.5369453343873966E-2</v>
      </c>
      <c r="AH48" s="138">
        <v>-0.14000000000000001</v>
      </c>
      <c r="AI48" s="138">
        <f>SQRT(MAX(0,1-AH48^2))</f>
        <v>0.99015150355892512</v>
      </c>
      <c r="AJ48" s="138" t="e">
        <f>IF(ISNUMBER($B$18),IF(AND($C$18=1,AH48&lt;=-COS(PI()*$B$18)),AI48,NA()),NA())</f>
        <v>#N/A</v>
      </c>
      <c r="AK48" s="138" t="e">
        <f>IF(ISNUMBER($B$18),IF(AND($C$18=2,AH48&lt;=-COS(PI()*$B$18)),AI48,NA()),NA())</f>
        <v>#N/A</v>
      </c>
      <c r="AL48" s="138" t="e">
        <f>IF(ISNUMBER($B$18),IF(AND($C$18=3,AH48&lt;=-COS(PI()*$B$18)),AI48,NA()),NA())</f>
        <v>#N/A</v>
      </c>
      <c r="AM48" s="138" t="e">
        <f>IF(ISNUMBER($B$18),IF(AND($C$18=4,AH48&lt;=-COS(PI()*$B$18)),AI48,NA()),NA())</f>
        <v>#N/A</v>
      </c>
      <c r="AN48" s="138" t="e">
        <f>IF(ISNUMBER($B$18),IF(AND($C$18=5,AH48&lt;=-COS(PI()*$B$18)),AI48,NA()),NA())</f>
        <v>#N/A</v>
      </c>
      <c r="AO48" s="138">
        <f>IF(ISNUMBER($B$18),IF(AND(ISNUMBER($B$18),AH48&gt;=MIN(0,$AH$2),AH48&lt;=MAX(0,$AH$2)),IF($AH$2=0,0,AH48/$AH$2*$AI$2),NA()),NA())</f>
        <v>9.6435348281056876E-2</v>
      </c>
      <c r="BC48" t="str">
        <f>IF(B48=0,"",IF(ABS(B48)&gt;=1000000000,TEXT(B48/1000000000,IF(MOD(ROUND(B48/1000000000,2),1)=0,"0","0.00"))&amp;" B VND",IF(ABS(B48)&gt;=1000000,TEXT(B48/1000000,IF(MOD(ROUND(B48/1000000,2),1)=0,"0","0.00"))&amp;" M VND",TEXT(B48/1000,IF(MOD(ROUND(B48/1000,2),1)=0,"0","0.00"))&amp;"k")))</f>
        <v>621.93M VND</v>
      </c>
    </row>
    <row r="49" spans="1:55">
      <c r="A49" s="148" t="inlineStr">
        <is>
          <t>Days 7–13</t>
        </is>
      </c>
      <c r="B49" s="152">
        <f>SUMIFS('Current AR'!$V$6:$V$103,'Current AR'!$F$6:$F$103,"&gt;="&amp;Dashboard!D2+7,'Current AR'!$F$6:$F$103,"&lt;="&amp;Dashboard!D2+13)</f>
        <v>3159449851.1681995</v>
      </c>
      <c r="C49" s="152"/>
      <c r="D49" s="152"/>
      <c r="E49" s="152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>
        <v>-0.12</v>
      </c>
      <c r="S49" s="138">
        <f>SQRT(MAX(0,1-R49^2))</f>
        <v>0.99277389167926855</v>
      </c>
      <c r="T49" s="138" t="e">
        <f>IF(ISNUMBER($B$16),IF(AND($C$16=1,R49&lt;=-COS(PI()*$B$16)),S49,NA()),NA())</f>
        <v>#N/A</v>
      </c>
      <c r="U49" s="138" t="e">
        <f>IF(ISNUMBER($B$16),IF(AND($C$16=2,R49&lt;=-COS(PI()*$B$16)),S49,NA()),NA())</f>
        <v>#N/A</v>
      </c>
      <c r="V49" s="138" t="e">
        <f>IF(ISNUMBER($B$16),IF(AND($C$16=3,R49&lt;=-COS(PI()*$B$16)),S49,NA()),NA())</f>
        <v>#N/A</v>
      </c>
      <c r="W49" s="138" t="e">
        <f>IF(ISNUMBER($B$16),IF(AND($C$16=4,R49&lt;=-COS(PI()*$B$16)),S49,NA()),NA())</f>
        <v>#N/A</v>
      </c>
      <c r="X49" s="138" t="e">
        <f>IF(ISNUMBER($B$16),IF(AND($C$16=5,R49&lt;=-COS(PI()*$B$16)),S49,NA()),NA())</f>
        <v>#N/A</v>
      </c>
      <c r="Y49" s="138">
        <f>IF(ISNUMBER($B$16),IF(AND(ISNUMBER($B$16),R49&gt;=MIN(0,$R$2),R49&lt;=MAX(0,$R$2)),IF($R$2=0,0,R49/$R$2*$S$2),NA()),NA())</f>
        <v>4.4583591722723082E-2</v>
      </c>
      <c r="Z49" s="138">
        <v>-0.12</v>
      </c>
      <c r="AA49" s="138">
        <f>SQRT(MAX(0,1-Z49^2))</f>
        <v>0.99277389167926855</v>
      </c>
      <c r="AB49" s="138" t="e">
        <f>IF(ISNUMBER($B$17),IF(AND($C$17=1,Z49&lt;=-COS(PI()*$B$17)),AA49,NA()),NA())</f>
        <v>#N/A</v>
      </c>
      <c r="AC49" s="138" t="e">
        <f>IF(ISNUMBER($B$17),IF(AND($C$17=2,Z49&lt;=-COS(PI()*$B$17)),AA49,NA()),NA())</f>
        <v>#N/A</v>
      </c>
      <c r="AD49" s="138" t="e">
        <f>IF(ISNUMBER($B$17),IF(AND($C$17=3,Z49&lt;=-COS(PI()*$B$17)),AA49,NA()),NA())</f>
        <v>#N/A</v>
      </c>
      <c r="AE49" s="138" t="e">
        <f>IF(ISNUMBER($B$17),IF(AND($C$17=4,Z49&lt;=-COS(PI()*$B$17)),AA49,NA()),NA())</f>
        <v>#N/A</v>
      </c>
      <c r="AF49" s="138" t="e">
        <f>IF(ISNUMBER($B$17),IF(AND($C$17=5,Z49&lt;=-COS(PI()*$B$17)),AA49,NA()),NA())</f>
        <v>#N/A</v>
      </c>
      <c r="AG49" s="138">
        <f>IF(ISNUMBER($B$17),IF(AND(ISNUMBER($B$17),Z49&gt;=MIN(0,$Z$2),Z49&lt;=MAX(0,$Z$2)),IF($Z$2=0,0,Z49/$Z$2*$AA$2),NA()),NA())</f>
        <v>3.0316674294749105E-2</v>
      </c>
      <c r="AH49" s="138">
        <v>-0.12</v>
      </c>
      <c r="AI49" s="138">
        <f>SQRT(MAX(0,1-AH49^2))</f>
        <v>0.99277389167926855</v>
      </c>
      <c r="AJ49" s="138" t="e">
        <f>IF(ISNUMBER($B$18),IF(AND($C$18=1,AH49&lt;=-COS(PI()*$B$18)),AI49,NA()),NA())</f>
        <v>#N/A</v>
      </c>
      <c r="AK49" s="138" t="e">
        <f>IF(ISNUMBER($B$18),IF(AND($C$18=2,AH49&lt;=-COS(PI()*$B$18)),AI49,NA()),NA())</f>
        <v>#N/A</v>
      </c>
      <c r="AL49" s="138" t="e">
        <f>IF(ISNUMBER($B$18),IF(AND($C$18=3,AH49&lt;=-COS(PI()*$B$18)),AI49,NA()),NA())</f>
        <v>#N/A</v>
      </c>
      <c r="AM49" s="138" t="e">
        <f>IF(ISNUMBER($B$18),IF(AND($C$18=4,AH49&lt;=-COS(PI()*$B$18)),AI49,NA()),NA())</f>
        <v>#N/A</v>
      </c>
      <c r="AN49" s="138" t="e">
        <f>IF(ISNUMBER($B$18),IF(AND($C$18=5,AH49&lt;=-COS(PI()*$B$18)),AI49,NA()),NA())</f>
        <v>#N/A</v>
      </c>
      <c r="AO49" s="138">
        <f>IF(ISNUMBER($B$18),IF(AND(ISNUMBER($B$18),AH49&gt;=MIN(0,$AH$2),AH49&lt;=MAX(0,$AH$2)),IF($AH$2=0,0,AH49/$AH$2*$AI$2),NA()),NA())</f>
        <v>8.2658869955191602E-2</v>
      </c>
      <c r="BC49" t="str">
        <f>IF(B49=0,"",IF(ABS(B49)&gt;=1000000000,TEXT(B49/1000000000,IF(MOD(ROUND(B49/1000000000,2),1)=0,"0","0.00"))&amp;" B VND",IF(ABS(B49)&gt;=1000000,TEXT(B49/1000000,IF(MOD(ROUND(B49/1000000,2),1)=0,"0","0.00"))&amp;" M VND",TEXT(B49/1000,IF(MOD(ROUND(B49/1000,2),1)=0,"0","0.00"))&amp;"k")))</f>
        <v>3.02B VND</v>
      </c>
    </row>
    <row r="50" spans="1:55">
      <c r="A50" s="148" t="inlineStr">
        <is>
          <t>Days 14–20</t>
        </is>
      </c>
      <c r="B50" s="152">
        <f>SUMIFS('Current AR'!$V$6:$V$103,'Current AR'!$F$6:$F$103,"&gt;="&amp;Dashboard!D2+14,'Current AR'!$F$6:$F$103,"&lt;="&amp;Dashboard!D2+20)</f>
        <v>0</v>
      </c>
      <c r="C50" s="152"/>
      <c r="D50" s="152"/>
      <c r="E50" s="152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>
        <v>-0.1</v>
      </c>
      <c r="S50" s="138">
        <f>SQRT(MAX(0,1-R50^2))</f>
        <v>0.99498743710661997</v>
      </c>
      <c r="T50" s="138" t="e">
        <f>IF(ISNUMBER($B$16),IF(AND($C$16=1,R50&lt;=-COS(PI()*$B$16)),S50,NA()),NA())</f>
        <v>#N/A</v>
      </c>
      <c r="U50" s="138" t="e">
        <f>IF(ISNUMBER($B$16),IF(AND($C$16=2,R50&lt;=-COS(PI()*$B$16)),S50,NA()),NA())</f>
        <v>#N/A</v>
      </c>
      <c r="V50" s="138" t="e">
        <f>IF(ISNUMBER($B$16),IF(AND($C$16=3,R50&lt;=-COS(PI()*$B$16)),S50,NA()),NA())</f>
        <v>#N/A</v>
      </c>
      <c r="W50" s="138" t="e">
        <f>IF(ISNUMBER($B$16),IF(AND($C$16=4,R50&lt;=-COS(PI()*$B$16)),S50,NA()),NA())</f>
        <v>#N/A</v>
      </c>
      <c r="X50" s="138" t="e">
        <f>IF(ISNUMBER($B$16),IF(AND($C$16=5,R50&lt;=-COS(PI()*$B$16)),S50,NA()),NA())</f>
        <v>#N/A</v>
      </c>
      <c r="Y50" s="138">
        <f>IF(ISNUMBER($B$16),IF(AND(ISNUMBER($B$16),R50&gt;=MIN(0,$R$2),R50&lt;=MAX(0,$R$2)),IF($R$2=0,0,R50/$R$2*$S$2),NA()),NA())</f>
        <v>3.7152993102269237E-2</v>
      </c>
      <c r="Z50" s="138">
        <v>-0.1</v>
      </c>
      <c r="AA50" s="138">
        <f>SQRT(MAX(0,1-Z50^2))</f>
        <v>0.99498743710661997</v>
      </c>
      <c r="AB50" s="138" t="e">
        <f>IF(ISNUMBER($B$17),IF(AND($C$17=1,Z50&lt;=-COS(PI()*$B$17)),AA50,NA()),NA())</f>
        <v>#N/A</v>
      </c>
      <c r="AC50" s="138" t="e">
        <f>IF(ISNUMBER($B$17),IF(AND($C$17=2,Z50&lt;=-COS(PI()*$B$17)),AA50,NA()),NA())</f>
        <v>#N/A</v>
      </c>
      <c r="AD50" s="138" t="e">
        <f>IF(ISNUMBER($B$17),IF(AND($C$17=3,Z50&lt;=-COS(PI()*$B$17)),AA50,NA()),NA())</f>
        <v>#N/A</v>
      </c>
      <c r="AE50" s="138" t="e">
        <f>IF(ISNUMBER($B$17),IF(AND($C$17=4,Z50&lt;=-COS(PI()*$B$17)),AA50,NA()),NA())</f>
        <v>#N/A</v>
      </c>
      <c r="AF50" s="138" t="e">
        <f>IF(ISNUMBER($B$17),IF(AND($C$17=5,Z50&lt;=-COS(PI()*$B$17)),AA50,NA()),NA())</f>
        <v>#N/A</v>
      </c>
      <c r="AG50" s="138">
        <f>IF(ISNUMBER($B$17),IF(AND(ISNUMBER($B$17),Z50&gt;=MIN(0,$Z$2),Z50&lt;=MAX(0,$Z$2)),IF($Z$2=0,0,Z50/$Z$2*$AA$2),NA()),NA())</f>
        <v>2.5263895245624259E-2</v>
      </c>
      <c r="AH50" s="138">
        <v>-0.1</v>
      </c>
      <c r="AI50" s="138">
        <f>SQRT(MAX(0,1-AH50^2))</f>
        <v>0.99498743710661997</v>
      </c>
      <c r="AJ50" s="138" t="e">
        <f>IF(ISNUMBER($B$18),IF(AND($C$18=1,AH50&lt;=-COS(PI()*$B$18)),AI50,NA()),NA())</f>
        <v>#N/A</v>
      </c>
      <c r="AK50" s="138" t="e">
        <f>IF(ISNUMBER($B$18),IF(AND($C$18=2,AH50&lt;=-COS(PI()*$B$18)),AI50,NA()),NA())</f>
        <v>#N/A</v>
      </c>
      <c r="AL50" s="138" t="e">
        <f>IF(ISNUMBER($B$18),IF(AND($C$18=3,AH50&lt;=-COS(PI()*$B$18)),AI50,NA()),NA())</f>
        <v>#N/A</v>
      </c>
      <c r="AM50" s="138" t="e">
        <f>IF(ISNUMBER($B$18),IF(AND($C$18=4,AH50&lt;=-COS(PI()*$B$18)),AI50,NA()),NA())</f>
        <v>#N/A</v>
      </c>
      <c r="AN50" s="138" t="e">
        <f>IF(ISNUMBER($B$18),IF(AND($C$18=5,AH50&lt;=-COS(PI()*$B$18)),AI50,NA()),NA())</f>
        <v>#N/A</v>
      </c>
      <c r="AO50" s="138">
        <f>IF(ISNUMBER($B$18),IF(AND(ISNUMBER($B$18),AH50&gt;=MIN(0,$AH$2),AH50&lt;=MAX(0,$AH$2)),IF($AH$2=0,0,AH50/$AH$2*$AI$2),NA()),NA())</f>
        <v>6.8882391629326342E-2</v>
      </c>
      <c r="BC50" t="str">
        <f>IF(B50=0,"",IF(ABS(B50)&gt;=1000000000,TEXT(B50/1000000000,IF(MOD(ROUND(B50/1000000000,2),1)=0,"0","0.00"))&amp;" B VND",IF(ABS(B50)&gt;=1000000,TEXT(B50/1000000,IF(MOD(ROUND(B50/1000000,2),1)=0,"0","0.00"))&amp;" M VND",TEXT(B50/1000,IF(MOD(ROUND(B50/1000,2),1)=0,"0","0.00"))&amp;"k")))</f>
        <v/>
      </c>
    </row>
    <row r="51" spans="1:55">
      <c r="A51" s="148" t="inlineStr">
        <is>
          <t>Days 21–27</t>
        </is>
      </c>
      <c r="B51" s="152">
        <f>SUMIFS('Current AR'!$V$6:$V$103,'Current AR'!$F$6:$F$103,"&gt;="&amp;Dashboard!D2+21,'Current AR'!$F$6:$F$103,"&lt;="&amp;Dashboard!D2+27)</f>
        <v>494126612.99999994</v>
      </c>
      <c r="C51" s="152"/>
      <c r="D51" s="152"/>
      <c r="E51" s="152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>
        <v>-0.08</v>
      </c>
      <c r="S51" s="138">
        <f>SQRT(MAX(0,1-R51^2))</f>
        <v>0.996794863550169</v>
      </c>
      <c r="T51" s="138" t="e">
        <f>IF(ISNUMBER($B$16),IF(AND($C$16=1,R51&lt;=-COS(PI()*$B$16)),S51,NA()),NA())</f>
        <v>#N/A</v>
      </c>
      <c r="U51" s="138" t="e">
        <f>IF(ISNUMBER($B$16),IF(AND($C$16=2,R51&lt;=-COS(PI()*$B$16)),S51,NA()),NA())</f>
        <v>#N/A</v>
      </c>
      <c r="V51" s="138" t="e">
        <f>IF(ISNUMBER($B$16),IF(AND($C$16=3,R51&lt;=-COS(PI()*$B$16)),S51,NA()),NA())</f>
        <v>#N/A</v>
      </c>
      <c r="W51" s="138" t="e">
        <f>IF(ISNUMBER($B$16),IF(AND($C$16=4,R51&lt;=-COS(PI()*$B$16)),S51,NA()),NA())</f>
        <v>#N/A</v>
      </c>
      <c r="X51" s="138" t="e">
        <f>IF(ISNUMBER($B$16),IF(AND($C$16=5,R51&lt;=-COS(PI()*$B$16)),S51,NA()),NA())</f>
        <v>#N/A</v>
      </c>
      <c r="Y51" s="138">
        <f>IF(ISNUMBER($B$16),IF(AND(ISNUMBER($B$16),R51&gt;=MIN(0,$R$2),R51&lt;=MAX(0,$R$2)),IF($R$2=0,0,R51/$R$2*$S$2),NA()),NA())</f>
        <v>2.9722394481815389E-2</v>
      </c>
      <c r="Z51" s="138">
        <v>-0.08</v>
      </c>
      <c r="AA51" s="138">
        <f>SQRT(MAX(0,1-Z51^2))</f>
        <v>0.996794863550169</v>
      </c>
      <c r="AB51" s="138" t="e">
        <f>IF(ISNUMBER($B$17),IF(AND($C$17=1,Z51&lt;=-COS(PI()*$B$17)),AA51,NA()),NA())</f>
        <v>#N/A</v>
      </c>
      <c r="AC51" s="138" t="e">
        <f>IF(ISNUMBER($B$17),IF(AND($C$17=2,Z51&lt;=-COS(PI()*$B$17)),AA51,NA()),NA())</f>
        <v>#N/A</v>
      </c>
      <c r="AD51" s="138" t="e">
        <f>IF(ISNUMBER($B$17),IF(AND($C$17=3,Z51&lt;=-COS(PI()*$B$17)),AA51,NA()),NA())</f>
        <v>#N/A</v>
      </c>
      <c r="AE51" s="138" t="e">
        <f>IF(ISNUMBER($B$17),IF(AND($C$17=4,Z51&lt;=-COS(PI()*$B$17)),AA51,NA()),NA())</f>
        <v>#N/A</v>
      </c>
      <c r="AF51" s="138" t="e">
        <f>IF(ISNUMBER($B$17),IF(AND($C$17=5,Z51&lt;=-COS(PI()*$B$17)),AA51,NA()),NA())</f>
        <v>#N/A</v>
      </c>
      <c r="AG51" s="138">
        <f>IF(ISNUMBER($B$17),IF(AND(ISNUMBER($B$17),Z51&gt;=MIN(0,$Z$2),Z51&lt;=MAX(0,$Z$2)),IF($Z$2=0,0,Z51/$Z$2*$AA$2),NA()),NA())</f>
        <v>2.0211116196499405E-2</v>
      </c>
      <c r="AH51" s="138">
        <v>-0.08</v>
      </c>
      <c r="AI51" s="138">
        <f>SQRT(MAX(0,1-AH51^2))</f>
        <v>0.996794863550169</v>
      </c>
      <c r="AJ51" s="138" t="e">
        <f>IF(ISNUMBER($B$18),IF(AND($C$18=1,AH51&lt;=-COS(PI()*$B$18)),AI51,NA()),NA())</f>
        <v>#N/A</v>
      </c>
      <c r="AK51" s="138" t="e">
        <f>IF(ISNUMBER($B$18),IF(AND($C$18=2,AH51&lt;=-COS(PI()*$B$18)),AI51,NA()),NA())</f>
        <v>#N/A</v>
      </c>
      <c r="AL51" s="138" t="e">
        <f>IF(ISNUMBER($B$18),IF(AND($C$18=3,AH51&lt;=-COS(PI()*$B$18)),AI51,NA()),NA())</f>
        <v>#N/A</v>
      </c>
      <c r="AM51" s="138" t="e">
        <f>IF(ISNUMBER($B$18),IF(AND($C$18=4,AH51&lt;=-COS(PI()*$B$18)),AI51,NA()),NA())</f>
        <v>#N/A</v>
      </c>
      <c r="AN51" s="138" t="e">
        <f>IF(ISNUMBER($B$18),IF(AND($C$18=5,AH51&lt;=-COS(PI()*$B$18)),AI51,NA()),NA())</f>
        <v>#N/A</v>
      </c>
      <c r="AO51" s="138">
        <f>IF(ISNUMBER($B$18),IF(AND(ISNUMBER($B$18),AH51&gt;=MIN(0,$AH$2),AH51&lt;=MAX(0,$AH$2)),IF($AH$2=0,0,AH51/$AH$2*$AI$2),NA()),NA())</f>
        <v>5.5105913303461068E-2</v>
      </c>
      <c r="BC51" t="str">
        <f>IF(B51=0,"",IF(ABS(B51)&gt;=1000000000,TEXT(B51/1000000000,IF(MOD(ROUND(B51/1000000000,2),1)=0,"0","0.00"))&amp;" B VND",IF(ABS(B51)&gt;=1000000,TEXT(B51/1000000,IF(MOD(ROUND(B51/1000000,2),1)=0,"0","0.00"))&amp;" M VND",TEXT(B51/1000,IF(MOD(ROUND(B51/1000,2),1)=0,"0","0.00"))&amp;"k")))</f>
        <v>471.81M VND</v>
      </c>
    </row>
    <row r="52" spans="1:55">
      <c r="A52" s="148" t="inlineStr">
        <is>
          <t>Days 28–30</t>
        </is>
      </c>
      <c r="B52" s="152">
        <f>SUMIFS('Current AR'!$V$6:$V$103,'Current AR'!$F$6:$F$103,"&gt;="&amp;Dashboard!D2+28,'Current AR'!$F$6:$F$103,"&lt;="&amp;Dashboard!D2+30)</f>
        <v>932204904.3662999</v>
      </c>
      <c r="C52" s="152"/>
      <c r="D52" s="152"/>
      <c r="E52" s="152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>
        <v>-0.06</v>
      </c>
      <c r="S52" s="138">
        <f>SQRT(MAX(0,1-R52^2))</f>
        <v>0.99819837707742243</v>
      </c>
      <c r="T52" s="138" t="e">
        <f>IF(ISNUMBER($B$16),IF(AND($C$16=1,R52&lt;=-COS(PI()*$B$16)),S52,NA()),NA())</f>
        <v>#N/A</v>
      </c>
      <c r="U52" s="138" t="e">
        <f>IF(ISNUMBER($B$16),IF(AND($C$16=2,R52&lt;=-COS(PI()*$B$16)),S52,NA()),NA())</f>
        <v>#N/A</v>
      </c>
      <c r="V52" s="138" t="e">
        <f>IF(ISNUMBER($B$16),IF(AND($C$16=3,R52&lt;=-COS(PI()*$B$16)),S52,NA()),NA())</f>
        <v>#N/A</v>
      </c>
      <c r="W52" s="138" t="e">
        <f>IF(ISNUMBER($B$16),IF(AND($C$16=4,R52&lt;=-COS(PI()*$B$16)),S52,NA()),NA())</f>
        <v>#N/A</v>
      </c>
      <c r="X52" s="138" t="e">
        <f>IF(ISNUMBER($B$16),IF(AND($C$16=5,R52&lt;=-COS(PI()*$B$16)),S52,NA()),NA())</f>
        <v>#N/A</v>
      </c>
      <c r="Y52" s="138">
        <f>IF(ISNUMBER($B$16),IF(AND(ISNUMBER($B$16),R52&gt;=MIN(0,$R$2),R52&lt;=MAX(0,$R$2)),IF($R$2=0,0,R52/$R$2*$S$2),NA()),NA())</f>
        <v>2.2291795861361541E-2</v>
      </c>
      <c r="Z52" s="138">
        <v>-0.06</v>
      </c>
      <c r="AA52" s="138">
        <f>SQRT(MAX(0,1-Z52^2))</f>
        <v>0.99819837707742243</v>
      </c>
      <c r="AB52" s="138" t="e">
        <f>IF(ISNUMBER($B$17),IF(AND($C$17=1,Z52&lt;=-COS(PI()*$B$17)),AA52,NA()),NA())</f>
        <v>#N/A</v>
      </c>
      <c r="AC52" s="138" t="e">
        <f>IF(ISNUMBER($B$17),IF(AND($C$17=2,Z52&lt;=-COS(PI()*$B$17)),AA52,NA()),NA())</f>
        <v>#N/A</v>
      </c>
      <c r="AD52" s="138" t="e">
        <f>IF(ISNUMBER($B$17),IF(AND($C$17=3,Z52&lt;=-COS(PI()*$B$17)),AA52,NA()),NA())</f>
        <v>#N/A</v>
      </c>
      <c r="AE52" s="138" t="e">
        <f>IF(ISNUMBER($B$17),IF(AND($C$17=4,Z52&lt;=-COS(PI()*$B$17)),AA52,NA()),NA())</f>
        <v>#N/A</v>
      </c>
      <c r="AF52" s="138" t="e">
        <f>IF(ISNUMBER($B$17),IF(AND($C$17=5,Z52&lt;=-COS(PI()*$B$17)),AA52,NA()),NA())</f>
        <v>#N/A</v>
      </c>
      <c r="AG52" s="138">
        <f>IF(ISNUMBER($B$17),IF(AND(ISNUMBER($B$17),Z52&gt;=MIN(0,$Z$2),Z52&lt;=MAX(0,$Z$2)),IF($Z$2=0,0,Z52/$Z$2*$AA$2),NA()),NA())</f>
        <v>1.5158337147374553E-2</v>
      </c>
      <c r="AH52" s="138">
        <v>-0.06</v>
      </c>
      <c r="AI52" s="138">
        <f>SQRT(MAX(0,1-AH52^2))</f>
        <v>0.99819837707742243</v>
      </c>
      <c r="AJ52" s="138" t="e">
        <f>IF(ISNUMBER($B$18),IF(AND($C$18=1,AH52&lt;=-COS(PI()*$B$18)),AI52,NA()),NA())</f>
        <v>#N/A</v>
      </c>
      <c r="AK52" s="138" t="e">
        <f>IF(ISNUMBER($B$18),IF(AND($C$18=2,AH52&lt;=-COS(PI()*$B$18)),AI52,NA()),NA())</f>
        <v>#N/A</v>
      </c>
      <c r="AL52" s="138" t="e">
        <f>IF(ISNUMBER($B$18),IF(AND($C$18=3,AH52&lt;=-COS(PI()*$B$18)),AI52,NA()),NA())</f>
        <v>#N/A</v>
      </c>
      <c r="AM52" s="138" t="e">
        <f>IF(ISNUMBER($B$18),IF(AND($C$18=4,AH52&lt;=-COS(PI()*$B$18)),AI52,NA()),NA())</f>
        <v>#N/A</v>
      </c>
      <c r="AN52" s="138" t="e">
        <f>IF(ISNUMBER($B$18),IF(AND($C$18=5,AH52&lt;=-COS(PI()*$B$18)),AI52,NA()),NA())</f>
        <v>#N/A</v>
      </c>
      <c r="AO52" s="138">
        <f>IF(ISNUMBER($B$18),IF(AND(ISNUMBER($B$18),AH52&gt;=MIN(0,$AH$2),AH52&lt;=MAX(0,$AH$2)),IF($AH$2=0,0,AH52/$AH$2*$AI$2),NA()),NA())</f>
        <v>4.1329434977595801E-2</v>
      </c>
      <c r="BC52" t="str">
        <f>IF(B52=0,"",IF(ABS(B52)&gt;=1000000000,TEXT(B52/1000000000,IF(MOD(ROUND(B52/1000000000,2),1)=0,"0","0.00"))&amp;" B VND",IF(ABS(B52)&gt;=1000000,TEXT(B52/1000000,IF(MOD(ROUND(B52/1000000,2),1)=0,"0","0.00"))&amp;" M VND",TEXT(B52/1000,IF(MOD(ROUND(B52/1000,2),1)=0,"0","0.00"))&amp;"k")))</f>
        <v>890.10M VND</v>
      </c>
    </row>
    <row r="53" spans="1:55">
      <c r="A53" s="148"/>
      <c r="B53" s="152"/>
      <c r="C53" s="152"/>
      <c r="D53" s="152"/>
      <c r="E53" s="152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>
        <v>-0.04</v>
      </c>
      <c r="S53" s="138">
        <f>SQRT(MAX(0,1-R53^2))</f>
        <v>0.99919967974374369</v>
      </c>
      <c r="T53" s="138" t="e">
        <f>IF(ISNUMBER($B$16),IF(AND($C$16=1,R53&lt;=-COS(PI()*$B$16)),S53,NA()),NA())</f>
        <v>#N/A</v>
      </c>
      <c r="U53" s="138" t="e">
        <f>IF(ISNUMBER($B$16),IF(AND($C$16=2,R53&lt;=-COS(PI()*$B$16)),S53,NA()),NA())</f>
        <v>#N/A</v>
      </c>
      <c r="V53" s="138" t="e">
        <f>IF(ISNUMBER($B$16),IF(AND($C$16=3,R53&lt;=-COS(PI()*$B$16)),S53,NA()),NA())</f>
        <v>#N/A</v>
      </c>
      <c r="W53" s="138" t="e">
        <f>IF(ISNUMBER($B$16),IF(AND($C$16=4,R53&lt;=-COS(PI()*$B$16)),S53,NA()),NA())</f>
        <v>#N/A</v>
      </c>
      <c r="X53" s="138" t="e">
        <f>IF(ISNUMBER($B$16),IF(AND($C$16=5,R53&lt;=-COS(PI()*$B$16)),S53,NA()),NA())</f>
        <v>#N/A</v>
      </c>
      <c r="Y53" s="138">
        <f>IF(ISNUMBER($B$16),IF(AND(ISNUMBER($B$16),R53&gt;=MIN(0,$R$2),R53&lt;=MAX(0,$R$2)),IF($R$2=0,0,R53/$R$2*$S$2),NA()),NA())</f>
        <v>1.4861197240907694E-2</v>
      </c>
      <c r="Z53" s="138">
        <v>-0.04</v>
      </c>
      <c r="AA53" s="138">
        <f>SQRT(MAX(0,1-Z53^2))</f>
        <v>0.99919967974374369</v>
      </c>
      <c r="AB53" s="138" t="e">
        <f>IF(ISNUMBER($B$17),IF(AND($C$17=1,Z53&lt;=-COS(PI()*$B$17)),AA53,NA()),NA())</f>
        <v>#N/A</v>
      </c>
      <c r="AC53" s="138" t="e">
        <f>IF(ISNUMBER($B$17),IF(AND($C$17=2,Z53&lt;=-COS(PI()*$B$17)),AA53,NA()),NA())</f>
        <v>#N/A</v>
      </c>
      <c r="AD53" s="138" t="e">
        <f>IF(ISNUMBER($B$17),IF(AND($C$17=3,Z53&lt;=-COS(PI()*$B$17)),AA53,NA()),NA())</f>
        <v>#N/A</v>
      </c>
      <c r="AE53" s="138" t="e">
        <f>IF(ISNUMBER($B$17),IF(AND($C$17=4,Z53&lt;=-COS(PI()*$B$17)),AA53,NA()),NA())</f>
        <v>#N/A</v>
      </c>
      <c r="AF53" s="138" t="e">
        <f>IF(ISNUMBER($B$17),IF(AND($C$17=5,Z53&lt;=-COS(PI()*$B$17)),AA53,NA()),NA())</f>
        <v>#N/A</v>
      </c>
      <c r="AG53" s="138">
        <f>IF(ISNUMBER($B$17),IF(AND(ISNUMBER($B$17),Z53&gt;=MIN(0,$Z$2),Z53&lt;=MAX(0,$Z$2)),IF($Z$2=0,0,Z53/$Z$2*$AA$2),NA()),NA())</f>
        <v>1.0105558098249702E-2</v>
      </c>
      <c r="AH53" s="138">
        <v>-0.04</v>
      </c>
      <c r="AI53" s="138">
        <f>SQRT(MAX(0,1-AH53^2))</f>
        <v>0.99919967974374369</v>
      </c>
      <c r="AJ53" s="138" t="e">
        <f>IF(ISNUMBER($B$18),IF(AND($C$18=1,AH53&lt;=-COS(PI()*$B$18)),AI53,NA()),NA())</f>
        <v>#N/A</v>
      </c>
      <c r="AK53" s="138" t="e">
        <f>IF(ISNUMBER($B$18),IF(AND($C$18=2,AH53&lt;=-COS(PI()*$B$18)),AI53,NA()),NA())</f>
        <v>#N/A</v>
      </c>
      <c r="AL53" s="138" t="e">
        <f>IF(ISNUMBER($B$18),IF(AND($C$18=3,AH53&lt;=-COS(PI()*$B$18)),AI53,NA()),NA())</f>
        <v>#N/A</v>
      </c>
      <c r="AM53" s="138" t="e">
        <f>IF(ISNUMBER($B$18),IF(AND($C$18=4,AH53&lt;=-COS(PI()*$B$18)),AI53,NA()),NA())</f>
        <v>#N/A</v>
      </c>
      <c r="AN53" s="138" t="e">
        <f>IF(ISNUMBER($B$18),IF(AND($C$18=5,AH53&lt;=-COS(PI()*$B$18)),AI53,NA()),NA())</f>
        <v>#N/A</v>
      </c>
      <c r="AO53" s="138">
        <f>IF(ISNUMBER($B$18),IF(AND(ISNUMBER($B$18),AH53&gt;=MIN(0,$AH$2),AH53&lt;=MAX(0,$AH$2)),IF($AH$2=0,0,AH53/$AH$2*$AI$2),NA()),NA())</f>
        <v>2.7552956651730534E-2</v>
      </c>
    </row>
    <row r="54" spans="1:55">
      <c r="A54" s="148"/>
      <c r="B54" s="152"/>
      <c r="C54" s="152"/>
      <c r="D54" s="152"/>
      <c r="E54" s="152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>
        <v>-0.02</v>
      </c>
      <c r="S54" s="138">
        <f>SQRT(MAX(0,1-R54^2))</f>
        <v>0.99979997999599901</v>
      </c>
      <c r="T54" s="138" t="e">
        <f>IF(ISNUMBER($B$16),IF(AND($C$16=1,R54&lt;=-COS(PI()*$B$16)),S54,NA()),NA())</f>
        <v>#N/A</v>
      </c>
      <c r="U54" s="138" t="e">
        <f>IF(ISNUMBER($B$16),IF(AND($C$16=2,R54&lt;=-COS(PI()*$B$16)),S54,NA()),NA())</f>
        <v>#N/A</v>
      </c>
      <c r="V54" s="138" t="e">
        <f>IF(ISNUMBER($B$16),IF(AND($C$16=3,R54&lt;=-COS(PI()*$B$16)),S54,NA()),NA())</f>
        <v>#N/A</v>
      </c>
      <c r="W54" s="138" t="e">
        <f>IF(ISNUMBER($B$16),IF(AND($C$16=4,R54&lt;=-COS(PI()*$B$16)),S54,NA()),NA())</f>
        <v>#N/A</v>
      </c>
      <c r="X54" s="138" t="e">
        <f>IF(ISNUMBER($B$16),IF(AND($C$16=5,R54&lt;=-COS(PI()*$B$16)),S54,NA()),NA())</f>
        <v>#N/A</v>
      </c>
      <c r="Y54" s="138">
        <f>IF(ISNUMBER($B$16),IF(AND(ISNUMBER($B$16),R54&gt;=MIN(0,$R$2),R54&lt;=MAX(0,$R$2)),IF($R$2=0,0,R54/$R$2*$S$2),NA()),NA())</f>
        <v>7.4305986204538472E-3</v>
      </c>
      <c r="Z54" s="138">
        <v>-0.02</v>
      </c>
      <c r="AA54" s="138">
        <f>SQRT(MAX(0,1-Z54^2))</f>
        <v>0.99979997999599901</v>
      </c>
      <c r="AB54" s="138" t="e">
        <f>IF(ISNUMBER($B$17),IF(AND($C$17=1,Z54&lt;=-COS(PI()*$B$17)),AA54,NA()),NA())</f>
        <v>#N/A</v>
      </c>
      <c r="AC54" s="138" t="e">
        <f>IF(ISNUMBER($B$17),IF(AND($C$17=2,Z54&lt;=-COS(PI()*$B$17)),AA54,NA()),NA())</f>
        <v>#N/A</v>
      </c>
      <c r="AD54" s="138" t="e">
        <f>IF(ISNUMBER($B$17),IF(AND($C$17=3,Z54&lt;=-COS(PI()*$B$17)),AA54,NA()),NA())</f>
        <v>#N/A</v>
      </c>
      <c r="AE54" s="138" t="e">
        <f>IF(ISNUMBER($B$17),IF(AND($C$17=4,Z54&lt;=-COS(PI()*$B$17)),AA54,NA()),NA())</f>
        <v>#N/A</v>
      </c>
      <c r="AF54" s="138" t="e">
        <f>IF(ISNUMBER($B$17),IF(AND($C$17=5,Z54&lt;=-COS(PI()*$B$17)),AA54,NA()),NA())</f>
        <v>#N/A</v>
      </c>
      <c r="AG54" s="138">
        <f>IF(ISNUMBER($B$17),IF(AND(ISNUMBER($B$17),Z54&gt;=MIN(0,$Z$2),Z54&lt;=MAX(0,$Z$2)),IF($Z$2=0,0,Z54/$Z$2*$AA$2),NA()),NA())</f>
        <v>5.0527790491248512E-3</v>
      </c>
      <c r="AH54" s="138">
        <v>-0.02</v>
      </c>
      <c r="AI54" s="138">
        <f>SQRT(MAX(0,1-AH54^2))</f>
        <v>0.99979997999599901</v>
      </c>
      <c r="AJ54" s="138" t="e">
        <f>IF(ISNUMBER($B$18),IF(AND($C$18=1,AH54&lt;=-COS(PI()*$B$18)),AI54,NA()),NA())</f>
        <v>#N/A</v>
      </c>
      <c r="AK54" s="138" t="e">
        <f>IF(ISNUMBER($B$18),IF(AND($C$18=2,AH54&lt;=-COS(PI()*$B$18)),AI54,NA()),NA())</f>
        <v>#N/A</v>
      </c>
      <c r="AL54" s="138" t="e">
        <f>IF(ISNUMBER($B$18),IF(AND($C$18=3,AH54&lt;=-COS(PI()*$B$18)),AI54,NA()),NA())</f>
        <v>#N/A</v>
      </c>
      <c r="AM54" s="138" t="e">
        <f>IF(ISNUMBER($B$18),IF(AND($C$18=4,AH54&lt;=-COS(PI()*$B$18)),AI54,NA()),NA())</f>
        <v>#N/A</v>
      </c>
      <c r="AN54" s="138" t="e">
        <f>IF(ISNUMBER($B$18),IF(AND($C$18=5,AH54&lt;=-COS(PI()*$B$18)),AI54,NA()),NA())</f>
        <v>#N/A</v>
      </c>
      <c r="AO54" s="138">
        <f>IF(ISNUMBER($B$18),IF(AND(ISNUMBER($B$18),AH54&gt;=MIN(0,$AH$2),AH54&lt;=MAX(0,$AH$2)),IF($AH$2=0,0,AH54/$AH$2*$AI$2),NA()),NA())</f>
        <v>1.3776478325865267E-2</v>
      </c>
    </row>
    <row r="55" spans="1:55">
      <c r="A55" s="159" t="inlineStr">
        <is>
          <t>Metric</t>
        </is>
      </c>
      <c r="B55" s="160" t="inlineStr">
        <is>
          <t>Current</t>
        </is>
      </c>
      <c r="C55" s="161" t="inlineStr">
        <is>
          <t>Prior</t>
        </is>
      </c>
      <c r="D55" s="161" t="inlineStr">
        <is>
          <t>Difference</t>
        </is>
      </c>
      <c r="E55" s="161" t="inlineStr">
        <is>
          <t>Change (%)</t>
        </is>
      </c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>
        <v>0</v>
      </c>
      <c r="S55" s="138">
        <f>SQRT(MAX(0,1-R55^2))</f>
        <v>1</v>
      </c>
      <c r="T55" s="138" t="e">
        <f>IF(ISNUMBER($B$16),IF(AND($C$16=1,R55&lt;=-COS(PI()*$B$16)),S55,NA()),NA())</f>
        <v>#N/A</v>
      </c>
      <c r="U55" s="138" t="e">
        <f>IF(ISNUMBER($B$16),IF(AND($C$16=2,R55&lt;=-COS(PI()*$B$16)),S55,NA()),NA())</f>
        <v>#N/A</v>
      </c>
      <c r="V55" s="138" t="e">
        <f>IF(ISNUMBER($B$16),IF(AND($C$16=3,R55&lt;=-COS(PI()*$B$16)),S55,NA()),NA())</f>
        <v>#N/A</v>
      </c>
      <c r="W55" s="138" t="e">
        <f>IF(ISNUMBER($B$16),IF(AND($C$16=4,R55&lt;=-COS(PI()*$B$16)),S55,NA()),NA())</f>
        <v>#N/A</v>
      </c>
      <c r="X55" s="138" t="e">
        <f>IF(ISNUMBER($B$16),IF(AND($C$16=5,R55&lt;=-COS(PI()*$B$16)),S55,NA()),NA())</f>
        <v>#N/A</v>
      </c>
      <c r="Y55" s="138">
        <f>IF(ISNUMBER($B$16),IF(AND(ISNUMBER($B$16),R55&gt;=MIN(0,$R$2),R55&lt;=MAX(0,$R$2)),IF($R$2=0,0,R55/$R$2*$S$2),NA()),NA())</f>
        <v>0</v>
      </c>
      <c r="Z55" s="138">
        <v>0</v>
      </c>
      <c r="AA55" s="138">
        <f>SQRT(MAX(0,1-Z55^2))</f>
        <v>1</v>
      </c>
      <c r="AB55" s="138" t="e">
        <f>IF(ISNUMBER($B$17),IF(AND($C$17=1,Z55&lt;=-COS(PI()*$B$17)),AA55,NA()),NA())</f>
        <v>#N/A</v>
      </c>
      <c r="AC55" s="138" t="e">
        <f>IF(ISNUMBER($B$17),IF(AND($C$17=2,Z55&lt;=-COS(PI()*$B$17)),AA55,NA()),NA())</f>
        <v>#N/A</v>
      </c>
      <c r="AD55" s="138" t="e">
        <f>IF(ISNUMBER($B$17),IF(AND($C$17=3,Z55&lt;=-COS(PI()*$B$17)),AA55,NA()),NA())</f>
        <v>#N/A</v>
      </c>
      <c r="AE55" s="138" t="e">
        <f>IF(ISNUMBER($B$17),IF(AND($C$17=4,Z55&lt;=-COS(PI()*$B$17)),AA55,NA()),NA())</f>
        <v>#N/A</v>
      </c>
      <c r="AF55" s="138" t="e">
        <f>IF(ISNUMBER($B$17),IF(AND($C$17=5,Z55&lt;=-COS(PI()*$B$17)),AA55,NA()),NA())</f>
        <v>#N/A</v>
      </c>
      <c r="AG55" s="138">
        <f>IF(ISNUMBER($B$17),IF(AND(ISNUMBER($B$17),Z55&gt;=MIN(0,$Z$2),Z55&lt;=MAX(0,$Z$2)),IF($Z$2=0,0,Z55/$Z$2*$AA$2),NA()),NA())</f>
        <v>0</v>
      </c>
      <c r="AH55" s="138">
        <v>0</v>
      </c>
      <c r="AI55" s="138">
        <f>SQRT(MAX(0,1-AH55^2))</f>
        <v>1</v>
      </c>
      <c r="AJ55" s="138" t="e">
        <f>IF(ISNUMBER($B$18),IF(AND($C$18=1,AH55&lt;=-COS(PI()*$B$18)),AI55,NA()),NA())</f>
        <v>#N/A</v>
      </c>
      <c r="AK55" s="138" t="e">
        <f>IF(ISNUMBER($B$18),IF(AND($C$18=2,AH55&lt;=-COS(PI()*$B$18)),AI55,NA()),NA())</f>
        <v>#N/A</v>
      </c>
      <c r="AL55" s="138" t="e">
        <f>IF(ISNUMBER($B$18),IF(AND($C$18=3,AH55&lt;=-COS(PI()*$B$18)),AI55,NA()),NA())</f>
        <v>#N/A</v>
      </c>
      <c r="AM55" s="138" t="e">
        <f>IF(ISNUMBER($B$18),IF(AND($C$18=4,AH55&lt;=-COS(PI()*$B$18)),AI55,NA()),NA())</f>
        <v>#N/A</v>
      </c>
      <c r="AN55" s="138" t="e">
        <f>IF(ISNUMBER($B$18),IF(AND($C$18=5,AH55&lt;=-COS(PI()*$B$18)),AI55,NA()),NA())</f>
        <v>#N/A</v>
      </c>
      <c r="AO55" s="138">
        <f>IF(ISNUMBER($B$18),IF(AND(ISNUMBER($B$18),AH55&gt;=MIN(0,$AH$2),AH55&lt;=MAX(0,$AH$2)),IF($AH$2=0,0,AH55/$AH$2*$AI$2),NA()),NA())</f>
        <v>0</v>
      </c>
    </row>
    <row r="56" spans="1:55">
      <c r="A56" s="148" t="inlineStr">
        <is>
          <t>Average Overdue Days</t>
        </is>
      </c>
      <c r="B56" s="151">
        <f>IF(B9=0,"n.a.",SUM('Current AR'!$W$6:$W$103)/B9)</f>
        <v>39.49801499990615</v>
      </c>
      <c r="C56" s="151">
        <f>IF(C9=0,"n.a.",SUM('Prior AR'!$W$6:$W$85)/C9)</f>
        <v>40.02501236080199</v>
      </c>
      <c r="D56" s="151">
        <f>IF(AND(ISNUMBER(B56),ISNUMBER(C56)),B56-C56,"n.a.")</f>
        <v>-0.5269973608958409</v>
      </c>
      <c r="E56" s="150">
        <f>IF(AND(ISNUMBER(C56),C56&lt;&gt;0,ISNUMBER(D56)),D56/C56,"n.a.")</f>
        <v>-0.01316670076564297</v>
      </c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>
        <v>0.02</v>
      </c>
      <c r="S56" s="138">
        <f>SQRT(MAX(0,1-R56^2))</f>
        <v>0.99979997999599901</v>
      </c>
      <c r="T56" s="138" t="e">
        <f>IF(ISNUMBER($B$16),IF(AND($C$16=1,R56&lt;=-COS(PI()*$B$16)),S56,NA()),NA())</f>
        <v>#N/A</v>
      </c>
      <c r="U56" s="138" t="e">
        <f>IF(ISNUMBER($B$16),IF(AND($C$16=2,R56&lt;=-COS(PI()*$B$16)),S56,NA()),NA())</f>
        <v>#N/A</v>
      </c>
      <c r="V56" s="138" t="e">
        <f>IF(ISNUMBER($B$16),IF(AND($C$16=3,R56&lt;=-COS(PI()*$B$16)),S56,NA()),NA())</f>
        <v>#N/A</v>
      </c>
      <c r="W56" s="138" t="e">
        <f>IF(ISNUMBER($B$16),IF(AND($C$16=4,R56&lt;=-COS(PI()*$B$16)),S56,NA()),NA())</f>
        <v>#N/A</v>
      </c>
      <c r="X56" s="138" t="e">
        <f>IF(ISNUMBER($B$16),IF(AND($C$16=5,R56&lt;=-COS(PI()*$B$16)),S56,NA()),NA())</f>
        <v>#N/A</v>
      </c>
      <c r="Y56" s="138" t="e">
        <f>IF(ISNUMBER($B$16),IF(AND(ISNUMBER($B$16),R56&gt;=MIN(0,$R$2),R56&lt;=MAX(0,$R$2)),IF($R$2=0,0,R56/$R$2*$S$2),NA()),NA())</f>
        <v>#N/A</v>
      </c>
      <c r="Z56" s="138">
        <v>0.02</v>
      </c>
      <c r="AA56" s="138">
        <f>SQRT(MAX(0,1-Z56^2))</f>
        <v>0.99979997999599901</v>
      </c>
      <c r="AB56" s="138" t="e">
        <f>IF(ISNUMBER($B$17),IF(AND($C$17=1,Z56&lt;=-COS(PI()*$B$17)),AA56,NA()),NA())</f>
        <v>#N/A</v>
      </c>
      <c r="AC56" s="138" t="e">
        <f>IF(ISNUMBER($B$17),IF(AND($C$17=2,Z56&lt;=-COS(PI()*$B$17)),AA56,NA()),NA())</f>
        <v>#N/A</v>
      </c>
      <c r="AD56" s="138" t="e">
        <f>IF(ISNUMBER($B$17),IF(AND($C$17=3,Z56&lt;=-COS(PI()*$B$17)),AA56,NA()),NA())</f>
        <v>#N/A</v>
      </c>
      <c r="AE56" s="138" t="e">
        <f>IF(ISNUMBER($B$17),IF(AND($C$17=4,Z56&lt;=-COS(PI()*$B$17)),AA56,NA()),NA())</f>
        <v>#N/A</v>
      </c>
      <c r="AF56" s="138" t="e">
        <f>IF(ISNUMBER($B$17),IF(AND($C$17=5,Z56&lt;=-COS(PI()*$B$17)),AA56,NA()),NA())</f>
        <v>#N/A</v>
      </c>
      <c r="AG56" s="138" t="e">
        <f>IF(ISNUMBER($B$17),IF(AND(ISNUMBER($B$17),Z56&gt;=MIN(0,$Z$2),Z56&lt;=MAX(0,$Z$2)),IF($Z$2=0,0,Z56/$Z$2*$AA$2),NA()),NA())</f>
        <v>#N/A</v>
      </c>
      <c r="AH56" s="138">
        <v>0.02</v>
      </c>
      <c r="AI56" s="138">
        <f>SQRT(MAX(0,1-AH56^2))</f>
        <v>0.99979997999599901</v>
      </c>
      <c r="AJ56" s="138" t="e">
        <f>IF(ISNUMBER($B$18),IF(AND($C$18=1,AH56&lt;=-COS(PI()*$B$18)),AI56,NA()),NA())</f>
        <v>#N/A</v>
      </c>
      <c r="AK56" s="138" t="e">
        <f>IF(ISNUMBER($B$18),IF(AND($C$18=2,AH56&lt;=-COS(PI()*$B$18)),AI56,NA()),NA())</f>
        <v>#N/A</v>
      </c>
      <c r="AL56" s="138" t="e">
        <f>IF(ISNUMBER($B$18),IF(AND($C$18=3,AH56&lt;=-COS(PI()*$B$18)),AI56,NA()),NA())</f>
        <v>#N/A</v>
      </c>
      <c r="AM56" s="138" t="e">
        <f>IF(ISNUMBER($B$18),IF(AND($C$18=4,AH56&lt;=-COS(PI()*$B$18)),AI56,NA()),NA())</f>
        <v>#N/A</v>
      </c>
      <c r="AN56" s="138" t="e">
        <f>IF(ISNUMBER($B$18),IF(AND($C$18=5,AH56&lt;=-COS(PI()*$B$18)),AI56,NA()),NA())</f>
        <v>#N/A</v>
      </c>
      <c r="AO56" s="138" t="e">
        <f>IF(ISNUMBER($B$18),IF(AND(ISNUMBER($B$18),AH56&gt;=MIN(0,$AH$2),AH56&lt;=MAX(0,$AH$2)),IF($AH$2=0,0,AH56/$AH$2*$AI$2),NA()),NA())</f>
        <v>#N/A</v>
      </c>
    </row>
    <row r="57" spans="1:55">
      <c r="A57" s="148" t="inlineStr">
        <is>
          <t>&gt;60d / Total Overdue</t>
        </is>
      </c>
      <c r="B57" s="150">
        <f>IF(B9=0,"n.a.",B8/B9)</f>
        <v>0.41025641025641024</v>
      </c>
      <c r="C57" s="150">
        <f>IF(C9=0,"n.a.",C8/C9)</f>
        <v>0.4128797897222069</v>
      </c>
      <c r="D57" s="150">
        <f>IF(AND(ISNUMBER(B57),ISNUMBER(C57)),B57-C57,"n.a.")</f>
        <v>-0.0026233794657966603</v>
      </c>
      <c r="E57" s="150">
        <f>IF(AND(ISNUMBER(C57),C57&lt;&gt;0,ISNUMBER(D57)),D57/C57,"n.a.")</f>
        <v>-0.006353857784033745</v>
      </c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>
        <v>0.04</v>
      </c>
      <c r="S57" s="138">
        <f>SQRT(MAX(0,1-R57^2))</f>
        <v>0.99919967974374369</v>
      </c>
      <c r="T57" s="138" t="e">
        <f>IF(ISNUMBER($B$16),IF(AND($C$16=1,R57&lt;=-COS(PI()*$B$16)),S57,NA()),NA())</f>
        <v>#N/A</v>
      </c>
      <c r="U57" s="138" t="e">
        <f>IF(ISNUMBER($B$16),IF(AND($C$16=2,R57&lt;=-COS(PI()*$B$16)),S57,NA()),NA())</f>
        <v>#N/A</v>
      </c>
      <c r="V57" s="138" t="e">
        <f>IF(ISNUMBER($B$16),IF(AND($C$16=3,R57&lt;=-COS(PI()*$B$16)),S57,NA()),NA())</f>
        <v>#N/A</v>
      </c>
      <c r="W57" s="138" t="e">
        <f>IF(ISNUMBER($B$16),IF(AND($C$16=4,R57&lt;=-COS(PI()*$B$16)),S57,NA()),NA())</f>
        <v>#N/A</v>
      </c>
      <c r="X57" s="138" t="e">
        <f>IF(ISNUMBER($B$16),IF(AND($C$16=5,R57&lt;=-COS(PI()*$B$16)),S57,NA()),NA())</f>
        <v>#N/A</v>
      </c>
      <c r="Y57" s="138" t="e">
        <f>IF(ISNUMBER($B$16),IF(AND(ISNUMBER($B$16),R57&gt;=MIN(0,$R$2),R57&lt;=MAX(0,$R$2)),IF($R$2=0,0,R57/$R$2*$S$2),NA()),NA())</f>
        <v>#N/A</v>
      </c>
      <c r="Z57" s="138">
        <v>0.04</v>
      </c>
      <c r="AA57" s="138">
        <f>SQRT(MAX(0,1-Z57^2))</f>
        <v>0.99919967974374369</v>
      </c>
      <c r="AB57" s="138" t="e">
        <f>IF(ISNUMBER($B$17),IF(AND($C$17=1,Z57&lt;=-COS(PI()*$B$17)),AA57,NA()),NA())</f>
        <v>#N/A</v>
      </c>
      <c r="AC57" s="138" t="e">
        <f>IF(ISNUMBER($B$17),IF(AND($C$17=2,Z57&lt;=-COS(PI()*$B$17)),AA57,NA()),NA())</f>
        <v>#N/A</v>
      </c>
      <c r="AD57" s="138" t="e">
        <f>IF(ISNUMBER($B$17),IF(AND($C$17=3,Z57&lt;=-COS(PI()*$B$17)),AA57,NA()),NA())</f>
        <v>#N/A</v>
      </c>
      <c r="AE57" s="138" t="e">
        <f>IF(ISNUMBER($B$17),IF(AND($C$17=4,Z57&lt;=-COS(PI()*$B$17)),AA57,NA()),NA())</f>
        <v>#N/A</v>
      </c>
      <c r="AF57" s="138" t="e">
        <f>IF(ISNUMBER($B$17),IF(AND($C$17=5,Z57&lt;=-COS(PI()*$B$17)),AA57,NA()),NA())</f>
        <v>#N/A</v>
      </c>
      <c r="AG57" s="138" t="e">
        <f>IF(ISNUMBER($B$17),IF(AND(ISNUMBER($B$17),Z57&gt;=MIN(0,$Z$2),Z57&lt;=MAX(0,$Z$2)),IF($Z$2=0,0,Z57/$Z$2*$AA$2),NA()),NA())</f>
        <v>#N/A</v>
      </c>
      <c r="AH57" s="138">
        <v>0.04</v>
      </c>
      <c r="AI57" s="138">
        <f>SQRT(MAX(0,1-AH57^2))</f>
        <v>0.99919967974374369</v>
      </c>
      <c r="AJ57" s="138" t="e">
        <f>IF(ISNUMBER($B$18),IF(AND($C$18=1,AH57&lt;=-COS(PI()*$B$18)),AI57,NA()),NA())</f>
        <v>#N/A</v>
      </c>
      <c r="AK57" s="138" t="e">
        <f>IF(ISNUMBER($B$18),IF(AND($C$18=2,AH57&lt;=-COS(PI()*$B$18)),AI57,NA()),NA())</f>
        <v>#N/A</v>
      </c>
      <c r="AL57" s="138" t="e">
        <f>IF(ISNUMBER($B$18),IF(AND($C$18=3,AH57&lt;=-COS(PI()*$B$18)),AI57,NA()),NA())</f>
        <v>#N/A</v>
      </c>
      <c r="AM57" s="138" t="e">
        <f>IF(ISNUMBER($B$18),IF(AND($C$18=4,AH57&lt;=-COS(PI()*$B$18)),AI57,NA()),NA())</f>
        <v>#N/A</v>
      </c>
      <c r="AN57" s="138" t="e">
        <f>IF(ISNUMBER($B$18),IF(AND($C$18=5,AH57&lt;=-COS(PI()*$B$18)),AI57,NA()),NA())</f>
        <v>#N/A</v>
      </c>
      <c r="AO57" s="138" t="e">
        <f>IF(ISNUMBER($B$18),IF(AND(ISNUMBER($B$18),AH57&gt;=MIN(0,$AH$2),AH57&lt;=MAX(0,$AH$2)),IF($AH$2=0,0,AH57/$AH$2*$AI$2),NA()),NA())</f>
        <v>#N/A</v>
      </c>
    </row>
    <row r="58" spans="1:55">
      <c r="A58" s="148" t="inlineStr">
        <is>
          <t>Top Client Share</t>
        </is>
      </c>
      <c r="B58" s="150">
        <f>IF(B6=0,"n.a.",MAX(B170:B176)/B6)</f>
        <v>0.7649230769230769</v>
      </c>
      <c r="C58" s="150">
        <f>IF(C6=0,"n.a.",MAX(C170:C176)/C6)</f>
        <v>0.6991680134896407</v>
      </c>
      <c r="D58" s="150">
        <f>IF(AND(ISNUMBER(B58),ISNUMBER(C58)),B58-C58,"n.a.")</f>
        <v>0.06575506343343618</v>
      </c>
      <c r="E58" s="150">
        <f>IF(AND(ISNUMBER(C58),C58&lt;&gt;0,ISNUMBER(D58)),D58/C58,"n.a.")</f>
        <v>0.09404758536541724</v>
      </c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>
        <v>0.06</v>
      </c>
      <c r="S58" s="138">
        <f>SQRT(MAX(0,1-R58^2))</f>
        <v>0.99819837707742243</v>
      </c>
      <c r="T58" s="138" t="e">
        <f>IF(ISNUMBER($B$16),IF(AND($C$16=1,R58&lt;=-COS(PI()*$B$16)),S58,NA()),NA())</f>
        <v>#N/A</v>
      </c>
      <c r="U58" s="138" t="e">
        <f>IF(ISNUMBER($B$16),IF(AND($C$16=2,R58&lt;=-COS(PI()*$B$16)),S58,NA()),NA())</f>
        <v>#N/A</v>
      </c>
      <c r="V58" s="138" t="e">
        <f>IF(ISNUMBER($B$16),IF(AND($C$16=3,R58&lt;=-COS(PI()*$B$16)),S58,NA()),NA())</f>
        <v>#N/A</v>
      </c>
      <c r="W58" s="138" t="e">
        <f>IF(ISNUMBER($B$16),IF(AND($C$16=4,R58&lt;=-COS(PI()*$B$16)),S58,NA()),NA())</f>
        <v>#N/A</v>
      </c>
      <c r="X58" s="138" t="e">
        <f>IF(ISNUMBER($B$16),IF(AND($C$16=5,R58&lt;=-COS(PI()*$B$16)),S58,NA()),NA())</f>
        <v>#N/A</v>
      </c>
      <c r="Y58" s="138" t="e">
        <f>IF(ISNUMBER($B$16),IF(AND(ISNUMBER($B$16),R58&gt;=MIN(0,$R$2),R58&lt;=MAX(0,$R$2)),IF($R$2=0,0,R58/$R$2*$S$2),NA()),NA())</f>
        <v>#N/A</v>
      </c>
      <c r="Z58" s="138">
        <v>0.06</v>
      </c>
      <c r="AA58" s="138">
        <f>SQRT(MAX(0,1-Z58^2))</f>
        <v>0.99819837707742243</v>
      </c>
      <c r="AB58" s="138" t="e">
        <f>IF(ISNUMBER($B$17),IF(AND($C$17=1,Z58&lt;=-COS(PI()*$B$17)),AA58,NA()),NA())</f>
        <v>#N/A</v>
      </c>
      <c r="AC58" s="138" t="e">
        <f>IF(ISNUMBER($B$17),IF(AND($C$17=2,Z58&lt;=-COS(PI()*$B$17)),AA58,NA()),NA())</f>
        <v>#N/A</v>
      </c>
      <c r="AD58" s="138" t="e">
        <f>IF(ISNUMBER($B$17),IF(AND($C$17=3,Z58&lt;=-COS(PI()*$B$17)),AA58,NA()),NA())</f>
        <v>#N/A</v>
      </c>
      <c r="AE58" s="138" t="e">
        <f>IF(ISNUMBER($B$17),IF(AND($C$17=4,Z58&lt;=-COS(PI()*$B$17)),AA58,NA()),NA())</f>
        <v>#N/A</v>
      </c>
      <c r="AF58" s="138" t="e">
        <f>IF(ISNUMBER($B$17),IF(AND($C$17=5,Z58&lt;=-COS(PI()*$B$17)),AA58,NA()),NA())</f>
        <v>#N/A</v>
      </c>
      <c r="AG58" s="138" t="e">
        <f>IF(ISNUMBER($B$17),IF(AND(ISNUMBER($B$17),Z58&gt;=MIN(0,$Z$2),Z58&lt;=MAX(0,$Z$2)),IF($Z$2=0,0,Z58/$Z$2*$AA$2),NA()),NA())</f>
        <v>#N/A</v>
      </c>
      <c r="AH58" s="138">
        <v>0.06</v>
      </c>
      <c r="AI58" s="138">
        <f>SQRT(MAX(0,1-AH58^2))</f>
        <v>0.99819837707742243</v>
      </c>
      <c r="AJ58" s="138" t="e">
        <f>IF(ISNUMBER($B$18),IF(AND($C$18=1,AH58&lt;=-COS(PI()*$B$18)),AI58,NA()),NA())</f>
        <v>#N/A</v>
      </c>
      <c r="AK58" s="138" t="e">
        <f>IF(ISNUMBER($B$18),IF(AND($C$18=2,AH58&lt;=-COS(PI()*$B$18)),AI58,NA()),NA())</f>
        <v>#N/A</v>
      </c>
      <c r="AL58" s="138" t="e">
        <f>IF(ISNUMBER($B$18),IF(AND($C$18=3,AH58&lt;=-COS(PI()*$B$18)),AI58,NA()),NA())</f>
        <v>#N/A</v>
      </c>
      <c r="AM58" s="138" t="e">
        <f>IF(ISNUMBER($B$18),IF(AND($C$18=4,AH58&lt;=-COS(PI()*$B$18)),AI58,NA()),NA())</f>
        <v>#N/A</v>
      </c>
      <c r="AN58" s="138" t="e">
        <f>IF(ISNUMBER($B$18),IF(AND($C$18=5,AH58&lt;=-COS(PI()*$B$18)),AI58,NA()),NA())</f>
        <v>#N/A</v>
      </c>
      <c r="AO58" s="138" t="e">
        <f>IF(ISNUMBER($B$18),IF(AND(ISNUMBER($B$18),AH58&gt;=MIN(0,$AH$2),AH58&lt;=MAX(0,$AH$2)),IF($AH$2=0,0,AH58/$AH$2*$AI$2),NA()),NA())</f>
        <v>#N/A</v>
      </c>
    </row>
    <row r="59" spans="1:55">
      <c r="A59" s="148" t="inlineStr">
        <is>
          <t>Top 3 Clients Share</t>
        </is>
      </c>
      <c r="B59" s="150">
        <f>IF(B6=0,"n.a.",(IFERROR(LARGE(B170:B176,1),0)+IFERROR(LARGE(B170:B176,2),0)+IFERROR(LARGE(B170:B176,3),0))/B6)</f>
        <v>0.9152449230769231</v>
      </c>
      <c r="C59" s="150">
        <f>IF(C6=0,"n.a.",(IFERROR(LARGE(C170:C176,1),0)+IFERROR(LARGE(C170:C176,2),0)+IFERROR(LARGE(C170:C176,3),0))/C6)</f>
        <v>0.9527442497302951</v>
      </c>
      <c r="D59" s="150">
        <f>IF(AND(ISNUMBER(B59),ISNUMBER(C59)),B59-C59,"n.a.")</f>
        <v>-0.03749932665337208</v>
      </c>
      <c r="E59" s="150">
        <f>IF(AND(ISNUMBER(C59),C59&lt;&gt;0,ISNUMBER(D59)),D59/C59,"n.a.")</f>
        <v>-0.0393592789082563</v>
      </c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>
        <v>0.08</v>
      </c>
      <c r="S59" s="138">
        <f>SQRT(MAX(0,1-R59^2))</f>
        <v>0.996794863550169</v>
      </c>
      <c r="T59" s="138" t="e">
        <f>IF(ISNUMBER($B$16),IF(AND($C$16=1,R59&lt;=-COS(PI()*$B$16)),S59,NA()),NA())</f>
        <v>#N/A</v>
      </c>
      <c r="U59" s="138" t="e">
        <f>IF(ISNUMBER($B$16),IF(AND($C$16=2,R59&lt;=-COS(PI()*$B$16)),S59,NA()),NA())</f>
        <v>#N/A</v>
      </c>
      <c r="V59" s="138" t="e">
        <f>IF(ISNUMBER($B$16),IF(AND($C$16=3,R59&lt;=-COS(PI()*$B$16)),S59,NA()),NA())</f>
        <v>#N/A</v>
      </c>
      <c r="W59" s="138" t="e">
        <f>IF(ISNUMBER($B$16),IF(AND($C$16=4,R59&lt;=-COS(PI()*$B$16)),S59,NA()),NA())</f>
        <v>#N/A</v>
      </c>
      <c r="X59" s="138" t="e">
        <f>IF(ISNUMBER($B$16),IF(AND($C$16=5,R59&lt;=-COS(PI()*$B$16)),S59,NA()),NA())</f>
        <v>#N/A</v>
      </c>
      <c r="Y59" s="138" t="e">
        <f>IF(ISNUMBER($B$16),IF(AND(ISNUMBER($B$16),R59&gt;=MIN(0,$R$2),R59&lt;=MAX(0,$R$2)),IF($R$2=0,0,R59/$R$2*$S$2),NA()),NA())</f>
        <v>#N/A</v>
      </c>
      <c r="Z59" s="138">
        <v>0.08</v>
      </c>
      <c r="AA59" s="138">
        <f>SQRT(MAX(0,1-Z59^2))</f>
        <v>0.996794863550169</v>
      </c>
      <c r="AB59" s="138" t="e">
        <f>IF(ISNUMBER($B$17),IF(AND($C$17=1,Z59&lt;=-COS(PI()*$B$17)),AA59,NA()),NA())</f>
        <v>#N/A</v>
      </c>
      <c r="AC59" s="138" t="e">
        <f>IF(ISNUMBER($B$17),IF(AND($C$17=2,Z59&lt;=-COS(PI()*$B$17)),AA59,NA()),NA())</f>
        <v>#N/A</v>
      </c>
      <c r="AD59" s="138" t="e">
        <f>IF(ISNUMBER($B$17),IF(AND($C$17=3,Z59&lt;=-COS(PI()*$B$17)),AA59,NA()),NA())</f>
        <v>#N/A</v>
      </c>
      <c r="AE59" s="138" t="e">
        <f>IF(ISNUMBER($B$17),IF(AND($C$17=4,Z59&lt;=-COS(PI()*$B$17)),AA59,NA()),NA())</f>
        <v>#N/A</v>
      </c>
      <c r="AF59" s="138" t="e">
        <f>IF(ISNUMBER($B$17),IF(AND($C$17=5,Z59&lt;=-COS(PI()*$B$17)),AA59,NA()),NA())</f>
        <v>#N/A</v>
      </c>
      <c r="AG59" s="138" t="e">
        <f>IF(ISNUMBER($B$17),IF(AND(ISNUMBER($B$17),Z59&gt;=MIN(0,$Z$2),Z59&lt;=MAX(0,$Z$2)),IF($Z$2=0,0,Z59/$Z$2*$AA$2),NA()),NA())</f>
        <v>#N/A</v>
      </c>
      <c r="AH59" s="138">
        <v>0.08</v>
      </c>
      <c r="AI59" s="138">
        <f>SQRT(MAX(0,1-AH59^2))</f>
        <v>0.996794863550169</v>
      </c>
      <c r="AJ59" s="138" t="e">
        <f>IF(ISNUMBER($B$18),IF(AND($C$18=1,AH59&lt;=-COS(PI()*$B$18)),AI59,NA()),NA())</f>
        <v>#N/A</v>
      </c>
      <c r="AK59" s="138" t="e">
        <f>IF(ISNUMBER($B$18),IF(AND($C$18=2,AH59&lt;=-COS(PI()*$B$18)),AI59,NA()),NA())</f>
        <v>#N/A</v>
      </c>
      <c r="AL59" s="138" t="e">
        <f>IF(ISNUMBER($B$18),IF(AND($C$18=3,AH59&lt;=-COS(PI()*$B$18)),AI59,NA()),NA())</f>
        <v>#N/A</v>
      </c>
      <c r="AM59" s="138" t="e">
        <f>IF(ISNUMBER($B$18),IF(AND($C$18=4,AH59&lt;=-COS(PI()*$B$18)),AI59,NA()),NA())</f>
        <v>#N/A</v>
      </c>
      <c r="AN59" s="138" t="e">
        <f>IF(ISNUMBER($B$18),IF(AND($C$18=5,AH59&lt;=-COS(PI()*$B$18)),AI59,NA()),NA())</f>
        <v>#N/A</v>
      </c>
      <c r="AO59" s="138" t="e">
        <f>IF(ISNUMBER($B$18),IF(AND(ISNUMBER($B$18),AH59&gt;=MIN(0,$AH$2),AH59&lt;=MAX(0,$AH$2)),IF($AH$2=0,0,AH59/$AH$2*$AI$2),NA()),NA())</f>
        <v>#N/A</v>
      </c>
    </row>
    <row r="60" spans="1:55">
      <c r="A60" s="148"/>
      <c r="B60" s="152"/>
      <c r="C60" s="152"/>
      <c r="D60" s="152"/>
      <c r="E60" s="152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>
        <v>0.1</v>
      </c>
      <c r="S60" s="138">
        <f>SQRT(MAX(0,1-R60^2))</f>
        <v>0.99498743710661997</v>
      </c>
      <c r="T60" s="138" t="e">
        <f>IF(ISNUMBER($B$16),IF(AND($C$16=1,R60&lt;=-COS(PI()*$B$16)),S60,NA()),NA())</f>
        <v>#N/A</v>
      </c>
      <c r="U60" s="138" t="e">
        <f>IF(ISNUMBER($B$16),IF(AND($C$16=2,R60&lt;=-COS(PI()*$B$16)),S60,NA()),NA())</f>
        <v>#N/A</v>
      </c>
      <c r="V60" s="138" t="e">
        <f>IF(ISNUMBER($B$16),IF(AND($C$16=3,R60&lt;=-COS(PI()*$B$16)),S60,NA()),NA())</f>
        <v>#N/A</v>
      </c>
      <c r="W60" s="138" t="e">
        <f>IF(ISNUMBER($B$16),IF(AND($C$16=4,R60&lt;=-COS(PI()*$B$16)),S60,NA()),NA())</f>
        <v>#N/A</v>
      </c>
      <c r="X60" s="138" t="e">
        <f>IF(ISNUMBER($B$16),IF(AND($C$16=5,R60&lt;=-COS(PI()*$B$16)),S60,NA()),NA())</f>
        <v>#N/A</v>
      </c>
      <c r="Y60" s="138" t="e">
        <f>IF(ISNUMBER($B$16),IF(AND(ISNUMBER($B$16),R60&gt;=MIN(0,$R$2),R60&lt;=MAX(0,$R$2)),IF($R$2=0,0,R60/$R$2*$S$2),NA()),NA())</f>
        <v>#N/A</v>
      </c>
      <c r="Z60" s="138">
        <v>0.1</v>
      </c>
      <c r="AA60" s="138">
        <f>SQRT(MAX(0,1-Z60^2))</f>
        <v>0.99498743710661997</v>
      </c>
      <c r="AB60" s="138" t="e">
        <f>IF(ISNUMBER($B$17),IF(AND($C$17=1,Z60&lt;=-COS(PI()*$B$17)),AA60,NA()),NA())</f>
        <v>#N/A</v>
      </c>
      <c r="AC60" s="138" t="e">
        <f>IF(ISNUMBER($B$17),IF(AND($C$17=2,Z60&lt;=-COS(PI()*$B$17)),AA60,NA()),NA())</f>
        <v>#N/A</v>
      </c>
      <c r="AD60" s="138" t="e">
        <f>IF(ISNUMBER($B$17),IF(AND($C$17=3,Z60&lt;=-COS(PI()*$B$17)),AA60,NA()),NA())</f>
        <v>#N/A</v>
      </c>
      <c r="AE60" s="138" t="e">
        <f>IF(ISNUMBER($B$17),IF(AND($C$17=4,Z60&lt;=-COS(PI()*$B$17)),AA60,NA()),NA())</f>
        <v>#N/A</v>
      </c>
      <c r="AF60" s="138" t="e">
        <f>IF(ISNUMBER($B$17),IF(AND($C$17=5,Z60&lt;=-COS(PI()*$B$17)),AA60,NA()),NA())</f>
        <v>#N/A</v>
      </c>
      <c r="AG60" s="138" t="e">
        <f>IF(ISNUMBER($B$17),IF(AND(ISNUMBER($B$17),Z60&gt;=MIN(0,$Z$2),Z60&lt;=MAX(0,$Z$2)),IF($Z$2=0,0,Z60/$Z$2*$AA$2),NA()),NA())</f>
        <v>#N/A</v>
      </c>
      <c r="AH60" s="138">
        <v>0.1</v>
      </c>
      <c r="AI60" s="138">
        <f>SQRT(MAX(0,1-AH60^2))</f>
        <v>0.99498743710661997</v>
      </c>
      <c r="AJ60" s="138" t="e">
        <f>IF(ISNUMBER($B$18),IF(AND($C$18=1,AH60&lt;=-COS(PI()*$B$18)),AI60,NA()),NA())</f>
        <v>#N/A</v>
      </c>
      <c r="AK60" s="138" t="e">
        <f>IF(ISNUMBER($B$18),IF(AND($C$18=2,AH60&lt;=-COS(PI()*$B$18)),AI60,NA()),NA())</f>
        <v>#N/A</v>
      </c>
      <c r="AL60" s="138" t="e">
        <f>IF(ISNUMBER($B$18),IF(AND($C$18=3,AH60&lt;=-COS(PI()*$B$18)),AI60,NA()),NA())</f>
        <v>#N/A</v>
      </c>
      <c r="AM60" s="138" t="e">
        <f>IF(ISNUMBER($B$18),IF(AND($C$18=4,AH60&lt;=-COS(PI()*$B$18)),AI60,NA()),NA())</f>
        <v>#N/A</v>
      </c>
      <c r="AN60" s="138" t="e">
        <f>IF(ISNUMBER($B$18),IF(AND($C$18=5,AH60&lt;=-COS(PI()*$B$18)),AI60,NA()),NA())</f>
        <v>#N/A</v>
      </c>
      <c r="AO60" s="138" t="e">
        <f>IF(ISNUMBER($B$18),IF(AND(ISNUMBER($B$18),AH60&gt;=MIN(0,$AH$2),AH60&lt;=MAX(0,$AH$2)),IF($AH$2=0,0,AH60/$AH$2*$AI$2),NA()),NA())</f>
        <v>#N/A</v>
      </c>
    </row>
    <row r="61" spans="1:55">
      <c r="A61" s="148"/>
      <c r="B61" s="152"/>
      <c r="C61" s="152"/>
      <c r="D61" s="152"/>
      <c r="E61" s="152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>
        <v>0.12</v>
      </c>
      <c r="S61" s="138">
        <f>SQRT(MAX(0,1-R61^2))</f>
        <v>0.99277389167926855</v>
      </c>
      <c r="T61" s="138" t="e">
        <f>IF(ISNUMBER($B$16),IF(AND($C$16=1,R61&lt;=-COS(PI()*$B$16)),S61,NA()),NA())</f>
        <v>#N/A</v>
      </c>
      <c r="U61" s="138" t="e">
        <f>IF(ISNUMBER($B$16),IF(AND($C$16=2,R61&lt;=-COS(PI()*$B$16)),S61,NA()),NA())</f>
        <v>#N/A</v>
      </c>
      <c r="V61" s="138" t="e">
        <f>IF(ISNUMBER($B$16),IF(AND($C$16=3,R61&lt;=-COS(PI()*$B$16)),S61,NA()),NA())</f>
        <v>#N/A</v>
      </c>
      <c r="W61" s="138" t="e">
        <f>IF(ISNUMBER($B$16),IF(AND($C$16=4,R61&lt;=-COS(PI()*$B$16)),S61,NA()),NA())</f>
        <v>#N/A</v>
      </c>
      <c r="X61" s="138" t="e">
        <f>IF(ISNUMBER($B$16),IF(AND($C$16=5,R61&lt;=-COS(PI()*$B$16)),S61,NA()),NA())</f>
        <v>#N/A</v>
      </c>
      <c r="Y61" s="138" t="e">
        <f>IF(ISNUMBER($B$16),IF(AND(ISNUMBER($B$16),R61&gt;=MIN(0,$R$2),R61&lt;=MAX(0,$R$2)),IF($R$2=0,0,R61/$R$2*$S$2),NA()),NA())</f>
        <v>#N/A</v>
      </c>
      <c r="Z61" s="138">
        <v>0.12</v>
      </c>
      <c r="AA61" s="138">
        <f>SQRT(MAX(0,1-Z61^2))</f>
        <v>0.99277389167926855</v>
      </c>
      <c r="AB61" s="138" t="e">
        <f>IF(ISNUMBER($B$17),IF(AND($C$17=1,Z61&lt;=-COS(PI()*$B$17)),AA61,NA()),NA())</f>
        <v>#N/A</v>
      </c>
      <c r="AC61" s="138" t="e">
        <f>IF(ISNUMBER($B$17),IF(AND($C$17=2,Z61&lt;=-COS(PI()*$B$17)),AA61,NA()),NA())</f>
        <v>#N/A</v>
      </c>
      <c r="AD61" s="138" t="e">
        <f>IF(ISNUMBER($B$17),IF(AND($C$17=3,Z61&lt;=-COS(PI()*$B$17)),AA61,NA()),NA())</f>
        <v>#N/A</v>
      </c>
      <c r="AE61" s="138" t="e">
        <f>IF(ISNUMBER($B$17),IF(AND($C$17=4,Z61&lt;=-COS(PI()*$B$17)),AA61,NA()),NA())</f>
        <v>#N/A</v>
      </c>
      <c r="AF61" s="138" t="e">
        <f>IF(ISNUMBER($B$17),IF(AND($C$17=5,Z61&lt;=-COS(PI()*$B$17)),AA61,NA()),NA())</f>
        <v>#N/A</v>
      </c>
      <c r="AG61" s="138" t="e">
        <f>IF(ISNUMBER($B$17),IF(AND(ISNUMBER($B$17),Z61&gt;=MIN(0,$Z$2),Z61&lt;=MAX(0,$Z$2)),IF($Z$2=0,0,Z61/$Z$2*$AA$2),NA()),NA())</f>
        <v>#N/A</v>
      </c>
      <c r="AH61" s="138">
        <v>0.12</v>
      </c>
      <c r="AI61" s="138">
        <f>SQRT(MAX(0,1-AH61^2))</f>
        <v>0.99277389167926855</v>
      </c>
      <c r="AJ61" s="138" t="e">
        <f>IF(ISNUMBER($B$18),IF(AND($C$18=1,AH61&lt;=-COS(PI()*$B$18)),AI61,NA()),NA())</f>
        <v>#N/A</v>
      </c>
      <c r="AK61" s="138" t="e">
        <f>IF(ISNUMBER($B$18),IF(AND($C$18=2,AH61&lt;=-COS(PI()*$B$18)),AI61,NA()),NA())</f>
        <v>#N/A</v>
      </c>
      <c r="AL61" s="138" t="e">
        <f>IF(ISNUMBER($B$18),IF(AND($C$18=3,AH61&lt;=-COS(PI()*$B$18)),AI61,NA()),NA())</f>
        <v>#N/A</v>
      </c>
      <c r="AM61" s="138" t="e">
        <f>IF(ISNUMBER($B$18),IF(AND($C$18=4,AH61&lt;=-COS(PI()*$B$18)),AI61,NA()),NA())</f>
        <v>#N/A</v>
      </c>
      <c r="AN61" s="138" t="e">
        <f>IF(ISNUMBER($B$18),IF(AND($C$18=5,AH61&lt;=-COS(PI()*$B$18)),AI61,NA()),NA())</f>
        <v>#N/A</v>
      </c>
      <c r="AO61" s="138" t="e">
        <f>IF(ISNUMBER($B$18),IF(AND(ISNUMBER($B$18),AH61&gt;=MIN(0,$AH$2),AH61&lt;=MAX(0,$AH$2)),IF($AH$2=0,0,AH61/$AH$2*$AI$2),NA()),NA())</f>
        <v>#N/A</v>
      </c>
    </row>
    <row r="62" spans="1:55">
      <c r="A62" s="148"/>
      <c r="B62" s="152"/>
      <c r="C62" s="152"/>
      <c r="D62" s="152"/>
      <c r="E62" s="152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>
        <v>0.14000000000000001</v>
      </c>
      <c r="S62" s="138">
        <f>SQRT(MAX(0,1-R62^2))</f>
        <v>0.99015150355892512</v>
      </c>
      <c r="T62" s="138" t="e">
        <f>IF(ISNUMBER($B$16),IF(AND($C$16=1,R62&lt;=-COS(PI()*$B$16)),S62,NA()),NA())</f>
        <v>#N/A</v>
      </c>
      <c r="U62" s="138" t="e">
        <f>IF(ISNUMBER($B$16),IF(AND($C$16=2,R62&lt;=-COS(PI()*$B$16)),S62,NA()),NA())</f>
        <v>#N/A</v>
      </c>
      <c r="V62" s="138" t="e">
        <f>IF(ISNUMBER($B$16),IF(AND($C$16=3,R62&lt;=-COS(PI()*$B$16)),S62,NA()),NA())</f>
        <v>#N/A</v>
      </c>
      <c r="W62" s="138" t="e">
        <f>IF(ISNUMBER($B$16),IF(AND($C$16=4,R62&lt;=-COS(PI()*$B$16)),S62,NA()),NA())</f>
        <v>#N/A</v>
      </c>
      <c r="X62" s="138" t="e">
        <f>IF(ISNUMBER($B$16),IF(AND($C$16=5,R62&lt;=-COS(PI()*$B$16)),S62,NA()),NA())</f>
        <v>#N/A</v>
      </c>
      <c r="Y62" s="138" t="e">
        <f>IF(ISNUMBER($B$16),IF(AND(ISNUMBER($B$16),R62&gt;=MIN(0,$R$2),R62&lt;=MAX(0,$R$2)),IF($R$2=0,0,R62/$R$2*$S$2),NA()),NA())</f>
        <v>#N/A</v>
      </c>
      <c r="Z62" s="138">
        <v>0.14000000000000001</v>
      </c>
      <c r="AA62" s="138">
        <f>SQRT(MAX(0,1-Z62^2))</f>
        <v>0.99015150355892512</v>
      </c>
      <c r="AB62" s="138" t="e">
        <f>IF(ISNUMBER($B$17),IF(AND($C$17=1,Z62&lt;=-COS(PI()*$B$17)),AA62,NA()),NA())</f>
        <v>#N/A</v>
      </c>
      <c r="AC62" s="138" t="e">
        <f>IF(ISNUMBER($B$17),IF(AND($C$17=2,Z62&lt;=-COS(PI()*$B$17)),AA62,NA()),NA())</f>
        <v>#N/A</v>
      </c>
      <c r="AD62" s="138" t="e">
        <f>IF(ISNUMBER($B$17),IF(AND($C$17=3,Z62&lt;=-COS(PI()*$B$17)),AA62,NA()),NA())</f>
        <v>#N/A</v>
      </c>
      <c r="AE62" s="138" t="e">
        <f>IF(ISNUMBER($B$17),IF(AND($C$17=4,Z62&lt;=-COS(PI()*$B$17)),AA62,NA()),NA())</f>
        <v>#N/A</v>
      </c>
      <c r="AF62" s="138" t="e">
        <f>IF(ISNUMBER($B$17),IF(AND($C$17=5,Z62&lt;=-COS(PI()*$B$17)),AA62,NA()),NA())</f>
        <v>#N/A</v>
      </c>
      <c r="AG62" s="138" t="e">
        <f>IF(ISNUMBER($B$17),IF(AND(ISNUMBER($B$17),Z62&gt;=MIN(0,$Z$2),Z62&lt;=MAX(0,$Z$2)),IF($Z$2=0,0,Z62/$Z$2*$AA$2),NA()),NA())</f>
        <v>#N/A</v>
      </c>
      <c r="AH62" s="138">
        <v>0.14000000000000001</v>
      </c>
      <c r="AI62" s="138">
        <f>SQRT(MAX(0,1-AH62^2))</f>
        <v>0.99015150355892512</v>
      </c>
      <c r="AJ62" s="138" t="e">
        <f>IF(ISNUMBER($B$18),IF(AND($C$18=1,AH62&lt;=-COS(PI()*$B$18)),AI62,NA()),NA())</f>
        <v>#N/A</v>
      </c>
      <c r="AK62" s="138" t="e">
        <f>IF(ISNUMBER($B$18),IF(AND($C$18=2,AH62&lt;=-COS(PI()*$B$18)),AI62,NA()),NA())</f>
        <v>#N/A</v>
      </c>
      <c r="AL62" s="138" t="e">
        <f>IF(ISNUMBER($B$18),IF(AND($C$18=3,AH62&lt;=-COS(PI()*$B$18)),AI62,NA()),NA())</f>
        <v>#N/A</v>
      </c>
      <c r="AM62" s="138" t="e">
        <f>IF(ISNUMBER($B$18),IF(AND($C$18=4,AH62&lt;=-COS(PI()*$B$18)),AI62,NA()),NA())</f>
        <v>#N/A</v>
      </c>
      <c r="AN62" s="138" t="e">
        <f>IF(ISNUMBER($B$18),IF(AND($C$18=5,AH62&lt;=-COS(PI()*$B$18)),AI62,NA()),NA())</f>
        <v>#N/A</v>
      </c>
      <c r="AO62" s="138" t="e">
        <f>IF(ISNUMBER($B$18),IF(AND(ISNUMBER($B$18),AH62&gt;=MIN(0,$AH$2),AH62&lt;=MAX(0,$AH$2)),IF($AH$2=0,0,AH62/$AH$2*$AI$2),NA()),NA())</f>
        <v>#N/A</v>
      </c>
    </row>
    <row r="63" spans="1:55">
      <c r="A63" s="148"/>
      <c r="B63" s="152"/>
      <c r="C63" s="152"/>
      <c r="D63" s="152"/>
      <c r="E63" s="152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>
        <v>0.16</v>
      </c>
      <c r="S63" s="138">
        <f>SQRT(MAX(0,1-R63^2))</f>
        <v>0.98711701434024535</v>
      </c>
      <c r="T63" s="138" t="e">
        <f>IF(ISNUMBER($B$16),IF(AND($C$16=1,R63&lt;=-COS(PI()*$B$16)),S63,NA()),NA())</f>
        <v>#N/A</v>
      </c>
      <c r="U63" s="138" t="e">
        <f>IF(ISNUMBER($B$16),IF(AND($C$16=2,R63&lt;=-COS(PI()*$B$16)),S63,NA()),NA())</f>
        <v>#N/A</v>
      </c>
      <c r="V63" s="138" t="e">
        <f>IF(ISNUMBER($B$16),IF(AND($C$16=3,R63&lt;=-COS(PI()*$B$16)),S63,NA()),NA())</f>
        <v>#N/A</v>
      </c>
      <c r="W63" s="138" t="e">
        <f>IF(ISNUMBER($B$16),IF(AND($C$16=4,R63&lt;=-COS(PI()*$B$16)),S63,NA()),NA())</f>
        <v>#N/A</v>
      </c>
      <c r="X63" s="138" t="e">
        <f>IF(ISNUMBER($B$16),IF(AND($C$16=5,R63&lt;=-COS(PI()*$B$16)),S63,NA()),NA())</f>
        <v>#N/A</v>
      </c>
      <c r="Y63" s="138" t="e">
        <f>IF(ISNUMBER($B$16),IF(AND(ISNUMBER($B$16),R63&gt;=MIN(0,$R$2),R63&lt;=MAX(0,$R$2)),IF($R$2=0,0,R63/$R$2*$S$2),NA()),NA())</f>
        <v>#N/A</v>
      </c>
      <c r="Z63" s="138">
        <v>0.16</v>
      </c>
      <c r="AA63" s="138">
        <f>SQRT(MAX(0,1-Z63^2))</f>
        <v>0.98711701434024535</v>
      </c>
      <c r="AB63" s="138" t="e">
        <f>IF(ISNUMBER($B$17),IF(AND($C$17=1,Z63&lt;=-COS(PI()*$B$17)),AA63,NA()),NA())</f>
        <v>#N/A</v>
      </c>
      <c r="AC63" s="138" t="e">
        <f>IF(ISNUMBER($B$17),IF(AND($C$17=2,Z63&lt;=-COS(PI()*$B$17)),AA63,NA()),NA())</f>
        <v>#N/A</v>
      </c>
      <c r="AD63" s="138" t="e">
        <f>IF(ISNUMBER($B$17),IF(AND($C$17=3,Z63&lt;=-COS(PI()*$B$17)),AA63,NA()),NA())</f>
        <v>#N/A</v>
      </c>
      <c r="AE63" s="138" t="e">
        <f>IF(ISNUMBER($B$17),IF(AND($C$17=4,Z63&lt;=-COS(PI()*$B$17)),AA63,NA()),NA())</f>
        <v>#N/A</v>
      </c>
      <c r="AF63" s="138" t="e">
        <f>IF(ISNUMBER($B$17),IF(AND($C$17=5,Z63&lt;=-COS(PI()*$B$17)),AA63,NA()),NA())</f>
        <v>#N/A</v>
      </c>
      <c r="AG63" s="138" t="e">
        <f>IF(ISNUMBER($B$17),IF(AND(ISNUMBER($B$17),Z63&gt;=MIN(0,$Z$2),Z63&lt;=MAX(0,$Z$2)),IF($Z$2=0,0,Z63/$Z$2*$AA$2),NA()),NA())</f>
        <v>#N/A</v>
      </c>
      <c r="AH63" s="138">
        <v>0.16</v>
      </c>
      <c r="AI63" s="138">
        <f>SQRT(MAX(0,1-AH63^2))</f>
        <v>0.98711701434024535</v>
      </c>
      <c r="AJ63" s="138" t="e">
        <f>IF(ISNUMBER($B$18),IF(AND($C$18=1,AH63&lt;=-COS(PI()*$B$18)),AI63,NA()),NA())</f>
        <v>#N/A</v>
      </c>
      <c r="AK63" s="138" t="e">
        <f>IF(ISNUMBER($B$18),IF(AND($C$18=2,AH63&lt;=-COS(PI()*$B$18)),AI63,NA()),NA())</f>
        <v>#N/A</v>
      </c>
      <c r="AL63" s="138" t="e">
        <f>IF(ISNUMBER($B$18),IF(AND($C$18=3,AH63&lt;=-COS(PI()*$B$18)),AI63,NA()),NA())</f>
        <v>#N/A</v>
      </c>
      <c r="AM63" s="138" t="e">
        <f>IF(ISNUMBER($B$18),IF(AND($C$18=4,AH63&lt;=-COS(PI()*$B$18)),AI63,NA()),NA())</f>
        <v>#N/A</v>
      </c>
      <c r="AN63" s="138" t="e">
        <f>IF(ISNUMBER($B$18),IF(AND($C$18=5,AH63&lt;=-COS(PI()*$B$18)),AI63,NA()),NA())</f>
        <v>#N/A</v>
      </c>
      <c r="AO63" s="138" t="e">
        <f>IF(ISNUMBER($B$18),IF(AND(ISNUMBER($B$18),AH63&gt;=MIN(0,$AH$2),AH63&lt;=MAX(0,$AH$2)),IF($AH$2=0,0,AH63/$AH$2*$AI$2),NA()),NA())</f>
        <v>#N/A</v>
      </c>
    </row>
    <row r="64" spans="1:5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 s="138">
        <v>0.18</v>
      </c>
      <c r="S64" s="138">
        <f>SQRT(MAX(0,1-R64^2))</f>
        <v>0.98366661018863499</v>
      </c>
      <c r="T64" s="138" t="e">
        <f>IF(ISNUMBER($B$16),IF(AND($C$16=1,R64&lt;=-COS(PI()*$B$16)),S64,NA()),NA())</f>
        <v>#N/A</v>
      </c>
      <c r="U64" s="138" t="e">
        <f>IF(ISNUMBER($B$16),IF(AND($C$16=2,R64&lt;=-COS(PI()*$B$16)),S64,NA()),NA())</f>
        <v>#N/A</v>
      </c>
      <c r="V64" s="138" t="e">
        <f>IF(ISNUMBER($B$16),IF(AND($C$16=3,R64&lt;=-COS(PI()*$B$16)),S64,NA()),NA())</f>
        <v>#N/A</v>
      </c>
      <c r="W64" s="138" t="e">
        <f>IF(ISNUMBER($B$16),IF(AND($C$16=4,R64&lt;=-COS(PI()*$B$16)),S64,NA()),NA())</f>
        <v>#N/A</v>
      </c>
      <c r="X64" s="138" t="e">
        <f>IF(ISNUMBER($B$16),IF(AND($C$16=5,R64&lt;=-COS(PI()*$B$16)),S64,NA()),NA())</f>
        <v>#N/A</v>
      </c>
      <c r="Y64" s="138" t="e">
        <f>IF(ISNUMBER($B$16),IF(AND(ISNUMBER($B$16),R64&gt;=MIN(0,$R$2),R64&lt;=MAX(0,$R$2)),IF($R$2=0,0,R64/$R$2*$S$2),NA()),NA())</f>
        <v>#N/A</v>
      </c>
      <c r="Z64" s="138">
        <v>0.18</v>
      </c>
      <c r="AA64" s="138">
        <f>SQRT(MAX(0,1-Z64^2))</f>
        <v>0.98366661018863499</v>
      </c>
      <c r="AB64" s="138" t="e">
        <f>IF(ISNUMBER($B$17),IF(AND($C$17=1,Z64&lt;=-COS(PI()*$B$17)),AA64,NA()),NA())</f>
        <v>#N/A</v>
      </c>
      <c r="AC64" s="138" t="e">
        <f>IF(ISNUMBER($B$17),IF(AND($C$17=2,Z64&lt;=-COS(PI()*$B$17)),AA64,NA()),NA())</f>
        <v>#N/A</v>
      </c>
      <c r="AD64" s="138" t="e">
        <f>IF(ISNUMBER($B$17),IF(AND($C$17=3,Z64&lt;=-COS(PI()*$B$17)),AA64,NA()),NA())</f>
        <v>#N/A</v>
      </c>
      <c r="AE64" s="138" t="e">
        <f>IF(ISNUMBER($B$17),IF(AND($C$17=4,Z64&lt;=-COS(PI()*$B$17)),AA64,NA()),NA())</f>
        <v>#N/A</v>
      </c>
      <c r="AF64" s="138" t="e">
        <f>IF(ISNUMBER($B$17),IF(AND($C$17=5,Z64&lt;=-COS(PI()*$B$17)),AA64,NA()),NA())</f>
        <v>#N/A</v>
      </c>
      <c r="AG64" s="138" t="e">
        <f>IF(ISNUMBER($B$17),IF(AND(ISNUMBER($B$17),Z64&gt;=MIN(0,$Z$2),Z64&lt;=MAX(0,$Z$2)),IF($Z$2=0,0,Z64/$Z$2*$AA$2),NA()),NA())</f>
        <v>#N/A</v>
      </c>
      <c r="AH64" s="138">
        <v>0.18</v>
      </c>
      <c r="AI64" s="138">
        <f>SQRT(MAX(0,1-AH64^2))</f>
        <v>0.98366661018863499</v>
      </c>
      <c r="AJ64" s="138" t="e">
        <f>IF(ISNUMBER($B$18),IF(AND($C$18=1,AH64&lt;=-COS(PI()*$B$18)),AI64,NA()),NA())</f>
        <v>#N/A</v>
      </c>
      <c r="AK64" s="138" t="e">
        <f>IF(ISNUMBER($B$18),IF(AND($C$18=2,AH64&lt;=-COS(PI()*$B$18)),AI64,NA()),NA())</f>
        <v>#N/A</v>
      </c>
      <c r="AL64" s="138" t="e">
        <f>IF(ISNUMBER($B$18),IF(AND($C$18=3,AH64&lt;=-COS(PI()*$B$18)),AI64,NA()),NA())</f>
        <v>#N/A</v>
      </c>
      <c r="AM64" s="138" t="e">
        <f>IF(ISNUMBER($B$18),IF(AND($C$18=4,AH64&lt;=-COS(PI()*$B$18)),AI64,NA()),NA())</f>
        <v>#N/A</v>
      </c>
      <c r="AN64" s="138" t="e">
        <f>IF(ISNUMBER($B$18),IF(AND($C$18=5,AH64&lt;=-COS(PI()*$B$18)),AI64,NA()),NA())</f>
        <v>#N/A</v>
      </c>
      <c r="AO64" s="138" t="e">
        <f>IF(ISNUMBER($B$18),IF(AND(ISNUMBER($B$18),AH64&gt;=MIN(0,$AH$2),AH64&lt;=MAX(0,$AH$2)),IF($AH$2=0,0,AH64/$AH$2*$AI$2),NA()),NA())</f>
        <v>#N/A</v>
      </c>
    </row>
    <row r="65" spans="1:41">
      <c r="A65" s="148"/>
      <c r="B65" s="152"/>
      <c r="C65" s="152"/>
      <c r="D65" s="152"/>
      <c r="E65" s="152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>
        <v>0.2</v>
      </c>
      <c r="S65" s="138">
        <f>SQRT(MAX(0,1-R65^2))</f>
        <v>0.9797958971132712</v>
      </c>
      <c r="T65" s="138" t="e">
        <f>IF(ISNUMBER($B$16),IF(AND($C$16=1,R65&lt;=-COS(PI()*$B$16)),S65,NA()),NA())</f>
        <v>#N/A</v>
      </c>
      <c r="U65" s="138" t="e">
        <f>IF(ISNUMBER($B$16),IF(AND($C$16=2,R65&lt;=-COS(PI()*$B$16)),S65,NA()),NA())</f>
        <v>#N/A</v>
      </c>
      <c r="V65" s="138" t="e">
        <f>IF(ISNUMBER($B$16),IF(AND($C$16=3,R65&lt;=-COS(PI()*$B$16)),S65,NA()),NA())</f>
        <v>#N/A</v>
      </c>
      <c r="W65" s="138" t="e">
        <f>IF(ISNUMBER($B$16),IF(AND($C$16=4,R65&lt;=-COS(PI()*$B$16)),S65,NA()),NA())</f>
        <v>#N/A</v>
      </c>
      <c r="X65" s="138" t="e">
        <f>IF(ISNUMBER($B$16),IF(AND($C$16=5,R65&lt;=-COS(PI()*$B$16)),S65,NA()),NA())</f>
        <v>#N/A</v>
      </c>
      <c r="Y65" s="138" t="e">
        <f>IF(ISNUMBER($B$16),IF(AND(ISNUMBER($B$16),R65&gt;=MIN(0,$R$2),R65&lt;=MAX(0,$R$2)),IF($R$2=0,0,R65/$R$2*$S$2),NA()),NA())</f>
        <v>#N/A</v>
      </c>
      <c r="Z65" s="138">
        <v>0.2</v>
      </c>
      <c r="AA65" s="138">
        <f>SQRT(MAX(0,1-Z65^2))</f>
        <v>0.9797958971132712</v>
      </c>
      <c r="AB65" s="138" t="e">
        <f>IF(ISNUMBER($B$17),IF(AND($C$17=1,Z65&lt;=-COS(PI()*$B$17)),AA65,NA()),NA())</f>
        <v>#N/A</v>
      </c>
      <c r="AC65" s="138" t="e">
        <f>IF(ISNUMBER($B$17),IF(AND($C$17=2,Z65&lt;=-COS(PI()*$B$17)),AA65,NA()),NA())</f>
        <v>#N/A</v>
      </c>
      <c r="AD65" s="138" t="e">
        <f>IF(ISNUMBER($B$17),IF(AND($C$17=3,Z65&lt;=-COS(PI()*$B$17)),AA65,NA()),NA())</f>
        <v>#N/A</v>
      </c>
      <c r="AE65" s="138" t="e">
        <f>IF(ISNUMBER($B$17),IF(AND($C$17=4,Z65&lt;=-COS(PI()*$B$17)),AA65,NA()),NA())</f>
        <v>#N/A</v>
      </c>
      <c r="AF65" s="138" t="e">
        <f>IF(ISNUMBER($B$17),IF(AND($C$17=5,Z65&lt;=-COS(PI()*$B$17)),AA65,NA()),NA())</f>
        <v>#N/A</v>
      </c>
      <c r="AG65" s="138" t="e">
        <f>IF(ISNUMBER($B$17),IF(AND(ISNUMBER($B$17),Z65&gt;=MIN(0,$Z$2),Z65&lt;=MAX(0,$Z$2)),IF($Z$2=0,0,Z65/$Z$2*$AA$2),NA()),NA())</f>
        <v>#N/A</v>
      </c>
      <c r="AH65" s="138">
        <v>0.2</v>
      </c>
      <c r="AI65" s="138">
        <f>SQRT(MAX(0,1-AH65^2))</f>
        <v>0.9797958971132712</v>
      </c>
      <c r="AJ65" s="138" t="e">
        <f>IF(ISNUMBER($B$18),IF(AND($C$18=1,AH65&lt;=-COS(PI()*$B$18)),AI65,NA()),NA())</f>
        <v>#N/A</v>
      </c>
      <c r="AK65" s="138" t="e">
        <f>IF(ISNUMBER($B$18),IF(AND($C$18=2,AH65&lt;=-COS(PI()*$B$18)),AI65,NA()),NA())</f>
        <v>#N/A</v>
      </c>
      <c r="AL65" s="138" t="e">
        <f>IF(ISNUMBER($B$18),IF(AND($C$18=3,AH65&lt;=-COS(PI()*$B$18)),AI65,NA()),NA())</f>
        <v>#N/A</v>
      </c>
      <c r="AM65" s="138" t="e">
        <f>IF(ISNUMBER($B$18),IF(AND($C$18=4,AH65&lt;=-COS(PI()*$B$18)),AI65,NA()),NA())</f>
        <v>#N/A</v>
      </c>
      <c r="AN65" s="138" t="e">
        <f>IF(ISNUMBER($B$18),IF(AND($C$18=5,AH65&lt;=-COS(PI()*$B$18)),AI65,NA()),NA())</f>
        <v>#N/A</v>
      </c>
      <c r="AO65" s="138" t="e">
        <f>IF(ISNUMBER($B$18),IF(AND(ISNUMBER($B$18),AH65&gt;=MIN(0,$AH$2),AH65&lt;=MAX(0,$AH$2)),IF($AH$2=0,0,AH65/$AH$2*$AI$2),NA()),NA())</f>
        <v>#N/A</v>
      </c>
    </row>
    <row r="66" spans="1:41">
      <c r="A66" s="148"/>
      <c r="B66" s="152"/>
      <c r="C66" s="152"/>
      <c r="D66" s="152"/>
      <c r="E66" s="152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>
        <v>0.22</v>
      </c>
      <c r="S66" s="138">
        <f>SQRT(MAX(0,1-R66^2))</f>
        <v>0.97549987186057585</v>
      </c>
      <c r="T66" s="138" t="e">
        <f>IF(ISNUMBER($B$16),IF(AND($C$16=1,R66&lt;=-COS(PI()*$B$16)),S66,NA()),NA())</f>
        <v>#N/A</v>
      </c>
      <c r="U66" s="138" t="e">
        <f>IF(ISNUMBER($B$16),IF(AND($C$16=2,R66&lt;=-COS(PI()*$B$16)),S66,NA()),NA())</f>
        <v>#N/A</v>
      </c>
      <c r="V66" s="138" t="e">
        <f>IF(ISNUMBER($B$16),IF(AND($C$16=3,R66&lt;=-COS(PI()*$B$16)),S66,NA()),NA())</f>
        <v>#N/A</v>
      </c>
      <c r="W66" s="138" t="e">
        <f>IF(ISNUMBER($B$16),IF(AND($C$16=4,R66&lt;=-COS(PI()*$B$16)),S66,NA()),NA())</f>
        <v>#N/A</v>
      </c>
      <c r="X66" s="138" t="e">
        <f>IF(ISNUMBER($B$16),IF(AND($C$16=5,R66&lt;=-COS(PI()*$B$16)),S66,NA()),NA())</f>
        <v>#N/A</v>
      </c>
      <c r="Y66" s="138" t="e">
        <f>IF(ISNUMBER($B$16),IF(AND(ISNUMBER($B$16),R66&gt;=MIN(0,$R$2),R66&lt;=MAX(0,$R$2)),IF($R$2=0,0,R66/$R$2*$S$2),NA()),NA())</f>
        <v>#N/A</v>
      </c>
      <c r="Z66" s="138">
        <v>0.22</v>
      </c>
      <c r="AA66" s="138">
        <f>SQRT(MAX(0,1-Z66^2))</f>
        <v>0.97549987186057585</v>
      </c>
      <c r="AB66" s="138" t="e">
        <f>IF(ISNUMBER($B$17),IF(AND($C$17=1,Z66&lt;=-COS(PI()*$B$17)),AA66,NA()),NA())</f>
        <v>#N/A</v>
      </c>
      <c r="AC66" s="138" t="e">
        <f>IF(ISNUMBER($B$17),IF(AND($C$17=2,Z66&lt;=-COS(PI()*$B$17)),AA66,NA()),NA())</f>
        <v>#N/A</v>
      </c>
      <c r="AD66" s="138" t="e">
        <f>IF(ISNUMBER($B$17),IF(AND($C$17=3,Z66&lt;=-COS(PI()*$B$17)),AA66,NA()),NA())</f>
        <v>#N/A</v>
      </c>
      <c r="AE66" s="138" t="e">
        <f>IF(ISNUMBER($B$17),IF(AND($C$17=4,Z66&lt;=-COS(PI()*$B$17)),AA66,NA()),NA())</f>
        <v>#N/A</v>
      </c>
      <c r="AF66" s="138" t="e">
        <f>IF(ISNUMBER($B$17),IF(AND($C$17=5,Z66&lt;=-COS(PI()*$B$17)),AA66,NA()),NA())</f>
        <v>#N/A</v>
      </c>
      <c r="AG66" s="138" t="e">
        <f>IF(ISNUMBER($B$17),IF(AND(ISNUMBER($B$17),Z66&gt;=MIN(0,$Z$2),Z66&lt;=MAX(0,$Z$2)),IF($Z$2=0,0,Z66/$Z$2*$AA$2),NA()),NA())</f>
        <v>#N/A</v>
      </c>
      <c r="AH66" s="138">
        <v>0.22</v>
      </c>
      <c r="AI66" s="138">
        <f>SQRT(MAX(0,1-AH66^2))</f>
        <v>0.97549987186057585</v>
      </c>
      <c r="AJ66" s="138" t="e">
        <f>IF(ISNUMBER($B$18),IF(AND($C$18=1,AH66&lt;=-COS(PI()*$B$18)),AI66,NA()),NA())</f>
        <v>#N/A</v>
      </c>
      <c r="AK66" s="138" t="e">
        <f>IF(ISNUMBER($B$18),IF(AND($C$18=2,AH66&lt;=-COS(PI()*$B$18)),AI66,NA()),NA())</f>
        <v>#N/A</v>
      </c>
      <c r="AL66" s="138" t="e">
        <f>IF(ISNUMBER($B$18),IF(AND($C$18=3,AH66&lt;=-COS(PI()*$B$18)),AI66,NA()),NA())</f>
        <v>#N/A</v>
      </c>
      <c r="AM66" s="138" t="e">
        <f>IF(ISNUMBER($B$18),IF(AND($C$18=4,AH66&lt;=-COS(PI()*$B$18)),AI66,NA()),NA())</f>
        <v>#N/A</v>
      </c>
      <c r="AN66" s="138" t="e">
        <f>IF(ISNUMBER($B$18),IF(AND($C$18=5,AH66&lt;=-COS(PI()*$B$18)),AI66,NA()),NA())</f>
        <v>#N/A</v>
      </c>
      <c r="AO66" s="138" t="e">
        <f>IF(ISNUMBER($B$18),IF(AND(ISNUMBER($B$18),AH66&gt;=MIN(0,$AH$2),AH66&lt;=MAX(0,$AH$2)),IF($AH$2=0,0,AH66/$AH$2*$AI$2),NA()),NA())</f>
        <v>#N/A</v>
      </c>
    </row>
    <row r="67" spans="1:41">
      <c r="A67" s="148"/>
      <c r="B67" s="152"/>
      <c r="C67" s="152"/>
      <c r="D67" s="152"/>
      <c r="E67" s="152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>
        <v>0.24</v>
      </c>
      <c r="S67" s="138">
        <f>SQRT(MAX(0,1-R67^2))</f>
        <v>0.97077288796092776</v>
      </c>
      <c r="T67" s="138" t="e">
        <f>IF(ISNUMBER($B$16),IF(AND($C$16=1,R67&lt;=-COS(PI()*$B$16)),S67,NA()),NA())</f>
        <v>#N/A</v>
      </c>
      <c r="U67" s="138" t="e">
        <f>IF(ISNUMBER($B$16),IF(AND($C$16=2,R67&lt;=-COS(PI()*$B$16)),S67,NA()),NA())</f>
        <v>#N/A</v>
      </c>
      <c r="V67" s="138" t="e">
        <f>IF(ISNUMBER($B$16),IF(AND($C$16=3,R67&lt;=-COS(PI()*$B$16)),S67,NA()),NA())</f>
        <v>#N/A</v>
      </c>
      <c r="W67" s="138" t="e">
        <f>IF(ISNUMBER($B$16),IF(AND($C$16=4,R67&lt;=-COS(PI()*$B$16)),S67,NA()),NA())</f>
        <v>#N/A</v>
      </c>
      <c r="X67" s="138" t="e">
        <f>IF(ISNUMBER($B$16),IF(AND($C$16=5,R67&lt;=-COS(PI()*$B$16)),S67,NA()),NA())</f>
        <v>#N/A</v>
      </c>
      <c r="Y67" s="138" t="e">
        <f>IF(ISNUMBER($B$16),IF(AND(ISNUMBER($B$16),R67&gt;=MIN(0,$R$2),R67&lt;=MAX(0,$R$2)),IF($R$2=0,0,R67/$R$2*$S$2),NA()),NA())</f>
        <v>#N/A</v>
      </c>
      <c r="Z67" s="138">
        <v>0.24</v>
      </c>
      <c r="AA67" s="138">
        <f>SQRT(MAX(0,1-Z67^2))</f>
        <v>0.97077288796092776</v>
      </c>
      <c r="AB67" s="138" t="e">
        <f>IF(ISNUMBER($B$17),IF(AND($C$17=1,Z67&lt;=-COS(PI()*$B$17)),AA67,NA()),NA())</f>
        <v>#N/A</v>
      </c>
      <c r="AC67" s="138" t="e">
        <f>IF(ISNUMBER($B$17),IF(AND($C$17=2,Z67&lt;=-COS(PI()*$B$17)),AA67,NA()),NA())</f>
        <v>#N/A</v>
      </c>
      <c r="AD67" s="138" t="e">
        <f>IF(ISNUMBER($B$17),IF(AND($C$17=3,Z67&lt;=-COS(PI()*$B$17)),AA67,NA()),NA())</f>
        <v>#N/A</v>
      </c>
      <c r="AE67" s="138" t="e">
        <f>IF(ISNUMBER($B$17),IF(AND($C$17=4,Z67&lt;=-COS(PI()*$B$17)),AA67,NA()),NA())</f>
        <v>#N/A</v>
      </c>
      <c r="AF67" s="138" t="e">
        <f>IF(ISNUMBER($B$17),IF(AND($C$17=5,Z67&lt;=-COS(PI()*$B$17)),AA67,NA()),NA())</f>
        <v>#N/A</v>
      </c>
      <c r="AG67" s="138" t="e">
        <f>IF(ISNUMBER($B$17),IF(AND(ISNUMBER($B$17),Z67&gt;=MIN(0,$Z$2),Z67&lt;=MAX(0,$Z$2)),IF($Z$2=0,0,Z67/$Z$2*$AA$2),NA()),NA())</f>
        <v>#N/A</v>
      </c>
      <c r="AH67" s="138">
        <v>0.24</v>
      </c>
      <c r="AI67" s="138">
        <f>SQRT(MAX(0,1-AH67^2))</f>
        <v>0.97077288796092776</v>
      </c>
      <c r="AJ67" s="138" t="e">
        <f>IF(ISNUMBER($B$18),IF(AND($C$18=1,AH67&lt;=-COS(PI()*$B$18)),AI67,NA()),NA())</f>
        <v>#N/A</v>
      </c>
      <c r="AK67" s="138" t="e">
        <f>IF(ISNUMBER($B$18),IF(AND($C$18=2,AH67&lt;=-COS(PI()*$B$18)),AI67,NA()),NA())</f>
        <v>#N/A</v>
      </c>
      <c r="AL67" s="138" t="e">
        <f>IF(ISNUMBER($B$18),IF(AND($C$18=3,AH67&lt;=-COS(PI()*$B$18)),AI67,NA()),NA())</f>
        <v>#N/A</v>
      </c>
      <c r="AM67" s="138" t="e">
        <f>IF(ISNUMBER($B$18),IF(AND($C$18=4,AH67&lt;=-COS(PI()*$B$18)),AI67,NA()),NA())</f>
        <v>#N/A</v>
      </c>
      <c r="AN67" s="138" t="e">
        <f>IF(ISNUMBER($B$18),IF(AND($C$18=5,AH67&lt;=-COS(PI()*$B$18)),AI67,NA()),NA())</f>
        <v>#N/A</v>
      </c>
      <c r="AO67" s="138" t="e">
        <f>IF(ISNUMBER($B$18),IF(AND(ISNUMBER($B$18),AH67&gt;=MIN(0,$AH$2),AH67&lt;=MAX(0,$AH$2)),IF($AH$2=0,0,AH67/$AH$2*$AI$2),NA()),NA())</f>
        <v>#N/A</v>
      </c>
    </row>
    <row r="68" spans="1:41">
      <c r="A68" s="148"/>
      <c r="B68" s="152"/>
      <c r="C68" s="152"/>
      <c r="D68" s="152"/>
      <c r="E68" s="152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>
        <v>0.26</v>
      </c>
      <c r="S68" s="138">
        <f>SQRT(MAX(0,1-R68^2))</f>
        <v>0.96560861636586492</v>
      </c>
      <c r="T68" s="138" t="e">
        <f>IF(ISNUMBER($B$16),IF(AND($C$16=1,R68&lt;=-COS(PI()*$B$16)),S68,NA()),NA())</f>
        <v>#N/A</v>
      </c>
      <c r="U68" s="138" t="e">
        <f>IF(ISNUMBER($B$16),IF(AND($C$16=2,R68&lt;=-COS(PI()*$B$16)),S68,NA()),NA())</f>
        <v>#N/A</v>
      </c>
      <c r="V68" s="138" t="e">
        <f>IF(ISNUMBER($B$16),IF(AND($C$16=3,R68&lt;=-COS(PI()*$B$16)),S68,NA()),NA())</f>
        <v>#N/A</v>
      </c>
      <c r="W68" s="138" t="e">
        <f>IF(ISNUMBER($B$16),IF(AND($C$16=4,R68&lt;=-COS(PI()*$B$16)),S68,NA()),NA())</f>
        <v>#N/A</v>
      </c>
      <c r="X68" s="138" t="e">
        <f>IF(ISNUMBER($B$16),IF(AND($C$16=5,R68&lt;=-COS(PI()*$B$16)),S68,NA()),NA())</f>
        <v>#N/A</v>
      </c>
      <c r="Y68" s="138" t="e">
        <f>IF(ISNUMBER($B$16),IF(AND(ISNUMBER($B$16),R68&gt;=MIN(0,$R$2),R68&lt;=MAX(0,$R$2)),IF($R$2=0,0,R68/$R$2*$S$2),NA()),NA())</f>
        <v>#N/A</v>
      </c>
      <c r="Z68" s="138">
        <v>0.26</v>
      </c>
      <c r="AA68" s="138">
        <f>SQRT(MAX(0,1-Z68^2))</f>
        <v>0.96560861636586492</v>
      </c>
      <c r="AB68" s="138" t="e">
        <f>IF(ISNUMBER($B$17),IF(AND($C$17=1,Z68&lt;=-COS(PI()*$B$17)),AA68,NA()),NA())</f>
        <v>#N/A</v>
      </c>
      <c r="AC68" s="138" t="e">
        <f>IF(ISNUMBER($B$17),IF(AND($C$17=2,Z68&lt;=-COS(PI()*$B$17)),AA68,NA()),NA())</f>
        <v>#N/A</v>
      </c>
      <c r="AD68" s="138" t="e">
        <f>IF(ISNUMBER($B$17),IF(AND($C$17=3,Z68&lt;=-COS(PI()*$B$17)),AA68,NA()),NA())</f>
        <v>#N/A</v>
      </c>
      <c r="AE68" s="138" t="e">
        <f>IF(ISNUMBER($B$17),IF(AND($C$17=4,Z68&lt;=-COS(PI()*$B$17)),AA68,NA()),NA())</f>
        <v>#N/A</v>
      </c>
      <c r="AF68" s="138" t="e">
        <f>IF(ISNUMBER($B$17),IF(AND($C$17=5,Z68&lt;=-COS(PI()*$B$17)),AA68,NA()),NA())</f>
        <v>#N/A</v>
      </c>
      <c r="AG68" s="138" t="e">
        <f>IF(ISNUMBER($B$17),IF(AND(ISNUMBER($B$17),Z68&gt;=MIN(0,$Z$2),Z68&lt;=MAX(0,$Z$2)),IF($Z$2=0,0,Z68/$Z$2*$AA$2),NA()),NA())</f>
        <v>#N/A</v>
      </c>
      <c r="AH68" s="138">
        <v>0.26</v>
      </c>
      <c r="AI68" s="138">
        <f>SQRT(MAX(0,1-AH68^2))</f>
        <v>0.96560861636586492</v>
      </c>
      <c r="AJ68" s="138" t="e">
        <f>IF(ISNUMBER($B$18),IF(AND($C$18=1,AH68&lt;=-COS(PI()*$B$18)),AI68,NA()),NA())</f>
        <v>#N/A</v>
      </c>
      <c r="AK68" s="138" t="e">
        <f>IF(ISNUMBER($B$18),IF(AND($C$18=2,AH68&lt;=-COS(PI()*$B$18)),AI68,NA()),NA())</f>
        <v>#N/A</v>
      </c>
      <c r="AL68" s="138" t="e">
        <f>IF(ISNUMBER($B$18),IF(AND($C$18=3,AH68&lt;=-COS(PI()*$B$18)),AI68,NA()),NA())</f>
        <v>#N/A</v>
      </c>
      <c r="AM68" s="138" t="e">
        <f>IF(ISNUMBER($B$18),IF(AND($C$18=4,AH68&lt;=-COS(PI()*$B$18)),AI68,NA()),NA())</f>
        <v>#N/A</v>
      </c>
      <c r="AN68" s="138" t="e">
        <f>IF(ISNUMBER($B$18),IF(AND($C$18=5,AH68&lt;=-COS(PI()*$B$18)),AI68,NA()),NA())</f>
        <v>#N/A</v>
      </c>
      <c r="AO68" s="138" t="e">
        <f>IF(ISNUMBER($B$18),IF(AND(ISNUMBER($B$18),AH68&gt;=MIN(0,$AH$2),AH68&lt;=MAX(0,$AH$2)),IF($AH$2=0,0,AH68/$AH$2*$AI$2),NA()),NA())</f>
        <v>#N/A</v>
      </c>
    </row>
    <row r="69" spans="1:41">
      <c r="A69" s="148"/>
      <c r="B69" s="152"/>
      <c r="C69" s="152"/>
      <c r="D69" s="152"/>
      <c r="E69" s="152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>
        <v>0.28000000000000003</v>
      </c>
      <c r="S69" s="138">
        <f>SQRT(MAX(0,1-R69^2))</f>
        <v>0.96</v>
      </c>
      <c r="T69" s="138" t="e">
        <f>IF(ISNUMBER($B$16),IF(AND($C$16=1,R69&lt;=-COS(PI()*$B$16)),S69,NA()),NA())</f>
        <v>#N/A</v>
      </c>
      <c r="U69" s="138" t="e">
        <f>IF(ISNUMBER($B$16),IF(AND($C$16=2,R69&lt;=-COS(PI()*$B$16)),S69,NA()),NA())</f>
        <v>#N/A</v>
      </c>
      <c r="V69" s="138" t="e">
        <f>IF(ISNUMBER($B$16),IF(AND($C$16=3,R69&lt;=-COS(PI()*$B$16)),S69,NA()),NA())</f>
        <v>#N/A</v>
      </c>
      <c r="W69" s="138" t="e">
        <f>IF(ISNUMBER($B$16),IF(AND($C$16=4,R69&lt;=-COS(PI()*$B$16)),S69,NA()),NA())</f>
        <v>#N/A</v>
      </c>
      <c r="X69" s="138" t="e">
        <f>IF(ISNUMBER($B$16),IF(AND($C$16=5,R69&lt;=-COS(PI()*$B$16)),S69,NA()),NA())</f>
        <v>#N/A</v>
      </c>
      <c r="Y69" s="138" t="e">
        <f>IF(ISNUMBER($B$16),IF(AND(ISNUMBER($B$16),R69&gt;=MIN(0,$R$2),R69&lt;=MAX(0,$R$2)),IF($R$2=0,0,R69/$R$2*$S$2),NA()),NA())</f>
        <v>#N/A</v>
      </c>
      <c r="Z69" s="138">
        <v>0.28000000000000003</v>
      </c>
      <c r="AA69" s="138">
        <f>SQRT(MAX(0,1-Z69^2))</f>
        <v>0.96</v>
      </c>
      <c r="AB69" s="138" t="e">
        <f>IF(ISNUMBER($B$17),IF(AND($C$17=1,Z69&lt;=-COS(PI()*$B$17)),AA69,NA()),NA())</f>
        <v>#N/A</v>
      </c>
      <c r="AC69" s="138" t="e">
        <f>IF(ISNUMBER($B$17),IF(AND($C$17=2,Z69&lt;=-COS(PI()*$B$17)),AA69,NA()),NA())</f>
        <v>#N/A</v>
      </c>
      <c r="AD69" s="138" t="e">
        <f>IF(ISNUMBER($B$17),IF(AND($C$17=3,Z69&lt;=-COS(PI()*$B$17)),AA69,NA()),NA())</f>
        <v>#N/A</v>
      </c>
      <c r="AE69" s="138" t="e">
        <f>IF(ISNUMBER($B$17),IF(AND($C$17=4,Z69&lt;=-COS(PI()*$B$17)),AA69,NA()),NA())</f>
        <v>#N/A</v>
      </c>
      <c r="AF69" s="138" t="e">
        <f>IF(ISNUMBER($B$17),IF(AND($C$17=5,Z69&lt;=-COS(PI()*$B$17)),AA69,NA()),NA())</f>
        <v>#N/A</v>
      </c>
      <c r="AG69" s="138" t="e">
        <f>IF(ISNUMBER($B$17),IF(AND(ISNUMBER($B$17),Z69&gt;=MIN(0,$Z$2),Z69&lt;=MAX(0,$Z$2)),IF($Z$2=0,0,Z69/$Z$2*$AA$2),NA()),NA())</f>
        <v>#N/A</v>
      </c>
      <c r="AH69" s="138">
        <v>0.28000000000000003</v>
      </c>
      <c r="AI69" s="138">
        <f>SQRT(MAX(0,1-AH69^2))</f>
        <v>0.96</v>
      </c>
      <c r="AJ69" s="138" t="e">
        <f>IF(ISNUMBER($B$18),IF(AND($C$18=1,AH69&lt;=-COS(PI()*$B$18)),AI69,NA()),NA())</f>
        <v>#N/A</v>
      </c>
      <c r="AK69" s="138" t="e">
        <f>IF(ISNUMBER($B$18),IF(AND($C$18=2,AH69&lt;=-COS(PI()*$B$18)),AI69,NA()),NA())</f>
        <v>#N/A</v>
      </c>
      <c r="AL69" s="138" t="e">
        <f>IF(ISNUMBER($B$18),IF(AND($C$18=3,AH69&lt;=-COS(PI()*$B$18)),AI69,NA()),NA())</f>
        <v>#N/A</v>
      </c>
      <c r="AM69" s="138" t="e">
        <f>IF(ISNUMBER($B$18),IF(AND($C$18=4,AH69&lt;=-COS(PI()*$B$18)),AI69,NA()),NA())</f>
        <v>#N/A</v>
      </c>
      <c r="AN69" s="138" t="e">
        <f>IF(ISNUMBER($B$18),IF(AND($C$18=5,AH69&lt;=-COS(PI()*$B$18)),AI69,NA()),NA())</f>
        <v>#N/A</v>
      </c>
      <c r="AO69" s="138" t="e">
        <f>IF(ISNUMBER($B$18),IF(AND(ISNUMBER($B$18),AH69&gt;=MIN(0,$AH$2),AH69&lt;=MAX(0,$AH$2)),IF($AH$2=0,0,AH69/$AH$2*$AI$2),NA()),NA())</f>
        <v>#N/A</v>
      </c>
    </row>
    <row r="70" spans="1:41">
      <c r="A70" s="148"/>
      <c r="B70" s="152"/>
      <c r="C70" s="152"/>
      <c r="D70" s="152"/>
      <c r="E70" s="152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>
        <v>0.3</v>
      </c>
      <c r="S70" s="138">
        <f>SQRT(MAX(0,1-R70^2))</f>
        <v>0.95393920141694566</v>
      </c>
      <c r="T70" s="138" t="e">
        <f>IF(ISNUMBER($B$16),IF(AND($C$16=1,R70&lt;=-COS(PI()*$B$16)),S70,NA()),NA())</f>
        <v>#N/A</v>
      </c>
      <c r="U70" s="138" t="e">
        <f>IF(ISNUMBER($B$16),IF(AND($C$16=2,R70&lt;=-COS(PI()*$B$16)),S70,NA()),NA())</f>
        <v>#N/A</v>
      </c>
      <c r="V70" s="138" t="e">
        <f>IF(ISNUMBER($B$16),IF(AND($C$16=3,R70&lt;=-COS(PI()*$B$16)),S70,NA()),NA())</f>
        <v>#N/A</v>
      </c>
      <c r="W70" s="138" t="e">
        <f>IF(ISNUMBER($B$16),IF(AND($C$16=4,R70&lt;=-COS(PI()*$B$16)),S70,NA()),NA())</f>
        <v>#N/A</v>
      </c>
      <c r="X70" s="138" t="e">
        <f>IF(ISNUMBER($B$16),IF(AND($C$16=5,R70&lt;=-COS(PI()*$B$16)),S70,NA()),NA())</f>
        <v>#N/A</v>
      </c>
      <c r="Y70" s="138" t="e">
        <f>IF(ISNUMBER($B$16),IF(AND(ISNUMBER($B$16),R70&gt;=MIN(0,$R$2),R70&lt;=MAX(0,$R$2)),IF($R$2=0,0,R70/$R$2*$S$2),NA()),NA())</f>
        <v>#N/A</v>
      </c>
      <c r="Z70" s="138">
        <v>0.3</v>
      </c>
      <c r="AA70" s="138">
        <f>SQRT(MAX(0,1-Z70^2))</f>
        <v>0.95393920141694566</v>
      </c>
      <c r="AB70" s="138" t="e">
        <f>IF(ISNUMBER($B$17),IF(AND($C$17=1,Z70&lt;=-COS(PI()*$B$17)),AA70,NA()),NA())</f>
        <v>#N/A</v>
      </c>
      <c r="AC70" s="138" t="e">
        <f>IF(ISNUMBER($B$17),IF(AND($C$17=2,Z70&lt;=-COS(PI()*$B$17)),AA70,NA()),NA())</f>
        <v>#N/A</v>
      </c>
      <c r="AD70" s="138" t="e">
        <f>IF(ISNUMBER($B$17),IF(AND($C$17=3,Z70&lt;=-COS(PI()*$B$17)),AA70,NA()),NA())</f>
        <v>#N/A</v>
      </c>
      <c r="AE70" s="138" t="e">
        <f>IF(ISNUMBER($B$17),IF(AND($C$17=4,Z70&lt;=-COS(PI()*$B$17)),AA70,NA()),NA())</f>
        <v>#N/A</v>
      </c>
      <c r="AF70" s="138" t="e">
        <f>IF(ISNUMBER($B$17),IF(AND($C$17=5,Z70&lt;=-COS(PI()*$B$17)),AA70,NA()),NA())</f>
        <v>#N/A</v>
      </c>
      <c r="AG70" s="138" t="e">
        <f>IF(ISNUMBER($B$17),IF(AND(ISNUMBER($B$17),Z70&gt;=MIN(0,$Z$2),Z70&lt;=MAX(0,$Z$2)),IF($Z$2=0,0,Z70/$Z$2*$AA$2),NA()),NA())</f>
        <v>#N/A</v>
      </c>
      <c r="AH70" s="138">
        <v>0.3</v>
      </c>
      <c r="AI70" s="138">
        <f>SQRT(MAX(0,1-AH70^2))</f>
        <v>0.95393920141694566</v>
      </c>
      <c r="AJ70" s="138" t="e">
        <f>IF(ISNUMBER($B$18),IF(AND($C$18=1,AH70&lt;=-COS(PI()*$B$18)),AI70,NA()),NA())</f>
        <v>#N/A</v>
      </c>
      <c r="AK70" s="138" t="e">
        <f>IF(ISNUMBER($B$18),IF(AND($C$18=2,AH70&lt;=-COS(PI()*$B$18)),AI70,NA()),NA())</f>
        <v>#N/A</v>
      </c>
      <c r="AL70" s="138" t="e">
        <f>IF(ISNUMBER($B$18),IF(AND($C$18=3,AH70&lt;=-COS(PI()*$B$18)),AI70,NA()),NA())</f>
        <v>#N/A</v>
      </c>
      <c r="AM70" s="138" t="e">
        <f>IF(ISNUMBER($B$18),IF(AND($C$18=4,AH70&lt;=-COS(PI()*$B$18)),AI70,NA()),NA())</f>
        <v>#N/A</v>
      </c>
      <c r="AN70" s="138" t="e">
        <f>IF(ISNUMBER($B$18),IF(AND($C$18=5,AH70&lt;=-COS(PI()*$B$18)),AI70,NA()),NA())</f>
        <v>#N/A</v>
      </c>
      <c r="AO70" s="138" t="e">
        <f>IF(ISNUMBER($B$18),IF(AND(ISNUMBER($B$18),AH70&gt;=MIN(0,$AH$2),AH70&lt;=MAX(0,$AH$2)),IF($AH$2=0,0,AH70/$AH$2*$AI$2),NA()),NA())</f>
        <v>#N/A</v>
      </c>
    </row>
    <row r="71" spans="1:41">
      <c r="A71" s="148"/>
      <c r="B71" s="152"/>
      <c r="C71" s="152"/>
      <c r="D71" s="152"/>
      <c r="E71" s="152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>
        <v>0.32</v>
      </c>
      <c r="S71" s="138">
        <f>SQRT(MAX(0,1-R71^2))</f>
        <v>0.94741754258616084</v>
      </c>
      <c r="T71" s="138" t="e">
        <f>IF(ISNUMBER($B$16),IF(AND($C$16=1,R71&lt;=-COS(PI()*$B$16)),S71,NA()),NA())</f>
        <v>#N/A</v>
      </c>
      <c r="U71" s="138" t="e">
        <f>IF(ISNUMBER($B$16),IF(AND($C$16=2,R71&lt;=-COS(PI()*$B$16)),S71,NA()),NA())</f>
        <v>#N/A</v>
      </c>
      <c r="V71" s="138" t="e">
        <f>IF(ISNUMBER($B$16),IF(AND($C$16=3,R71&lt;=-COS(PI()*$B$16)),S71,NA()),NA())</f>
        <v>#N/A</v>
      </c>
      <c r="W71" s="138" t="e">
        <f>IF(ISNUMBER($B$16),IF(AND($C$16=4,R71&lt;=-COS(PI()*$B$16)),S71,NA()),NA())</f>
        <v>#N/A</v>
      </c>
      <c r="X71" s="138" t="e">
        <f>IF(ISNUMBER($B$16),IF(AND($C$16=5,R71&lt;=-COS(PI()*$B$16)),S71,NA()),NA())</f>
        <v>#N/A</v>
      </c>
      <c r="Y71" s="138" t="e">
        <f>IF(ISNUMBER($B$16),IF(AND(ISNUMBER($B$16),R71&gt;=MIN(0,$R$2),R71&lt;=MAX(0,$R$2)),IF($R$2=0,0,R71/$R$2*$S$2),NA()),NA())</f>
        <v>#N/A</v>
      </c>
      <c r="Z71" s="138">
        <v>0.32</v>
      </c>
      <c r="AA71" s="138">
        <f>SQRT(MAX(0,1-Z71^2))</f>
        <v>0.94741754258616084</v>
      </c>
      <c r="AB71" s="138" t="e">
        <f>IF(ISNUMBER($B$17),IF(AND($C$17=1,Z71&lt;=-COS(PI()*$B$17)),AA71,NA()),NA())</f>
        <v>#N/A</v>
      </c>
      <c r="AC71" s="138" t="e">
        <f>IF(ISNUMBER($B$17),IF(AND($C$17=2,Z71&lt;=-COS(PI()*$B$17)),AA71,NA()),NA())</f>
        <v>#N/A</v>
      </c>
      <c r="AD71" s="138" t="e">
        <f>IF(ISNUMBER($B$17),IF(AND($C$17=3,Z71&lt;=-COS(PI()*$B$17)),AA71,NA()),NA())</f>
        <v>#N/A</v>
      </c>
      <c r="AE71" s="138" t="e">
        <f>IF(ISNUMBER($B$17),IF(AND($C$17=4,Z71&lt;=-COS(PI()*$B$17)),AA71,NA()),NA())</f>
        <v>#N/A</v>
      </c>
      <c r="AF71" s="138" t="e">
        <f>IF(ISNUMBER($B$17),IF(AND($C$17=5,Z71&lt;=-COS(PI()*$B$17)),AA71,NA()),NA())</f>
        <v>#N/A</v>
      </c>
      <c r="AG71" s="138" t="e">
        <f>IF(ISNUMBER($B$17),IF(AND(ISNUMBER($B$17),Z71&gt;=MIN(0,$Z$2),Z71&lt;=MAX(0,$Z$2)),IF($Z$2=0,0,Z71/$Z$2*$AA$2),NA()),NA())</f>
        <v>#N/A</v>
      </c>
      <c r="AH71" s="138">
        <v>0.32</v>
      </c>
      <c r="AI71" s="138">
        <f>SQRT(MAX(0,1-AH71^2))</f>
        <v>0.94741754258616084</v>
      </c>
      <c r="AJ71" s="138" t="e">
        <f>IF(ISNUMBER($B$18),IF(AND($C$18=1,AH71&lt;=-COS(PI()*$B$18)),AI71,NA()),NA())</f>
        <v>#N/A</v>
      </c>
      <c r="AK71" s="138" t="e">
        <f>IF(ISNUMBER($B$18),IF(AND($C$18=2,AH71&lt;=-COS(PI()*$B$18)),AI71,NA()),NA())</f>
        <v>#N/A</v>
      </c>
      <c r="AL71" s="138" t="e">
        <f>IF(ISNUMBER($B$18),IF(AND($C$18=3,AH71&lt;=-COS(PI()*$B$18)),AI71,NA()),NA())</f>
        <v>#N/A</v>
      </c>
      <c r="AM71" s="138" t="e">
        <f>IF(ISNUMBER($B$18),IF(AND($C$18=4,AH71&lt;=-COS(PI()*$B$18)),AI71,NA()),NA())</f>
        <v>#N/A</v>
      </c>
      <c r="AN71" s="138" t="e">
        <f>IF(ISNUMBER($B$18),IF(AND($C$18=5,AH71&lt;=-COS(PI()*$B$18)),AI71,NA()),NA())</f>
        <v>#N/A</v>
      </c>
      <c r="AO71" s="138" t="e">
        <f>IF(ISNUMBER($B$18),IF(AND(ISNUMBER($B$18),AH71&gt;=MIN(0,$AH$2),AH71&lt;=MAX(0,$AH$2)),IF($AH$2=0,0,AH71/$AH$2*$AI$2),NA()),NA())</f>
        <v>#N/A</v>
      </c>
    </row>
    <row r="72" spans="1:41">
      <c r="A72" s="148"/>
      <c r="B72" s="152"/>
      <c r="C72" s="152"/>
      <c r="D72" s="152"/>
      <c r="E72" s="152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>
        <v>0.34</v>
      </c>
      <c r="S72" s="138">
        <f>SQRT(MAX(0,1-R72^2))</f>
        <v>0.9404254356406998</v>
      </c>
      <c r="T72" s="138" t="e">
        <f>IF(ISNUMBER($B$16),IF(AND($C$16=1,R72&lt;=-COS(PI()*$B$16)),S72,NA()),NA())</f>
        <v>#N/A</v>
      </c>
      <c r="U72" s="138" t="e">
        <f>IF(ISNUMBER($B$16),IF(AND($C$16=2,R72&lt;=-COS(PI()*$B$16)),S72,NA()),NA())</f>
        <v>#N/A</v>
      </c>
      <c r="V72" s="138" t="e">
        <f>IF(ISNUMBER($B$16),IF(AND($C$16=3,R72&lt;=-COS(PI()*$B$16)),S72,NA()),NA())</f>
        <v>#N/A</v>
      </c>
      <c r="W72" s="138" t="e">
        <f>IF(ISNUMBER($B$16),IF(AND($C$16=4,R72&lt;=-COS(PI()*$B$16)),S72,NA()),NA())</f>
        <v>#N/A</v>
      </c>
      <c r="X72" s="138" t="e">
        <f>IF(ISNUMBER($B$16),IF(AND($C$16=5,R72&lt;=-COS(PI()*$B$16)),S72,NA()),NA())</f>
        <v>#N/A</v>
      </c>
      <c r="Y72" s="138" t="e">
        <f>IF(ISNUMBER($B$16),IF(AND(ISNUMBER($B$16),R72&gt;=MIN(0,$R$2),R72&lt;=MAX(0,$R$2)),IF($R$2=0,0,R72/$R$2*$S$2),NA()),NA())</f>
        <v>#N/A</v>
      </c>
      <c r="Z72" s="138">
        <v>0.34</v>
      </c>
      <c r="AA72" s="138">
        <f>SQRT(MAX(0,1-Z72^2))</f>
        <v>0.9404254356406998</v>
      </c>
      <c r="AB72" s="138" t="e">
        <f>IF(ISNUMBER($B$17),IF(AND($C$17=1,Z72&lt;=-COS(PI()*$B$17)),AA72,NA()),NA())</f>
        <v>#N/A</v>
      </c>
      <c r="AC72" s="138" t="e">
        <f>IF(ISNUMBER($B$17),IF(AND($C$17=2,Z72&lt;=-COS(PI()*$B$17)),AA72,NA()),NA())</f>
        <v>#N/A</v>
      </c>
      <c r="AD72" s="138" t="e">
        <f>IF(ISNUMBER($B$17),IF(AND($C$17=3,Z72&lt;=-COS(PI()*$B$17)),AA72,NA()),NA())</f>
        <v>#N/A</v>
      </c>
      <c r="AE72" s="138" t="e">
        <f>IF(ISNUMBER($B$17),IF(AND($C$17=4,Z72&lt;=-COS(PI()*$B$17)),AA72,NA()),NA())</f>
        <v>#N/A</v>
      </c>
      <c r="AF72" s="138" t="e">
        <f>IF(ISNUMBER($B$17),IF(AND($C$17=5,Z72&lt;=-COS(PI()*$B$17)),AA72,NA()),NA())</f>
        <v>#N/A</v>
      </c>
      <c r="AG72" s="138" t="e">
        <f>IF(ISNUMBER($B$17),IF(AND(ISNUMBER($B$17),Z72&gt;=MIN(0,$Z$2),Z72&lt;=MAX(0,$Z$2)),IF($Z$2=0,0,Z72/$Z$2*$AA$2),NA()),NA())</f>
        <v>#N/A</v>
      </c>
      <c r="AH72" s="138">
        <v>0.34</v>
      </c>
      <c r="AI72" s="138">
        <f>SQRT(MAX(0,1-AH72^2))</f>
        <v>0.9404254356406998</v>
      </c>
      <c r="AJ72" s="138" t="e">
        <f>IF(ISNUMBER($B$18),IF(AND($C$18=1,AH72&lt;=-COS(PI()*$B$18)),AI72,NA()),NA())</f>
        <v>#N/A</v>
      </c>
      <c r="AK72" s="138" t="e">
        <f>IF(ISNUMBER($B$18),IF(AND($C$18=2,AH72&lt;=-COS(PI()*$B$18)),AI72,NA()),NA())</f>
        <v>#N/A</v>
      </c>
      <c r="AL72" s="138" t="e">
        <f>IF(ISNUMBER($B$18),IF(AND($C$18=3,AH72&lt;=-COS(PI()*$B$18)),AI72,NA()),NA())</f>
        <v>#N/A</v>
      </c>
      <c r="AM72" s="138" t="e">
        <f>IF(ISNUMBER($B$18),IF(AND($C$18=4,AH72&lt;=-COS(PI()*$B$18)),AI72,NA()),NA())</f>
        <v>#N/A</v>
      </c>
      <c r="AN72" s="138" t="e">
        <f>IF(ISNUMBER($B$18),IF(AND($C$18=5,AH72&lt;=-COS(PI()*$B$18)),AI72,NA()),NA())</f>
        <v>#N/A</v>
      </c>
      <c r="AO72" s="138" t="e">
        <f>IF(ISNUMBER($B$18),IF(AND(ISNUMBER($B$18),AH72&gt;=MIN(0,$AH$2),AH72&lt;=MAX(0,$AH$2)),IF($AH$2=0,0,AH72/$AH$2*$AI$2),NA()),NA())</f>
        <v>#N/A</v>
      </c>
    </row>
    <row r="73" spans="1:41">
      <c r="A73" s="148"/>
      <c r="B73" s="152"/>
      <c r="C73" s="152"/>
      <c r="D73" s="152"/>
      <c r="E73" s="152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>
        <v>0.36</v>
      </c>
      <c r="S73" s="138">
        <f>SQRT(MAX(0,1-R73^2))</f>
        <v>0.93295230317524813</v>
      </c>
      <c r="T73" s="138" t="e">
        <f>IF(ISNUMBER($B$16),IF(AND($C$16=1,R73&lt;=-COS(PI()*$B$16)),S73,NA()),NA())</f>
        <v>#N/A</v>
      </c>
      <c r="U73" s="138" t="e">
        <f>IF(ISNUMBER($B$16),IF(AND($C$16=2,R73&lt;=-COS(PI()*$B$16)),S73,NA()),NA())</f>
        <v>#N/A</v>
      </c>
      <c r="V73" s="138" t="e">
        <f>IF(ISNUMBER($B$16),IF(AND($C$16=3,R73&lt;=-COS(PI()*$B$16)),S73,NA()),NA())</f>
        <v>#N/A</v>
      </c>
      <c r="W73" s="138" t="e">
        <f>IF(ISNUMBER($B$16),IF(AND($C$16=4,R73&lt;=-COS(PI()*$B$16)),S73,NA()),NA())</f>
        <v>#N/A</v>
      </c>
      <c r="X73" s="138" t="e">
        <f>IF(ISNUMBER($B$16),IF(AND($C$16=5,R73&lt;=-COS(PI()*$B$16)),S73,NA()),NA())</f>
        <v>#N/A</v>
      </c>
      <c r="Y73" s="138" t="e">
        <f>IF(ISNUMBER($B$16),IF(AND(ISNUMBER($B$16),R73&gt;=MIN(0,$R$2),R73&lt;=MAX(0,$R$2)),IF($R$2=0,0,R73/$R$2*$S$2),NA()),NA())</f>
        <v>#N/A</v>
      </c>
      <c r="Z73" s="138">
        <v>0.36</v>
      </c>
      <c r="AA73" s="138">
        <f>SQRT(MAX(0,1-Z73^2))</f>
        <v>0.93295230317524813</v>
      </c>
      <c r="AB73" s="138" t="e">
        <f>IF(ISNUMBER($B$17),IF(AND($C$17=1,Z73&lt;=-COS(PI()*$B$17)),AA73,NA()),NA())</f>
        <v>#N/A</v>
      </c>
      <c r="AC73" s="138" t="e">
        <f>IF(ISNUMBER($B$17),IF(AND($C$17=2,Z73&lt;=-COS(PI()*$B$17)),AA73,NA()),NA())</f>
        <v>#N/A</v>
      </c>
      <c r="AD73" s="138" t="e">
        <f>IF(ISNUMBER($B$17),IF(AND($C$17=3,Z73&lt;=-COS(PI()*$B$17)),AA73,NA()),NA())</f>
        <v>#N/A</v>
      </c>
      <c r="AE73" s="138" t="e">
        <f>IF(ISNUMBER($B$17),IF(AND($C$17=4,Z73&lt;=-COS(PI()*$B$17)),AA73,NA()),NA())</f>
        <v>#N/A</v>
      </c>
      <c r="AF73" s="138" t="e">
        <f>IF(ISNUMBER($B$17),IF(AND($C$17=5,Z73&lt;=-COS(PI()*$B$17)),AA73,NA()),NA())</f>
        <v>#N/A</v>
      </c>
      <c r="AG73" s="138" t="e">
        <f>IF(ISNUMBER($B$17),IF(AND(ISNUMBER($B$17),Z73&gt;=MIN(0,$Z$2),Z73&lt;=MAX(0,$Z$2)),IF($Z$2=0,0,Z73/$Z$2*$AA$2),NA()),NA())</f>
        <v>#N/A</v>
      </c>
      <c r="AH73" s="138">
        <v>0.36</v>
      </c>
      <c r="AI73" s="138">
        <f>SQRT(MAX(0,1-AH73^2))</f>
        <v>0.93295230317524813</v>
      </c>
      <c r="AJ73" s="138" t="e">
        <f>IF(ISNUMBER($B$18),IF(AND($C$18=1,AH73&lt;=-COS(PI()*$B$18)),AI73,NA()),NA())</f>
        <v>#N/A</v>
      </c>
      <c r="AK73" s="138" t="e">
        <f>IF(ISNUMBER($B$18),IF(AND($C$18=2,AH73&lt;=-COS(PI()*$B$18)),AI73,NA()),NA())</f>
        <v>#N/A</v>
      </c>
      <c r="AL73" s="138" t="e">
        <f>IF(ISNUMBER($B$18),IF(AND($C$18=3,AH73&lt;=-COS(PI()*$B$18)),AI73,NA()),NA())</f>
        <v>#N/A</v>
      </c>
      <c r="AM73" s="138" t="e">
        <f>IF(ISNUMBER($B$18),IF(AND($C$18=4,AH73&lt;=-COS(PI()*$B$18)),AI73,NA()),NA())</f>
        <v>#N/A</v>
      </c>
      <c r="AN73" s="138" t="e">
        <f>IF(ISNUMBER($B$18),IF(AND($C$18=5,AH73&lt;=-COS(PI()*$B$18)),AI73,NA()),NA())</f>
        <v>#N/A</v>
      </c>
      <c r="AO73" s="138" t="e">
        <f>IF(ISNUMBER($B$18),IF(AND(ISNUMBER($B$18),AH73&gt;=MIN(0,$AH$2),AH73&lt;=MAX(0,$AH$2)),IF($AH$2=0,0,AH73/$AH$2*$AI$2),NA()),NA())</f>
        <v>#N/A</v>
      </c>
    </row>
    <row r="74" spans="1:41">
      <c r="A74" s="148"/>
      <c r="B74" s="152"/>
      <c r="C74" s="152"/>
      <c r="D74" s="152"/>
      <c r="E74" s="152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>
        <v>0.38</v>
      </c>
      <c r="S74" s="138">
        <f>SQRT(MAX(0,1-R74^2))</f>
        <v>0.92498648638777425</v>
      </c>
      <c r="T74" s="138" t="e">
        <f>IF(ISNUMBER($B$16),IF(AND($C$16=1,R74&lt;=-COS(PI()*$B$16)),S74,NA()),NA())</f>
        <v>#N/A</v>
      </c>
      <c r="U74" s="138" t="e">
        <f>IF(ISNUMBER($B$16),IF(AND($C$16=2,R74&lt;=-COS(PI()*$B$16)),S74,NA()),NA())</f>
        <v>#N/A</v>
      </c>
      <c r="V74" s="138" t="e">
        <f>IF(ISNUMBER($B$16),IF(AND($C$16=3,R74&lt;=-COS(PI()*$B$16)),S74,NA()),NA())</f>
        <v>#N/A</v>
      </c>
      <c r="W74" s="138" t="e">
        <f>IF(ISNUMBER($B$16),IF(AND($C$16=4,R74&lt;=-COS(PI()*$B$16)),S74,NA()),NA())</f>
        <v>#N/A</v>
      </c>
      <c r="X74" s="138" t="e">
        <f>IF(ISNUMBER($B$16),IF(AND($C$16=5,R74&lt;=-COS(PI()*$B$16)),S74,NA()),NA())</f>
        <v>#N/A</v>
      </c>
      <c r="Y74" s="138" t="e">
        <f>IF(ISNUMBER($B$16),IF(AND(ISNUMBER($B$16),R74&gt;=MIN(0,$R$2),R74&lt;=MAX(0,$R$2)),IF($R$2=0,0,R74/$R$2*$S$2),NA()),NA())</f>
        <v>#N/A</v>
      </c>
      <c r="Z74" s="138">
        <v>0.38</v>
      </c>
      <c r="AA74" s="138">
        <f>SQRT(MAX(0,1-Z74^2))</f>
        <v>0.92498648638777425</v>
      </c>
      <c r="AB74" s="138" t="e">
        <f>IF(ISNUMBER($B$17),IF(AND($C$17=1,Z74&lt;=-COS(PI()*$B$17)),AA74,NA()),NA())</f>
        <v>#N/A</v>
      </c>
      <c r="AC74" s="138" t="e">
        <f>IF(ISNUMBER($B$17),IF(AND($C$17=2,Z74&lt;=-COS(PI()*$B$17)),AA74,NA()),NA())</f>
        <v>#N/A</v>
      </c>
      <c r="AD74" s="138" t="e">
        <f>IF(ISNUMBER($B$17),IF(AND($C$17=3,Z74&lt;=-COS(PI()*$B$17)),AA74,NA()),NA())</f>
        <v>#N/A</v>
      </c>
      <c r="AE74" s="138" t="e">
        <f>IF(ISNUMBER($B$17),IF(AND($C$17=4,Z74&lt;=-COS(PI()*$B$17)),AA74,NA()),NA())</f>
        <v>#N/A</v>
      </c>
      <c r="AF74" s="138" t="e">
        <f>IF(ISNUMBER($B$17),IF(AND($C$17=5,Z74&lt;=-COS(PI()*$B$17)),AA74,NA()),NA())</f>
        <v>#N/A</v>
      </c>
      <c r="AG74" s="138" t="e">
        <f>IF(ISNUMBER($B$17),IF(AND(ISNUMBER($B$17),Z74&gt;=MIN(0,$Z$2),Z74&lt;=MAX(0,$Z$2)),IF($Z$2=0,0,Z74/$Z$2*$AA$2),NA()),NA())</f>
        <v>#N/A</v>
      </c>
      <c r="AH74" s="138">
        <v>0.38</v>
      </c>
      <c r="AI74" s="138">
        <f>SQRT(MAX(0,1-AH74^2))</f>
        <v>0.92498648638777425</v>
      </c>
      <c r="AJ74" s="138" t="e">
        <f>IF(ISNUMBER($B$18),IF(AND($C$18=1,AH74&lt;=-COS(PI()*$B$18)),AI74,NA()),NA())</f>
        <v>#N/A</v>
      </c>
      <c r="AK74" s="138" t="e">
        <f>IF(ISNUMBER($B$18),IF(AND($C$18=2,AH74&lt;=-COS(PI()*$B$18)),AI74,NA()),NA())</f>
        <v>#N/A</v>
      </c>
      <c r="AL74" s="138" t="e">
        <f>IF(ISNUMBER($B$18),IF(AND($C$18=3,AH74&lt;=-COS(PI()*$B$18)),AI74,NA()),NA())</f>
        <v>#N/A</v>
      </c>
      <c r="AM74" s="138" t="e">
        <f>IF(ISNUMBER($B$18),IF(AND($C$18=4,AH74&lt;=-COS(PI()*$B$18)),AI74,NA()),NA())</f>
        <v>#N/A</v>
      </c>
      <c r="AN74" s="138" t="e">
        <f>IF(ISNUMBER($B$18),IF(AND($C$18=5,AH74&lt;=-COS(PI()*$B$18)),AI74,NA()),NA())</f>
        <v>#N/A</v>
      </c>
      <c r="AO74" s="138" t="e">
        <f>IF(ISNUMBER($B$18),IF(AND(ISNUMBER($B$18),AH74&gt;=MIN(0,$AH$2),AH74&lt;=MAX(0,$AH$2)),IF($AH$2=0,0,AH74/$AH$2*$AI$2),NA()),NA())</f>
        <v>#N/A</v>
      </c>
    </row>
    <row r="75" spans="1:41">
      <c r="A75" s="148"/>
      <c r="B75" s="152"/>
      <c r="C75" s="152"/>
      <c r="D75" s="152"/>
      <c r="E75" s="152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>
        <v>0.4</v>
      </c>
      <c r="S75" s="138">
        <f>SQRT(MAX(0,1-R75^2))</f>
        <v>0.91651513899116799</v>
      </c>
      <c r="T75" s="138" t="e">
        <f>IF(ISNUMBER($B$16),IF(AND($C$16=1,R75&lt;=-COS(PI()*$B$16)),S75,NA()),NA())</f>
        <v>#N/A</v>
      </c>
      <c r="U75" s="138" t="e">
        <f>IF(ISNUMBER($B$16),IF(AND($C$16=2,R75&lt;=-COS(PI()*$B$16)),S75,NA()),NA())</f>
        <v>#N/A</v>
      </c>
      <c r="V75" s="138" t="e">
        <f>IF(ISNUMBER($B$16),IF(AND($C$16=3,R75&lt;=-COS(PI()*$B$16)),S75,NA()),NA())</f>
        <v>#N/A</v>
      </c>
      <c r="W75" s="138" t="e">
        <f>IF(ISNUMBER($B$16),IF(AND($C$16=4,R75&lt;=-COS(PI()*$B$16)),S75,NA()),NA())</f>
        <v>#N/A</v>
      </c>
      <c r="X75" s="138" t="e">
        <f>IF(ISNUMBER($B$16),IF(AND($C$16=5,R75&lt;=-COS(PI()*$B$16)),S75,NA()),NA())</f>
        <v>#N/A</v>
      </c>
      <c r="Y75" s="138" t="e">
        <f>IF(ISNUMBER($B$16),IF(AND(ISNUMBER($B$16),R75&gt;=MIN(0,$R$2),R75&lt;=MAX(0,$R$2)),IF($R$2=0,0,R75/$R$2*$S$2),NA()),NA())</f>
        <v>#N/A</v>
      </c>
      <c r="Z75" s="138">
        <v>0.4</v>
      </c>
      <c r="AA75" s="138">
        <f>SQRT(MAX(0,1-Z75^2))</f>
        <v>0.91651513899116799</v>
      </c>
      <c r="AB75" s="138" t="e">
        <f>IF(ISNUMBER($B$17),IF(AND($C$17=1,Z75&lt;=-COS(PI()*$B$17)),AA75,NA()),NA())</f>
        <v>#N/A</v>
      </c>
      <c r="AC75" s="138" t="e">
        <f>IF(ISNUMBER($B$17),IF(AND($C$17=2,Z75&lt;=-COS(PI()*$B$17)),AA75,NA()),NA())</f>
        <v>#N/A</v>
      </c>
      <c r="AD75" s="138" t="e">
        <f>IF(ISNUMBER($B$17),IF(AND($C$17=3,Z75&lt;=-COS(PI()*$B$17)),AA75,NA()),NA())</f>
        <v>#N/A</v>
      </c>
      <c r="AE75" s="138" t="e">
        <f>IF(ISNUMBER($B$17),IF(AND($C$17=4,Z75&lt;=-COS(PI()*$B$17)),AA75,NA()),NA())</f>
        <v>#N/A</v>
      </c>
      <c r="AF75" s="138" t="e">
        <f>IF(ISNUMBER($B$17),IF(AND($C$17=5,Z75&lt;=-COS(PI()*$B$17)),AA75,NA()),NA())</f>
        <v>#N/A</v>
      </c>
      <c r="AG75" s="138" t="e">
        <f>IF(ISNUMBER($B$17),IF(AND(ISNUMBER($B$17),Z75&gt;=MIN(0,$Z$2),Z75&lt;=MAX(0,$Z$2)),IF($Z$2=0,0,Z75/$Z$2*$AA$2),NA()),NA())</f>
        <v>#N/A</v>
      </c>
      <c r="AH75" s="138">
        <v>0.4</v>
      </c>
      <c r="AI75" s="138">
        <f>SQRT(MAX(0,1-AH75^2))</f>
        <v>0.91651513899116799</v>
      </c>
      <c r="AJ75" s="138" t="e">
        <f>IF(ISNUMBER($B$18),IF(AND($C$18=1,AH75&lt;=-COS(PI()*$B$18)),AI75,NA()),NA())</f>
        <v>#N/A</v>
      </c>
      <c r="AK75" s="138" t="e">
        <f>IF(ISNUMBER($B$18),IF(AND($C$18=2,AH75&lt;=-COS(PI()*$B$18)),AI75,NA()),NA())</f>
        <v>#N/A</v>
      </c>
      <c r="AL75" s="138" t="e">
        <f>IF(ISNUMBER($B$18),IF(AND($C$18=3,AH75&lt;=-COS(PI()*$B$18)),AI75,NA()),NA())</f>
        <v>#N/A</v>
      </c>
      <c r="AM75" s="138" t="e">
        <f>IF(ISNUMBER($B$18),IF(AND($C$18=4,AH75&lt;=-COS(PI()*$B$18)),AI75,NA()),NA())</f>
        <v>#N/A</v>
      </c>
      <c r="AN75" s="138" t="e">
        <f>IF(ISNUMBER($B$18),IF(AND($C$18=5,AH75&lt;=-COS(PI()*$B$18)),AI75,NA()),NA())</f>
        <v>#N/A</v>
      </c>
      <c r="AO75" s="138" t="e">
        <f>IF(ISNUMBER($B$18),IF(AND(ISNUMBER($B$18),AH75&gt;=MIN(0,$AH$2),AH75&lt;=MAX(0,$AH$2)),IF($AH$2=0,0,AH75/$AH$2*$AI$2),NA()),NA())</f>
        <v>#N/A</v>
      </c>
    </row>
    <row r="76" spans="1:41">
      <c r="A76" s="148"/>
      <c r="B76" s="152"/>
      <c r="C76" s="152"/>
      <c r="D76" s="152"/>
      <c r="E76" s="152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>
        <v>0.42</v>
      </c>
      <c r="S76" s="138">
        <f>SQRT(MAX(0,1-R76^2))</f>
        <v>0.90752410436307418</v>
      </c>
      <c r="T76" s="138" t="e">
        <f>IF(ISNUMBER($B$16),IF(AND($C$16=1,R76&lt;=-COS(PI()*$B$16)),S76,NA()),NA())</f>
        <v>#N/A</v>
      </c>
      <c r="U76" s="138" t="e">
        <f>IF(ISNUMBER($B$16),IF(AND($C$16=2,R76&lt;=-COS(PI()*$B$16)),S76,NA()),NA())</f>
        <v>#N/A</v>
      </c>
      <c r="V76" s="138" t="e">
        <f>IF(ISNUMBER($B$16),IF(AND($C$16=3,R76&lt;=-COS(PI()*$B$16)),S76,NA()),NA())</f>
        <v>#N/A</v>
      </c>
      <c r="W76" s="138" t="e">
        <f>IF(ISNUMBER($B$16),IF(AND($C$16=4,R76&lt;=-COS(PI()*$B$16)),S76,NA()),NA())</f>
        <v>#N/A</v>
      </c>
      <c r="X76" s="138" t="e">
        <f>IF(ISNUMBER($B$16),IF(AND($C$16=5,R76&lt;=-COS(PI()*$B$16)),S76,NA()),NA())</f>
        <v>#N/A</v>
      </c>
      <c r="Y76" s="138" t="e">
        <f>IF(ISNUMBER($B$16),IF(AND(ISNUMBER($B$16),R76&gt;=MIN(0,$R$2),R76&lt;=MAX(0,$R$2)),IF($R$2=0,0,R76/$R$2*$S$2),NA()),NA())</f>
        <v>#N/A</v>
      </c>
      <c r="Z76" s="138">
        <v>0.42</v>
      </c>
      <c r="AA76" s="138">
        <f>SQRT(MAX(0,1-Z76^2))</f>
        <v>0.90752410436307418</v>
      </c>
      <c r="AB76" s="138" t="e">
        <f>IF(ISNUMBER($B$17),IF(AND($C$17=1,Z76&lt;=-COS(PI()*$B$17)),AA76,NA()),NA())</f>
        <v>#N/A</v>
      </c>
      <c r="AC76" s="138" t="e">
        <f>IF(ISNUMBER($B$17),IF(AND($C$17=2,Z76&lt;=-COS(PI()*$B$17)),AA76,NA()),NA())</f>
        <v>#N/A</v>
      </c>
      <c r="AD76" s="138" t="e">
        <f>IF(ISNUMBER($B$17),IF(AND($C$17=3,Z76&lt;=-COS(PI()*$B$17)),AA76,NA()),NA())</f>
        <v>#N/A</v>
      </c>
      <c r="AE76" s="138" t="e">
        <f>IF(ISNUMBER($B$17),IF(AND($C$17=4,Z76&lt;=-COS(PI()*$B$17)),AA76,NA()),NA())</f>
        <v>#N/A</v>
      </c>
      <c r="AF76" s="138" t="e">
        <f>IF(ISNUMBER($B$17),IF(AND($C$17=5,Z76&lt;=-COS(PI()*$B$17)),AA76,NA()),NA())</f>
        <v>#N/A</v>
      </c>
      <c r="AG76" s="138" t="e">
        <f>IF(ISNUMBER($B$17),IF(AND(ISNUMBER($B$17),Z76&gt;=MIN(0,$Z$2),Z76&lt;=MAX(0,$Z$2)),IF($Z$2=0,0,Z76/$Z$2*$AA$2),NA()),NA())</f>
        <v>#N/A</v>
      </c>
      <c r="AH76" s="138">
        <v>0.42</v>
      </c>
      <c r="AI76" s="138">
        <f>SQRT(MAX(0,1-AH76^2))</f>
        <v>0.90752410436307418</v>
      </c>
      <c r="AJ76" s="138" t="e">
        <f>IF(ISNUMBER($B$18),IF(AND($C$18=1,AH76&lt;=-COS(PI()*$B$18)),AI76,NA()),NA())</f>
        <v>#N/A</v>
      </c>
      <c r="AK76" s="138" t="e">
        <f>IF(ISNUMBER($B$18),IF(AND($C$18=2,AH76&lt;=-COS(PI()*$B$18)),AI76,NA()),NA())</f>
        <v>#N/A</v>
      </c>
      <c r="AL76" s="138" t="e">
        <f>IF(ISNUMBER($B$18),IF(AND($C$18=3,AH76&lt;=-COS(PI()*$B$18)),AI76,NA()),NA())</f>
        <v>#N/A</v>
      </c>
      <c r="AM76" s="138" t="e">
        <f>IF(ISNUMBER($B$18),IF(AND($C$18=4,AH76&lt;=-COS(PI()*$B$18)),AI76,NA()),NA())</f>
        <v>#N/A</v>
      </c>
      <c r="AN76" s="138" t="e">
        <f>IF(ISNUMBER($B$18),IF(AND($C$18=5,AH76&lt;=-COS(PI()*$B$18)),AI76,NA()),NA())</f>
        <v>#N/A</v>
      </c>
      <c r="AO76" s="138" t="e">
        <f>IF(ISNUMBER($B$18),IF(AND(ISNUMBER($B$18),AH76&gt;=MIN(0,$AH$2),AH76&lt;=MAX(0,$AH$2)),IF($AH$2=0,0,AH76/$AH$2*$AI$2),NA()),NA())</f>
        <v>#N/A</v>
      </c>
    </row>
    <row r="77" spans="1:41">
      <c r="A77" s="148"/>
      <c r="B77" s="152"/>
      <c r="C77" s="152"/>
      <c r="D77" s="152"/>
      <c r="E77" s="152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>
        <v>0.44</v>
      </c>
      <c r="S77" s="138">
        <f>SQRT(MAX(0,1-R77^2))</f>
        <v>0.89799777282574589</v>
      </c>
      <c r="T77" s="138" t="e">
        <f>IF(ISNUMBER($B$16),IF(AND($C$16=1,R77&lt;=-COS(PI()*$B$16)),S77,NA()),NA())</f>
        <v>#N/A</v>
      </c>
      <c r="U77" s="138" t="e">
        <f>IF(ISNUMBER($B$16),IF(AND($C$16=2,R77&lt;=-COS(PI()*$B$16)),S77,NA()),NA())</f>
        <v>#N/A</v>
      </c>
      <c r="V77" s="138" t="e">
        <f>IF(ISNUMBER($B$16),IF(AND($C$16=3,R77&lt;=-COS(PI()*$B$16)),S77,NA()),NA())</f>
        <v>#N/A</v>
      </c>
      <c r="W77" s="138" t="e">
        <f>IF(ISNUMBER($B$16),IF(AND($C$16=4,R77&lt;=-COS(PI()*$B$16)),S77,NA()),NA())</f>
        <v>#N/A</v>
      </c>
      <c r="X77" s="138" t="e">
        <f>IF(ISNUMBER($B$16),IF(AND($C$16=5,R77&lt;=-COS(PI()*$B$16)),S77,NA()),NA())</f>
        <v>#N/A</v>
      </c>
      <c r="Y77" s="138" t="e">
        <f>IF(ISNUMBER($B$16),IF(AND(ISNUMBER($B$16),R77&gt;=MIN(0,$R$2),R77&lt;=MAX(0,$R$2)),IF($R$2=0,0,R77/$R$2*$S$2),NA()),NA())</f>
        <v>#N/A</v>
      </c>
      <c r="Z77" s="138">
        <v>0.44</v>
      </c>
      <c r="AA77" s="138">
        <f>SQRT(MAX(0,1-Z77^2))</f>
        <v>0.89799777282574589</v>
      </c>
      <c r="AB77" s="138" t="e">
        <f>IF(ISNUMBER($B$17),IF(AND($C$17=1,Z77&lt;=-COS(PI()*$B$17)),AA77,NA()),NA())</f>
        <v>#N/A</v>
      </c>
      <c r="AC77" s="138" t="e">
        <f>IF(ISNUMBER($B$17),IF(AND($C$17=2,Z77&lt;=-COS(PI()*$B$17)),AA77,NA()),NA())</f>
        <v>#N/A</v>
      </c>
      <c r="AD77" s="138" t="e">
        <f>IF(ISNUMBER($B$17),IF(AND($C$17=3,Z77&lt;=-COS(PI()*$B$17)),AA77,NA()),NA())</f>
        <v>#N/A</v>
      </c>
      <c r="AE77" s="138" t="e">
        <f>IF(ISNUMBER($B$17),IF(AND($C$17=4,Z77&lt;=-COS(PI()*$B$17)),AA77,NA()),NA())</f>
        <v>#N/A</v>
      </c>
      <c r="AF77" s="138" t="e">
        <f>IF(ISNUMBER($B$17),IF(AND($C$17=5,Z77&lt;=-COS(PI()*$B$17)),AA77,NA()),NA())</f>
        <v>#N/A</v>
      </c>
      <c r="AG77" s="138" t="e">
        <f>IF(ISNUMBER($B$17),IF(AND(ISNUMBER($B$17),Z77&gt;=MIN(0,$Z$2),Z77&lt;=MAX(0,$Z$2)),IF($Z$2=0,0,Z77/$Z$2*$AA$2),NA()),NA())</f>
        <v>#N/A</v>
      </c>
      <c r="AH77" s="138">
        <v>0.44</v>
      </c>
      <c r="AI77" s="138">
        <f>SQRT(MAX(0,1-AH77^2))</f>
        <v>0.89799777282574589</v>
      </c>
      <c r="AJ77" s="138" t="e">
        <f>IF(ISNUMBER($B$18),IF(AND($C$18=1,AH77&lt;=-COS(PI()*$B$18)),AI77,NA()),NA())</f>
        <v>#N/A</v>
      </c>
      <c r="AK77" s="138" t="e">
        <f>IF(ISNUMBER($B$18),IF(AND($C$18=2,AH77&lt;=-COS(PI()*$B$18)),AI77,NA()),NA())</f>
        <v>#N/A</v>
      </c>
      <c r="AL77" s="138" t="e">
        <f>IF(ISNUMBER($B$18),IF(AND($C$18=3,AH77&lt;=-COS(PI()*$B$18)),AI77,NA()),NA())</f>
        <v>#N/A</v>
      </c>
      <c r="AM77" s="138" t="e">
        <f>IF(ISNUMBER($B$18),IF(AND($C$18=4,AH77&lt;=-COS(PI()*$B$18)),AI77,NA()),NA())</f>
        <v>#N/A</v>
      </c>
      <c r="AN77" s="138" t="e">
        <f>IF(ISNUMBER($B$18),IF(AND($C$18=5,AH77&lt;=-COS(PI()*$B$18)),AI77,NA()),NA())</f>
        <v>#N/A</v>
      </c>
      <c r="AO77" s="138" t="e">
        <f>IF(ISNUMBER($B$18),IF(AND(ISNUMBER($B$18),AH77&gt;=MIN(0,$AH$2),AH77&lt;=MAX(0,$AH$2)),IF($AH$2=0,0,AH77/$AH$2*$AI$2),NA()),NA())</f>
        <v>#N/A</v>
      </c>
    </row>
    <row r="78" spans="1:41">
      <c r="A78" s="148"/>
      <c r="B78" s="152"/>
      <c r="C78" s="152"/>
      <c r="D78" s="152"/>
      <c r="E78" s="152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>
        <v>0.46</v>
      </c>
      <c r="S78" s="138">
        <f>SQRT(MAX(0,1-R78^2))</f>
        <v>0.88791891521692456</v>
      </c>
      <c r="T78" s="138" t="e">
        <f>IF(ISNUMBER($B$16),IF(AND($C$16=1,R78&lt;=-COS(PI()*$B$16)),S78,NA()),NA())</f>
        <v>#N/A</v>
      </c>
      <c r="U78" s="138" t="e">
        <f>IF(ISNUMBER($B$16),IF(AND($C$16=2,R78&lt;=-COS(PI()*$B$16)),S78,NA()),NA())</f>
        <v>#N/A</v>
      </c>
      <c r="V78" s="138" t="e">
        <f>IF(ISNUMBER($B$16),IF(AND($C$16=3,R78&lt;=-COS(PI()*$B$16)),S78,NA()),NA())</f>
        <v>#N/A</v>
      </c>
      <c r="W78" s="138" t="e">
        <f>IF(ISNUMBER($B$16),IF(AND($C$16=4,R78&lt;=-COS(PI()*$B$16)),S78,NA()),NA())</f>
        <v>#N/A</v>
      </c>
      <c r="X78" s="138" t="e">
        <f>IF(ISNUMBER($B$16),IF(AND($C$16=5,R78&lt;=-COS(PI()*$B$16)),S78,NA()),NA())</f>
        <v>#N/A</v>
      </c>
      <c r="Y78" s="138" t="e">
        <f>IF(ISNUMBER($B$16),IF(AND(ISNUMBER($B$16),R78&gt;=MIN(0,$R$2),R78&lt;=MAX(0,$R$2)),IF($R$2=0,0,R78/$R$2*$S$2),NA()),NA())</f>
        <v>#N/A</v>
      </c>
      <c r="Z78" s="138">
        <v>0.46</v>
      </c>
      <c r="AA78" s="138">
        <f>SQRT(MAX(0,1-Z78^2))</f>
        <v>0.88791891521692456</v>
      </c>
      <c r="AB78" s="138" t="e">
        <f>IF(ISNUMBER($B$17),IF(AND($C$17=1,Z78&lt;=-COS(PI()*$B$17)),AA78,NA()),NA())</f>
        <v>#N/A</v>
      </c>
      <c r="AC78" s="138" t="e">
        <f>IF(ISNUMBER($B$17),IF(AND($C$17=2,Z78&lt;=-COS(PI()*$B$17)),AA78,NA()),NA())</f>
        <v>#N/A</v>
      </c>
      <c r="AD78" s="138" t="e">
        <f>IF(ISNUMBER($B$17),IF(AND($C$17=3,Z78&lt;=-COS(PI()*$B$17)),AA78,NA()),NA())</f>
        <v>#N/A</v>
      </c>
      <c r="AE78" s="138" t="e">
        <f>IF(ISNUMBER($B$17),IF(AND($C$17=4,Z78&lt;=-COS(PI()*$B$17)),AA78,NA()),NA())</f>
        <v>#N/A</v>
      </c>
      <c r="AF78" s="138" t="e">
        <f>IF(ISNUMBER($B$17),IF(AND($C$17=5,Z78&lt;=-COS(PI()*$B$17)),AA78,NA()),NA())</f>
        <v>#N/A</v>
      </c>
      <c r="AG78" s="138" t="e">
        <f>IF(ISNUMBER($B$17),IF(AND(ISNUMBER($B$17),Z78&gt;=MIN(0,$Z$2),Z78&lt;=MAX(0,$Z$2)),IF($Z$2=0,0,Z78/$Z$2*$AA$2),NA()),NA())</f>
        <v>#N/A</v>
      </c>
      <c r="AH78" s="138">
        <v>0.46</v>
      </c>
      <c r="AI78" s="138">
        <f>SQRT(MAX(0,1-AH78^2))</f>
        <v>0.88791891521692456</v>
      </c>
      <c r="AJ78" s="138" t="e">
        <f>IF(ISNUMBER($B$18),IF(AND($C$18=1,AH78&lt;=-COS(PI()*$B$18)),AI78,NA()),NA())</f>
        <v>#N/A</v>
      </c>
      <c r="AK78" s="138" t="e">
        <f>IF(ISNUMBER($B$18),IF(AND($C$18=2,AH78&lt;=-COS(PI()*$B$18)),AI78,NA()),NA())</f>
        <v>#N/A</v>
      </c>
      <c r="AL78" s="138" t="e">
        <f>IF(ISNUMBER($B$18),IF(AND($C$18=3,AH78&lt;=-COS(PI()*$B$18)),AI78,NA()),NA())</f>
        <v>#N/A</v>
      </c>
      <c r="AM78" s="138" t="e">
        <f>IF(ISNUMBER($B$18),IF(AND($C$18=4,AH78&lt;=-COS(PI()*$B$18)),AI78,NA()),NA())</f>
        <v>#N/A</v>
      </c>
      <c r="AN78" s="138" t="e">
        <f>IF(ISNUMBER($B$18),IF(AND($C$18=5,AH78&lt;=-COS(PI()*$B$18)),AI78,NA()),NA())</f>
        <v>#N/A</v>
      </c>
      <c r="AO78" s="138" t="e">
        <f>IF(ISNUMBER($B$18),IF(AND(ISNUMBER($B$18),AH78&gt;=MIN(0,$AH$2),AH78&lt;=MAX(0,$AH$2)),IF($AH$2=0,0,AH78/$AH$2*$AI$2),NA()),NA())</f>
        <v>#N/A</v>
      </c>
    </row>
    <row r="79" spans="1:41">
      <c r="A79" s="148"/>
      <c r="B79" s="152"/>
      <c r="C79" s="152"/>
      <c r="D79" s="152"/>
      <c r="E79" s="152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>
        <v>0.48</v>
      </c>
      <c r="S79" s="138">
        <f>SQRT(MAX(0,1-R79^2))</f>
        <v>0.87726848797845236</v>
      </c>
      <c r="T79" s="138" t="e">
        <f>IF(ISNUMBER($B$16),IF(AND($C$16=1,R79&lt;=-COS(PI()*$B$16)),S79,NA()),NA())</f>
        <v>#N/A</v>
      </c>
      <c r="U79" s="138" t="e">
        <f>IF(ISNUMBER($B$16),IF(AND($C$16=2,R79&lt;=-COS(PI()*$B$16)),S79,NA()),NA())</f>
        <v>#N/A</v>
      </c>
      <c r="V79" s="138" t="e">
        <f>IF(ISNUMBER($B$16),IF(AND($C$16=3,R79&lt;=-COS(PI()*$B$16)),S79,NA()),NA())</f>
        <v>#N/A</v>
      </c>
      <c r="W79" s="138" t="e">
        <f>IF(ISNUMBER($B$16),IF(AND($C$16=4,R79&lt;=-COS(PI()*$B$16)),S79,NA()),NA())</f>
        <v>#N/A</v>
      </c>
      <c r="X79" s="138" t="e">
        <f>IF(ISNUMBER($B$16),IF(AND($C$16=5,R79&lt;=-COS(PI()*$B$16)),S79,NA()),NA())</f>
        <v>#N/A</v>
      </c>
      <c r="Y79" s="138" t="e">
        <f>IF(ISNUMBER($B$16),IF(AND(ISNUMBER($B$16),R79&gt;=MIN(0,$R$2),R79&lt;=MAX(0,$R$2)),IF($R$2=0,0,R79/$R$2*$S$2),NA()),NA())</f>
        <v>#N/A</v>
      </c>
      <c r="Z79" s="138">
        <v>0.48</v>
      </c>
      <c r="AA79" s="138">
        <f>SQRT(MAX(0,1-Z79^2))</f>
        <v>0.87726848797845236</v>
      </c>
      <c r="AB79" s="138" t="e">
        <f>IF(ISNUMBER($B$17),IF(AND($C$17=1,Z79&lt;=-COS(PI()*$B$17)),AA79,NA()),NA())</f>
        <v>#N/A</v>
      </c>
      <c r="AC79" s="138" t="e">
        <f>IF(ISNUMBER($B$17),IF(AND($C$17=2,Z79&lt;=-COS(PI()*$B$17)),AA79,NA()),NA())</f>
        <v>#N/A</v>
      </c>
      <c r="AD79" s="138" t="e">
        <f>IF(ISNUMBER($B$17),IF(AND($C$17=3,Z79&lt;=-COS(PI()*$B$17)),AA79,NA()),NA())</f>
        <v>#N/A</v>
      </c>
      <c r="AE79" s="138" t="e">
        <f>IF(ISNUMBER($B$17),IF(AND($C$17=4,Z79&lt;=-COS(PI()*$B$17)),AA79,NA()),NA())</f>
        <v>#N/A</v>
      </c>
      <c r="AF79" s="138" t="e">
        <f>IF(ISNUMBER($B$17),IF(AND($C$17=5,Z79&lt;=-COS(PI()*$B$17)),AA79,NA()),NA())</f>
        <v>#N/A</v>
      </c>
      <c r="AG79" s="138" t="e">
        <f>IF(ISNUMBER($B$17),IF(AND(ISNUMBER($B$17),Z79&gt;=MIN(0,$Z$2),Z79&lt;=MAX(0,$Z$2)),IF($Z$2=0,0,Z79/$Z$2*$AA$2),NA()),NA())</f>
        <v>#N/A</v>
      </c>
      <c r="AH79" s="138">
        <v>0.48</v>
      </c>
      <c r="AI79" s="138">
        <f>SQRT(MAX(0,1-AH79^2))</f>
        <v>0.87726848797845236</v>
      </c>
      <c r="AJ79" s="138" t="e">
        <f>IF(ISNUMBER($B$18),IF(AND($C$18=1,AH79&lt;=-COS(PI()*$B$18)),AI79,NA()),NA())</f>
        <v>#N/A</v>
      </c>
      <c r="AK79" s="138" t="e">
        <f>IF(ISNUMBER($B$18),IF(AND($C$18=2,AH79&lt;=-COS(PI()*$B$18)),AI79,NA()),NA())</f>
        <v>#N/A</v>
      </c>
      <c r="AL79" s="138" t="e">
        <f>IF(ISNUMBER($B$18),IF(AND($C$18=3,AH79&lt;=-COS(PI()*$B$18)),AI79,NA()),NA())</f>
        <v>#N/A</v>
      </c>
      <c r="AM79" s="138" t="e">
        <f>IF(ISNUMBER($B$18),IF(AND($C$18=4,AH79&lt;=-COS(PI()*$B$18)),AI79,NA()),NA())</f>
        <v>#N/A</v>
      </c>
      <c r="AN79" s="138" t="e">
        <f>IF(ISNUMBER($B$18),IF(AND($C$18=5,AH79&lt;=-COS(PI()*$B$18)),AI79,NA()),NA())</f>
        <v>#N/A</v>
      </c>
      <c r="AO79" s="138" t="e">
        <f>IF(ISNUMBER($B$18),IF(AND(ISNUMBER($B$18),AH79&gt;=MIN(0,$AH$2),AH79&lt;=MAX(0,$AH$2)),IF($AH$2=0,0,AH79/$AH$2*$AI$2),NA()),NA())</f>
        <v>#N/A</v>
      </c>
    </row>
    <row r="80" spans="1:41">
      <c r="A80" s="148"/>
      <c r="B80" s="152"/>
      <c r="C80" s="152"/>
      <c r="D80" s="152"/>
      <c r="E80" s="152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>
        <v>0.5</v>
      </c>
      <c r="S80" s="138">
        <f>SQRT(MAX(0,1-R80^2))</f>
        <v>0.8660254037844386</v>
      </c>
      <c r="T80" s="138" t="e">
        <f>IF(ISNUMBER($B$16),IF(AND($C$16=1,R80&lt;=-COS(PI()*$B$16)),S80,NA()),NA())</f>
        <v>#N/A</v>
      </c>
      <c r="U80" s="138" t="e">
        <f>IF(ISNUMBER($B$16),IF(AND($C$16=2,R80&lt;=-COS(PI()*$B$16)),S80,NA()),NA())</f>
        <v>#N/A</v>
      </c>
      <c r="V80" s="138" t="e">
        <f>IF(ISNUMBER($B$16),IF(AND($C$16=3,R80&lt;=-COS(PI()*$B$16)),S80,NA()),NA())</f>
        <v>#N/A</v>
      </c>
      <c r="W80" s="138" t="e">
        <f>IF(ISNUMBER($B$16),IF(AND($C$16=4,R80&lt;=-COS(PI()*$B$16)),S80,NA()),NA())</f>
        <v>#N/A</v>
      </c>
      <c r="X80" s="138" t="e">
        <f>IF(ISNUMBER($B$16),IF(AND($C$16=5,R80&lt;=-COS(PI()*$B$16)),S80,NA()),NA())</f>
        <v>#N/A</v>
      </c>
      <c r="Y80" s="138" t="e">
        <f>IF(ISNUMBER($B$16),IF(AND(ISNUMBER($B$16),R80&gt;=MIN(0,$R$2),R80&lt;=MAX(0,$R$2)),IF($R$2=0,0,R80/$R$2*$S$2),NA()),NA())</f>
        <v>#N/A</v>
      </c>
      <c r="Z80" s="138">
        <v>0.5</v>
      </c>
      <c r="AA80" s="138">
        <f>SQRT(MAX(0,1-Z80^2))</f>
        <v>0.8660254037844386</v>
      </c>
      <c r="AB80" s="138" t="e">
        <f>IF(ISNUMBER($B$17),IF(AND($C$17=1,Z80&lt;=-COS(PI()*$B$17)),AA80,NA()),NA())</f>
        <v>#N/A</v>
      </c>
      <c r="AC80" s="138" t="e">
        <f>IF(ISNUMBER($B$17),IF(AND($C$17=2,Z80&lt;=-COS(PI()*$B$17)),AA80,NA()),NA())</f>
        <v>#N/A</v>
      </c>
      <c r="AD80" s="138" t="e">
        <f>IF(ISNUMBER($B$17),IF(AND($C$17=3,Z80&lt;=-COS(PI()*$B$17)),AA80,NA()),NA())</f>
        <v>#N/A</v>
      </c>
      <c r="AE80" s="138" t="e">
        <f>IF(ISNUMBER($B$17),IF(AND($C$17=4,Z80&lt;=-COS(PI()*$B$17)),AA80,NA()),NA())</f>
        <v>#N/A</v>
      </c>
      <c r="AF80" s="138" t="e">
        <f>IF(ISNUMBER($B$17),IF(AND($C$17=5,Z80&lt;=-COS(PI()*$B$17)),AA80,NA()),NA())</f>
        <v>#N/A</v>
      </c>
      <c r="AG80" s="138" t="e">
        <f>IF(ISNUMBER($B$17),IF(AND(ISNUMBER($B$17),Z80&gt;=MIN(0,$Z$2),Z80&lt;=MAX(0,$Z$2)),IF($Z$2=0,0,Z80/$Z$2*$AA$2),NA()),NA())</f>
        <v>#N/A</v>
      </c>
      <c r="AH80" s="138">
        <v>0.5</v>
      </c>
      <c r="AI80" s="138">
        <f>SQRT(MAX(0,1-AH80^2))</f>
        <v>0.8660254037844386</v>
      </c>
      <c r="AJ80" s="138" t="e">
        <f>IF(ISNUMBER($B$18),IF(AND($C$18=1,AH80&lt;=-COS(PI()*$B$18)),AI80,NA()),NA())</f>
        <v>#N/A</v>
      </c>
      <c r="AK80" s="138" t="e">
        <f>IF(ISNUMBER($B$18),IF(AND($C$18=2,AH80&lt;=-COS(PI()*$B$18)),AI80,NA()),NA())</f>
        <v>#N/A</v>
      </c>
      <c r="AL80" s="138" t="e">
        <f>IF(ISNUMBER($B$18),IF(AND($C$18=3,AH80&lt;=-COS(PI()*$B$18)),AI80,NA()),NA())</f>
        <v>#N/A</v>
      </c>
      <c r="AM80" s="138" t="e">
        <f>IF(ISNUMBER($B$18),IF(AND($C$18=4,AH80&lt;=-COS(PI()*$B$18)),AI80,NA()),NA())</f>
        <v>#N/A</v>
      </c>
      <c r="AN80" s="138" t="e">
        <f>IF(ISNUMBER($B$18),IF(AND($C$18=5,AH80&lt;=-COS(PI()*$B$18)),AI80,NA()),NA())</f>
        <v>#N/A</v>
      </c>
      <c r="AO80" s="138" t="e">
        <f>IF(ISNUMBER($B$18),IF(AND(ISNUMBER($B$18),AH80&gt;=MIN(0,$AH$2),AH80&lt;=MAX(0,$AH$2)),IF($AH$2=0,0,AH80/$AH$2*$AI$2),NA()),NA())</f>
        <v>#N/A</v>
      </c>
    </row>
    <row r="81" spans="1:41">
      <c r="A81" s="148"/>
      <c r="B81" s="152"/>
      <c r="C81" s="152"/>
      <c r="D81" s="152"/>
      <c r="E81" s="152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>
        <v>0.52</v>
      </c>
      <c r="S81" s="138">
        <f>SQRT(MAX(0,1-R81^2))</f>
        <v>0.85416626016250496</v>
      </c>
      <c r="T81" s="138" t="e">
        <f>IF(ISNUMBER($B$16),IF(AND($C$16=1,R81&lt;=-COS(PI()*$B$16)),S81,NA()),NA())</f>
        <v>#N/A</v>
      </c>
      <c r="U81" s="138" t="e">
        <f>IF(ISNUMBER($B$16),IF(AND($C$16=2,R81&lt;=-COS(PI()*$B$16)),S81,NA()),NA())</f>
        <v>#N/A</v>
      </c>
      <c r="V81" s="138" t="e">
        <f>IF(ISNUMBER($B$16),IF(AND($C$16=3,R81&lt;=-COS(PI()*$B$16)),S81,NA()),NA())</f>
        <v>#N/A</v>
      </c>
      <c r="W81" s="138" t="e">
        <f>IF(ISNUMBER($B$16),IF(AND($C$16=4,R81&lt;=-COS(PI()*$B$16)),S81,NA()),NA())</f>
        <v>#N/A</v>
      </c>
      <c r="X81" s="138" t="e">
        <f>IF(ISNUMBER($B$16),IF(AND($C$16=5,R81&lt;=-COS(PI()*$B$16)),S81,NA()),NA())</f>
        <v>#N/A</v>
      </c>
      <c r="Y81" s="138" t="e">
        <f>IF(ISNUMBER($B$16),IF(AND(ISNUMBER($B$16),R81&gt;=MIN(0,$R$2),R81&lt;=MAX(0,$R$2)),IF($R$2=0,0,R81/$R$2*$S$2),NA()),NA())</f>
        <v>#N/A</v>
      </c>
      <c r="Z81" s="138">
        <v>0.52</v>
      </c>
      <c r="AA81" s="138">
        <f>SQRT(MAX(0,1-Z81^2))</f>
        <v>0.85416626016250496</v>
      </c>
      <c r="AB81" s="138" t="e">
        <f>IF(ISNUMBER($B$17),IF(AND($C$17=1,Z81&lt;=-COS(PI()*$B$17)),AA81,NA()),NA())</f>
        <v>#N/A</v>
      </c>
      <c r="AC81" s="138" t="e">
        <f>IF(ISNUMBER($B$17),IF(AND($C$17=2,Z81&lt;=-COS(PI()*$B$17)),AA81,NA()),NA())</f>
        <v>#N/A</v>
      </c>
      <c r="AD81" s="138" t="e">
        <f>IF(ISNUMBER($B$17),IF(AND($C$17=3,Z81&lt;=-COS(PI()*$B$17)),AA81,NA()),NA())</f>
        <v>#N/A</v>
      </c>
      <c r="AE81" s="138" t="e">
        <f>IF(ISNUMBER($B$17),IF(AND($C$17=4,Z81&lt;=-COS(PI()*$B$17)),AA81,NA()),NA())</f>
        <v>#N/A</v>
      </c>
      <c r="AF81" s="138" t="e">
        <f>IF(ISNUMBER($B$17),IF(AND($C$17=5,Z81&lt;=-COS(PI()*$B$17)),AA81,NA()),NA())</f>
        <v>#N/A</v>
      </c>
      <c r="AG81" s="138" t="e">
        <f>IF(ISNUMBER($B$17),IF(AND(ISNUMBER($B$17),Z81&gt;=MIN(0,$Z$2),Z81&lt;=MAX(0,$Z$2)),IF($Z$2=0,0,Z81/$Z$2*$AA$2),NA()),NA())</f>
        <v>#N/A</v>
      </c>
      <c r="AH81" s="138">
        <v>0.52</v>
      </c>
      <c r="AI81" s="138">
        <f>SQRT(MAX(0,1-AH81^2))</f>
        <v>0.85416626016250496</v>
      </c>
      <c r="AJ81" s="138" t="e">
        <f>IF(ISNUMBER($B$18),IF(AND($C$18=1,AH81&lt;=-COS(PI()*$B$18)),AI81,NA()),NA())</f>
        <v>#N/A</v>
      </c>
      <c r="AK81" s="138" t="e">
        <f>IF(ISNUMBER($B$18),IF(AND($C$18=2,AH81&lt;=-COS(PI()*$B$18)),AI81,NA()),NA())</f>
        <v>#N/A</v>
      </c>
      <c r="AL81" s="138" t="e">
        <f>IF(ISNUMBER($B$18),IF(AND($C$18=3,AH81&lt;=-COS(PI()*$B$18)),AI81,NA()),NA())</f>
        <v>#N/A</v>
      </c>
      <c r="AM81" s="138" t="e">
        <f>IF(ISNUMBER($B$18),IF(AND($C$18=4,AH81&lt;=-COS(PI()*$B$18)),AI81,NA()),NA())</f>
        <v>#N/A</v>
      </c>
      <c r="AN81" s="138" t="e">
        <f>IF(ISNUMBER($B$18),IF(AND($C$18=5,AH81&lt;=-COS(PI()*$B$18)),AI81,NA()),NA())</f>
        <v>#N/A</v>
      </c>
      <c r="AO81" s="138" t="e">
        <f>IF(ISNUMBER($B$18),IF(AND(ISNUMBER($B$18),AH81&gt;=MIN(0,$AH$2),AH81&lt;=MAX(0,$AH$2)),IF($AH$2=0,0,AH81/$AH$2*$AI$2),NA()),NA())</f>
        <v>#N/A</v>
      </c>
    </row>
    <row r="82" spans="1:41">
      <c r="A82" s="148"/>
      <c r="B82" s="152"/>
      <c r="C82" s="152"/>
      <c r="D82" s="152"/>
      <c r="E82" s="152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>
        <v>0.54</v>
      </c>
      <c r="S82" s="138">
        <f>SQRT(MAX(0,1-R82^2))</f>
        <v>0.84166501650003245</v>
      </c>
      <c r="T82" s="138" t="e">
        <f>IF(ISNUMBER($B$16),IF(AND($C$16=1,R82&lt;=-COS(PI()*$B$16)),S82,NA()),NA())</f>
        <v>#N/A</v>
      </c>
      <c r="U82" s="138" t="e">
        <f>IF(ISNUMBER($B$16),IF(AND($C$16=2,R82&lt;=-COS(PI()*$B$16)),S82,NA()),NA())</f>
        <v>#N/A</v>
      </c>
      <c r="V82" s="138" t="e">
        <f>IF(ISNUMBER($B$16),IF(AND($C$16=3,R82&lt;=-COS(PI()*$B$16)),S82,NA()),NA())</f>
        <v>#N/A</v>
      </c>
      <c r="W82" s="138" t="e">
        <f>IF(ISNUMBER($B$16),IF(AND($C$16=4,R82&lt;=-COS(PI()*$B$16)),S82,NA()),NA())</f>
        <v>#N/A</v>
      </c>
      <c r="X82" s="138" t="e">
        <f>IF(ISNUMBER($B$16),IF(AND($C$16=5,R82&lt;=-COS(PI()*$B$16)),S82,NA()),NA())</f>
        <v>#N/A</v>
      </c>
      <c r="Y82" s="138" t="e">
        <f>IF(ISNUMBER($B$16),IF(AND(ISNUMBER($B$16),R82&gt;=MIN(0,$R$2),R82&lt;=MAX(0,$R$2)),IF($R$2=0,0,R82/$R$2*$S$2),NA()),NA())</f>
        <v>#N/A</v>
      </c>
      <c r="Z82" s="138">
        <v>0.54</v>
      </c>
      <c r="AA82" s="138">
        <f>SQRT(MAX(0,1-Z82^2))</f>
        <v>0.84166501650003245</v>
      </c>
      <c r="AB82" s="138" t="e">
        <f>IF(ISNUMBER($B$17),IF(AND($C$17=1,Z82&lt;=-COS(PI()*$B$17)),AA82,NA()),NA())</f>
        <v>#N/A</v>
      </c>
      <c r="AC82" s="138" t="e">
        <f>IF(ISNUMBER($B$17),IF(AND($C$17=2,Z82&lt;=-COS(PI()*$B$17)),AA82,NA()),NA())</f>
        <v>#N/A</v>
      </c>
      <c r="AD82" s="138" t="e">
        <f>IF(ISNUMBER($B$17),IF(AND($C$17=3,Z82&lt;=-COS(PI()*$B$17)),AA82,NA()),NA())</f>
        <v>#N/A</v>
      </c>
      <c r="AE82" s="138" t="e">
        <f>IF(ISNUMBER($B$17),IF(AND($C$17=4,Z82&lt;=-COS(PI()*$B$17)),AA82,NA()),NA())</f>
        <v>#N/A</v>
      </c>
      <c r="AF82" s="138" t="e">
        <f>IF(ISNUMBER($B$17),IF(AND($C$17=5,Z82&lt;=-COS(PI()*$B$17)),AA82,NA()),NA())</f>
        <v>#N/A</v>
      </c>
      <c r="AG82" s="138" t="e">
        <f>IF(ISNUMBER($B$17),IF(AND(ISNUMBER($B$17),Z82&gt;=MIN(0,$Z$2),Z82&lt;=MAX(0,$Z$2)),IF($Z$2=0,0,Z82/$Z$2*$AA$2),NA()),NA())</f>
        <v>#N/A</v>
      </c>
      <c r="AH82" s="138">
        <v>0.54</v>
      </c>
      <c r="AI82" s="138">
        <f>SQRT(MAX(0,1-AH82^2))</f>
        <v>0.84166501650003245</v>
      </c>
      <c r="AJ82" s="138" t="e">
        <f>IF(ISNUMBER($B$18),IF(AND($C$18=1,AH82&lt;=-COS(PI()*$B$18)),AI82,NA()),NA())</f>
        <v>#N/A</v>
      </c>
      <c r="AK82" s="138" t="e">
        <f>IF(ISNUMBER($B$18),IF(AND($C$18=2,AH82&lt;=-COS(PI()*$B$18)),AI82,NA()),NA())</f>
        <v>#N/A</v>
      </c>
      <c r="AL82" s="138" t="e">
        <f>IF(ISNUMBER($B$18),IF(AND($C$18=3,AH82&lt;=-COS(PI()*$B$18)),AI82,NA()),NA())</f>
        <v>#N/A</v>
      </c>
      <c r="AM82" s="138" t="e">
        <f>IF(ISNUMBER($B$18),IF(AND($C$18=4,AH82&lt;=-COS(PI()*$B$18)),AI82,NA()),NA())</f>
        <v>#N/A</v>
      </c>
      <c r="AN82" s="138" t="e">
        <f>IF(ISNUMBER($B$18),IF(AND($C$18=5,AH82&lt;=-COS(PI()*$B$18)),AI82,NA()),NA())</f>
        <v>#N/A</v>
      </c>
      <c r="AO82" s="138" t="e">
        <f>IF(ISNUMBER($B$18),IF(AND(ISNUMBER($B$18),AH82&gt;=MIN(0,$AH$2),AH82&lt;=MAX(0,$AH$2)),IF($AH$2=0,0,AH82/$AH$2*$AI$2),NA()),NA())</f>
        <v>#N/A</v>
      </c>
    </row>
    <row r="83" spans="1:41">
      <c r="A83" s="148"/>
      <c r="B83" s="152"/>
      <c r="C83" s="152"/>
      <c r="D83" s="152"/>
      <c r="E83" s="152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>
        <v>0.56000000000000005</v>
      </c>
      <c r="S83" s="138">
        <f>SQRT(MAX(0,1-R83^2))</f>
        <v>0.82849260708831907</v>
      </c>
      <c r="T83" s="138" t="e">
        <f>IF(ISNUMBER($B$16),IF(AND($C$16=1,R83&lt;=-COS(PI()*$B$16)),S83,NA()),NA())</f>
        <v>#N/A</v>
      </c>
      <c r="U83" s="138" t="e">
        <f>IF(ISNUMBER($B$16),IF(AND($C$16=2,R83&lt;=-COS(PI()*$B$16)),S83,NA()),NA())</f>
        <v>#N/A</v>
      </c>
      <c r="V83" s="138" t="e">
        <f>IF(ISNUMBER($B$16),IF(AND($C$16=3,R83&lt;=-COS(PI()*$B$16)),S83,NA()),NA())</f>
        <v>#N/A</v>
      </c>
      <c r="W83" s="138" t="e">
        <f>IF(ISNUMBER($B$16),IF(AND($C$16=4,R83&lt;=-COS(PI()*$B$16)),S83,NA()),NA())</f>
        <v>#N/A</v>
      </c>
      <c r="X83" s="138" t="e">
        <f>IF(ISNUMBER($B$16),IF(AND($C$16=5,R83&lt;=-COS(PI()*$B$16)),S83,NA()),NA())</f>
        <v>#N/A</v>
      </c>
      <c r="Y83" s="138" t="e">
        <f>IF(ISNUMBER($B$16),IF(AND(ISNUMBER($B$16),R83&gt;=MIN(0,$R$2),R83&lt;=MAX(0,$R$2)),IF($R$2=0,0,R83/$R$2*$S$2),NA()),NA())</f>
        <v>#N/A</v>
      </c>
      <c r="Z83" s="138">
        <v>0.56000000000000005</v>
      </c>
      <c r="AA83" s="138">
        <f>SQRT(MAX(0,1-Z83^2))</f>
        <v>0.82849260708831907</v>
      </c>
      <c r="AB83" s="138" t="e">
        <f>IF(ISNUMBER($B$17),IF(AND($C$17=1,Z83&lt;=-COS(PI()*$B$17)),AA83,NA()),NA())</f>
        <v>#N/A</v>
      </c>
      <c r="AC83" s="138" t="e">
        <f>IF(ISNUMBER($B$17),IF(AND($C$17=2,Z83&lt;=-COS(PI()*$B$17)),AA83,NA()),NA())</f>
        <v>#N/A</v>
      </c>
      <c r="AD83" s="138" t="e">
        <f>IF(ISNUMBER($B$17),IF(AND($C$17=3,Z83&lt;=-COS(PI()*$B$17)),AA83,NA()),NA())</f>
        <v>#N/A</v>
      </c>
      <c r="AE83" s="138" t="e">
        <f>IF(ISNUMBER($B$17),IF(AND($C$17=4,Z83&lt;=-COS(PI()*$B$17)),AA83,NA()),NA())</f>
        <v>#N/A</v>
      </c>
      <c r="AF83" s="138" t="e">
        <f>IF(ISNUMBER($B$17),IF(AND($C$17=5,Z83&lt;=-COS(PI()*$B$17)),AA83,NA()),NA())</f>
        <v>#N/A</v>
      </c>
      <c r="AG83" s="138" t="e">
        <f>IF(ISNUMBER($B$17),IF(AND(ISNUMBER($B$17),Z83&gt;=MIN(0,$Z$2),Z83&lt;=MAX(0,$Z$2)),IF($Z$2=0,0,Z83/$Z$2*$AA$2),NA()),NA())</f>
        <v>#N/A</v>
      </c>
      <c r="AH83" s="138">
        <v>0.56000000000000005</v>
      </c>
      <c r="AI83" s="138">
        <f>SQRT(MAX(0,1-AH83^2))</f>
        <v>0.82849260708831907</v>
      </c>
      <c r="AJ83" s="138" t="e">
        <f>IF(ISNUMBER($B$18),IF(AND($C$18=1,AH83&lt;=-COS(PI()*$B$18)),AI83,NA()),NA())</f>
        <v>#N/A</v>
      </c>
      <c r="AK83" s="138" t="e">
        <f>IF(ISNUMBER($B$18),IF(AND($C$18=2,AH83&lt;=-COS(PI()*$B$18)),AI83,NA()),NA())</f>
        <v>#N/A</v>
      </c>
      <c r="AL83" s="138" t="e">
        <f>IF(ISNUMBER($B$18),IF(AND($C$18=3,AH83&lt;=-COS(PI()*$B$18)),AI83,NA()),NA())</f>
        <v>#N/A</v>
      </c>
      <c r="AM83" s="138" t="e">
        <f>IF(ISNUMBER($B$18),IF(AND($C$18=4,AH83&lt;=-COS(PI()*$B$18)),AI83,NA()),NA())</f>
        <v>#N/A</v>
      </c>
      <c r="AN83" s="138" t="e">
        <f>IF(ISNUMBER($B$18),IF(AND($C$18=5,AH83&lt;=-COS(PI()*$B$18)),AI83,NA()),NA())</f>
        <v>#N/A</v>
      </c>
      <c r="AO83" s="138" t="e">
        <f>IF(ISNUMBER($B$18),IF(AND(ISNUMBER($B$18),AH83&gt;=MIN(0,$AH$2),AH83&lt;=MAX(0,$AH$2)),IF($AH$2=0,0,AH83/$AH$2*$AI$2),NA()),NA())</f>
        <v>#N/A</v>
      </c>
    </row>
    <row r="84" spans="1:41">
      <c r="A84" s="148"/>
      <c r="B84" s="152"/>
      <c r="C84" s="152"/>
      <c r="D84" s="152"/>
      <c r="E84" s="152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>
        <v>0.57999999999999996</v>
      </c>
      <c r="S84" s="138">
        <f>SQRT(MAX(0,1-R84^2))</f>
        <v>0.81461647417665206</v>
      </c>
      <c r="T84" s="138" t="e">
        <f>IF(ISNUMBER($B$16),IF(AND($C$16=1,R84&lt;=-COS(PI()*$B$16)),S84,NA()),NA())</f>
        <v>#N/A</v>
      </c>
      <c r="U84" s="138" t="e">
        <f>IF(ISNUMBER($B$16),IF(AND($C$16=2,R84&lt;=-COS(PI()*$B$16)),S84,NA()),NA())</f>
        <v>#N/A</v>
      </c>
      <c r="V84" s="138" t="e">
        <f>IF(ISNUMBER($B$16),IF(AND($C$16=3,R84&lt;=-COS(PI()*$B$16)),S84,NA()),NA())</f>
        <v>#N/A</v>
      </c>
      <c r="W84" s="138" t="e">
        <f>IF(ISNUMBER($B$16),IF(AND($C$16=4,R84&lt;=-COS(PI()*$B$16)),S84,NA()),NA())</f>
        <v>#N/A</v>
      </c>
      <c r="X84" s="138" t="e">
        <f>IF(ISNUMBER($B$16),IF(AND($C$16=5,R84&lt;=-COS(PI()*$B$16)),S84,NA()),NA())</f>
        <v>#N/A</v>
      </c>
      <c r="Y84" s="138" t="e">
        <f>IF(ISNUMBER($B$16),IF(AND(ISNUMBER($B$16),R84&gt;=MIN(0,$R$2),R84&lt;=MAX(0,$R$2)),IF($R$2=0,0,R84/$R$2*$S$2),NA()),NA())</f>
        <v>#N/A</v>
      </c>
      <c r="Z84" s="138">
        <v>0.57999999999999996</v>
      </c>
      <c r="AA84" s="138">
        <f>SQRT(MAX(0,1-Z84^2))</f>
        <v>0.81461647417665206</v>
      </c>
      <c r="AB84" s="138" t="e">
        <f>IF(ISNUMBER($B$17),IF(AND($C$17=1,Z84&lt;=-COS(PI()*$B$17)),AA84,NA()),NA())</f>
        <v>#N/A</v>
      </c>
      <c r="AC84" s="138" t="e">
        <f>IF(ISNUMBER($B$17),IF(AND($C$17=2,Z84&lt;=-COS(PI()*$B$17)),AA84,NA()),NA())</f>
        <v>#N/A</v>
      </c>
      <c r="AD84" s="138" t="e">
        <f>IF(ISNUMBER($B$17),IF(AND($C$17=3,Z84&lt;=-COS(PI()*$B$17)),AA84,NA()),NA())</f>
        <v>#N/A</v>
      </c>
      <c r="AE84" s="138" t="e">
        <f>IF(ISNUMBER($B$17),IF(AND($C$17=4,Z84&lt;=-COS(PI()*$B$17)),AA84,NA()),NA())</f>
        <v>#N/A</v>
      </c>
      <c r="AF84" s="138" t="e">
        <f>IF(ISNUMBER($B$17),IF(AND($C$17=5,Z84&lt;=-COS(PI()*$B$17)),AA84,NA()),NA())</f>
        <v>#N/A</v>
      </c>
      <c r="AG84" s="138" t="e">
        <f>IF(ISNUMBER($B$17),IF(AND(ISNUMBER($B$17),Z84&gt;=MIN(0,$Z$2),Z84&lt;=MAX(0,$Z$2)),IF($Z$2=0,0,Z84/$Z$2*$AA$2),NA()),NA())</f>
        <v>#N/A</v>
      </c>
      <c r="AH84" s="138">
        <v>0.57999999999999996</v>
      </c>
      <c r="AI84" s="138">
        <f>SQRT(MAX(0,1-AH84^2))</f>
        <v>0.81461647417665206</v>
      </c>
      <c r="AJ84" s="138" t="e">
        <f>IF(ISNUMBER($B$18),IF(AND($C$18=1,AH84&lt;=-COS(PI()*$B$18)),AI84,NA()),NA())</f>
        <v>#N/A</v>
      </c>
      <c r="AK84" s="138" t="e">
        <f>IF(ISNUMBER($B$18),IF(AND($C$18=2,AH84&lt;=-COS(PI()*$B$18)),AI84,NA()),NA())</f>
        <v>#N/A</v>
      </c>
      <c r="AL84" s="138" t="e">
        <f>IF(ISNUMBER($B$18),IF(AND($C$18=3,AH84&lt;=-COS(PI()*$B$18)),AI84,NA()),NA())</f>
        <v>#N/A</v>
      </c>
      <c r="AM84" s="138" t="e">
        <f>IF(ISNUMBER($B$18),IF(AND($C$18=4,AH84&lt;=-COS(PI()*$B$18)),AI84,NA()),NA())</f>
        <v>#N/A</v>
      </c>
      <c r="AN84" s="138" t="e">
        <f>IF(ISNUMBER($B$18),IF(AND($C$18=5,AH84&lt;=-COS(PI()*$B$18)),AI84,NA()),NA())</f>
        <v>#N/A</v>
      </c>
      <c r="AO84" s="138" t="e">
        <f>IF(ISNUMBER($B$18),IF(AND(ISNUMBER($B$18),AH84&gt;=MIN(0,$AH$2),AH84&lt;=MAX(0,$AH$2)),IF($AH$2=0,0,AH84/$AH$2*$AI$2),NA()),NA())</f>
        <v>#N/A</v>
      </c>
    </row>
    <row r="85" spans="1:41">
      <c r="A85" s="148"/>
      <c r="B85" s="152"/>
      <c r="C85" s="152"/>
      <c r="D85" s="152"/>
      <c r="E85" s="152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>
        <v>0.6</v>
      </c>
      <c r="S85" s="138">
        <f>SQRT(MAX(0,1-R85^2))</f>
        <v>0.8</v>
      </c>
      <c r="T85" s="138" t="e">
        <f>IF(ISNUMBER($B$16),IF(AND($C$16=1,R85&lt;=-COS(PI()*$B$16)),S85,NA()),NA())</f>
        <v>#N/A</v>
      </c>
      <c r="U85" s="138" t="e">
        <f>IF(ISNUMBER($B$16),IF(AND($C$16=2,R85&lt;=-COS(PI()*$B$16)),S85,NA()),NA())</f>
        <v>#N/A</v>
      </c>
      <c r="V85" s="138" t="e">
        <f>IF(ISNUMBER($B$16),IF(AND($C$16=3,R85&lt;=-COS(PI()*$B$16)),S85,NA()),NA())</f>
        <v>#N/A</v>
      </c>
      <c r="W85" s="138" t="e">
        <f>IF(ISNUMBER($B$16),IF(AND($C$16=4,R85&lt;=-COS(PI()*$B$16)),S85,NA()),NA())</f>
        <v>#N/A</v>
      </c>
      <c r="X85" s="138" t="e">
        <f>IF(ISNUMBER($B$16),IF(AND($C$16=5,R85&lt;=-COS(PI()*$B$16)),S85,NA()),NA())</f>
        <v>#N/A</v>
      </c>
      <c r="Y85" s="138" t="e">
        <f>IF(ISNUMBER($B$16),IF(AND(ISNUMBER($B$16),R85&gt;=MIN(0,$R$2),R85&lt;=MAX(0,$R$2)),IF($R$2=0,0,R85/$R$2*$S$2),NA()),NA())</f>
        <v>#N/A</v>
      </c>
      <c r="Z85" s="138">
        <v>0.6</v>
      </c>
      <c r="AA85" s="138">
        <f>SQRT(MAX(0,1-Z85^2))</f>
        <v>0.8</v>
      </c>
      <c r="AB85" s="138" t="e">
        <f>IF(ISNUMBER($B$17),IF(AND($C$17=1,Z85&lt;=-COS(PI()*$B$17)),AA85,NA()),NA())</f>
        <v>#N/A</v>
      </c>
      <c r="AC85" s="138" t="e">
        <f>IF(ISNUMBER($B$17),IF(AND($C$17=2,Z85&lt;=-COS(PI()*$B$17)),AA85,NA()),NA())</f>
        <v>#N/A</v>
      </c>
      <c r="AD85" s="138" t="e">
        <f>IF(ISNUMBER($B$17),IF(AND($C$17=3,Z85&lt;=-COS(PI()*$B$17)),AA85,NA()),NA())</f>
        <v>#N/A</v>
      </c>
      <c r="AE85" s="138" t="e">
        <f>IF(ISNUMBER($B$17),IF(AND($C$17=4,Z85&lt;=-COS(PI()*$B$17)),AA85,NA()),NA())</f>
        <v>#N/A</v>
      </c>
      <c r="AF85" s="138" t="e">
        <f>IF(ISNUMBER($B$17),IF(AND($C$17=5,Z85&lt;=-COS(PI()*$B$17)),AA85,NA()),NA())</f>
        <v>#N/A</v>
      </c>
      <c r="AG85" s="138" t="e">
        <f>IF(ISNUMBER($B$17),IF(AND(ISNUMBER($B$17),Z85&gt;=MIN(0,$Z$2),Z85&lt;=MAX(0,$Z$2)),IF($Z$2=0,0,Z85/$Z$2*$AA$2),NA()),NA())</f>
        <v>#N/A</v>
      </c>
      <c r="AH85" s="138">
        <v>0.6</v>
      </c>
      <c r="AI85" s="138">
        <f>SQRT(MAX(0,1-AH85^2))</f>
        <v>0.8</v>
      </c>
      <c r="AJ85" s="138" t="e">
        <f>IF(ISNUMBER($B$18),IF(AND($C$18=1,AH85&lt;=-COS(PI()*$B$18)),AI85,NA()),NA())</f>
        <v>#N/A</v>
      </c>
      <c r="AK85" s="138" t="e">
        <f>IF(ISNUMBER($B$18),IF(AND($C$18=2,AH85&lt;=-COS(PI()*$B$18)),AI85,NA()),NA())</f>
        <v>#N/A</v>
      </c>
      <c r="AL85" s="138" t="e">
        <f>IF(ISNUMBER($B$18),IF(AND($C$18=3,AH85&lt;=-COS(PI()*$B$18)),AI85,NA()),NA())</f>
        <v>#N/A</v>
      </c>
      <c r="AM85" s="138" t="e">
        <f>IF(ISNUMBER($B$18),IF(AND($C$18=4,AH85&lt;=-COS(PI()*$B$18)),AI85,NA()),NA())</f>
        <v>#N/A</v>
      </c>
      <c r="AN85" s="138" t="e">
        <f>IF(ISNUMBER($B$18),IF(AND($C$18=5,AH85&lt;=-COS(PI()*$B$18)),AI85,NA()),NA())</f>
        <v>#N/A</v>
      </c>
      <c r="AO85" s="138" t="e">
        <f>IF(ISNUMBER($B$18),IF(AND(ISNUMBER($B$18),AH85&gt;=MIN(0,$AH$2),AH85&lt;=MAX(0,$AH$2)),IF($AH$2=0,0,AH85/$AH$2*$AI$2),NA()),NA())</f>
        <v>#N/A</v>
      </c>
    </row>
    <row r="86" spans="1:41">
      <c r="A86" s="148"/>
      <c r="B86" s="152"/>
      <c r="C86" s="152"/>
      <c r="D86" s="152"/>
      <c r="E86" s="152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>
        <v>0.62</v>
      </c>
      <c r="S86" s="138">
        <f>SQRT(MAX(0,1-R86^2))</f>
        <v>0.7846018098373212</v>
      </c>
      <c r="T86" s="138" t="e">
        <f>IF(ISNUMBER($B$16),IF(AND($C$16=1,R86&lt;=-COS(PI()*$B$16)),S86,NA()),NA())</f>
        <v>#N/A</v>
      </c>
      <c r="U86" s="138" t="e">
        <f>IF(ISNUMBER($B$16),IF(AND($C$16=2,R86&lt;=-COS(PI()*$B$16)),S86,NA()),NA())</f>
        <v>#N/A</v>
      </c>
      <c r="V86" s="138" t="e">
        <f>IF(ISNUMBER($B$16),IF(AND($C$16=3,R86&lt;=-COS(PI()*$B$16)),S86,NA()),NA())</f>
        <v>#N/A</v>
      </c>
      <c r="W86" s="138" t="e">
        <f>IF(ISNUMBER($B$16),IF(AND($C$16=4,R86&lt;=-COS(PI()*$B$16)),S86,NA()),NA())</f>
        <v>#N/A</v>
      </c>
      <c r="X86" s="138" t="e">
        <f>IF(ISNUMBER($B$16),IF(AND($C$16=5,R86&lt;=-COS(PI()*$B$16)),S86,NA()),NA())</f>
        <v>#N/A</v>
      </c>
      <c r="Y86" s="138" t="e">
        <f>IF(ISNUMBER($B$16),IF(AND(ISNUMBER($B$16),R86&gt;=MIN(0,$R$2),R86&lt;=MAX(0,$R$2)),IF($R$2=0,0,R86/$R$2*$S$2),NA()),NA())</f>
        <v>#N/A</v>
      </c>
      <c r="Z86" s="138">
        <v>0.62</v>
      </c>
      <c r="AA86" s="138">
        <f>SQRT(MAX(0,1-Z86^2))</f>
        <v>0.7846018098373212</v>
      </c>
      <c r="AB86" s="138" t="e">
        <f>IF(ISNUMBER($B$17),IF(AND($C$17=1,Z86&lt;=-COS(PI()*$B$17)),AA86,NA()),NA())</f>
        <v>#N/A</v>
      </c>
      <c r="AC86" s="138" t="e">
        <f>IF(ISNUMBER($B$17),IF(AND($C$17=2,Z86&lt;=-COS(PI()*$B$17)),AA86,NA()),NA())</f>
        <v>#N/A</v>
      </c>
      <c r="AD86" s="138" t="e">
        <f>IF(ISNUMBER($B$17),IF(AND($C$17=3,Z86&lt;=-COS(PI()*$B$17)),AA86,NA()),NA())</f>
        <v>#N/A</v>
      </c>
      <c r="AE86" s="138" t="e">
        <f>IF(ISNUMBER($B$17),IF(AND($C$17=4,Z86&lt;=-COS(PI()*$B$17)),AA86,NA()),NA())</f>
        <v>#N/A</v>
      </c>
      <c r="AF86" s="138" t="e">
        <f>IF(ISNUMBER($B$17),IF(AND($C$17=5,Z86&lt;=-COS(PI()*$B$17)),AA86,NA()),NA())</f>
        <v>#N/A</v>
      </c>
      <c r="AG86" s="138" t="e">
        <f>IF(ISNUMBER($B$17),IF(AND(ISNUMBER($B$17),Z86&gt;=MIN(0,$Z$2),Z86&lt;=MAX(0,$Z$2)),IF($Z$2=0,0,Z86/$Z$2*$AA$2),NA()),NA())</f>
        <v>#N/A</v>
      </c>
      <c r="AH86" s="138">
        <v>0.62</v>
      </c>
      <c r="AI86" s="138">
        <f>SQRT(MAX(0,1-AH86^2))</f>
        <v>0.7846018098373212</v>
      </c>
      <c r="AJ86" s="138" t="e">
        <f>IF(ISNUMBER($B$18),IF(AND($C$18=1,AH86&lt;=-COS(PI()*$B$18)),AI86,NA()),NA())</f>
        <v>#N/A</v>
      </c>
      <c r="AK86" s="138" t="e">
        <f>IF(ISNUMBER($B$18),IF(AND($C$18=2,AH86&lt;=-COS(PI()*$B$18)),AI86,NA()),NA())</f>
        <v>#N/A</v>
      </c>
      <c r="AL86" s="138" t="e">
        <f>IF(ISNUMBER($B$18),IF(AND($C$18=3,AH86&lt;=-COS(PI()*$B$18)),AI86,NA()),NA())</f>
        <v>#N/A</v>
      </c>
      <c r="AM86" s="138" t="e">
        <f>IF(ISNUMBER($B$18),IF(AND($C$18=4,AH86&lt;=-COS(PI()*$B$18)),AI86,NA()),NA())</f>
        <v>#N/A</v>
      </c>
      <c r="AN86" s="138" t="e">
        <f>IF(ISNUMBER($B$18),IF(AND($C$18=5,AH86&lt;=-COS(PI()*$B$18)),AI86,NA()),NA())</f>
        <v>#N/A</v>
      </c>
      <c r="AO86" s="138" t="e">
        <f>IF(ISNUMBER($B$18),IF(AND(ISNUMBER($B$18),AH86&gt;=MIN(0,$AH$2),AH86&lt;=MAX(0,$AH$2)),IF($AH$2=0,0,AH86/$AH$2*$AI$2),NA()),NA())</f>
        <v>#N/A</v>
      </c>
    </row>
    <row r="87" spans="1:41">
      <c r="A87" s="148"/>
      <c r="B87" s="152"/>
      <c r="C87" s="152"/>
      <c r="D87" s="152"/>
      <c r="E87" s="152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>
        <v>0.64</v>
      </c>
      <c r="S87" s="138">
        <f>SQRT(MAX(0,1-R87^2))</f>
        <v>0.7683749084919419</v>
      </c>
      <c r="T87" s="138" t="e">
        <f>IF(ISNUMBER($B$16),IF(AND($C$16=1,R87&lt;=-COS(PI()*$B$16)),S87,NA()),NA())</f>
        <v>#N/A</v>
      </c>
      <c r="U87" s="138" t="e">
        <f>IF(ISNUMBER($B$16),IF(AND($C$16=2,R87&lt;=-COS(PI()*$B$16)),S87,NA()),NA())</f>
        <v>#N/A</v>
      </c>
      <c r="V87" s="138" t="e">
        <f>IF(ISNUMBER($B$16),IF(AND($C$16=3,R87&lt;=-COS(PI()*$B$16)),S87,NA()),NA())</f>
        <v>#N/A</v>
      </c>
      <c r="W87" s="138" t="e">
        <f>IF(ISNUMBER($B$16),IF(AND($C$16=4,R87&lt;=-COS(PI()*$B$16)),S87,NA()),NA())</f>
        <v>#N/A</v>
      </c>
      <c r="X87" s="138" t="e">
        <f>IF(ISNUMBER($B$16),IF(AND($C$16=5,R87&lt;=-COS(PI()*$B$16)),S87,NA()),NA())</f>
        <v>#N/A</v>
      </c>
      <c r="Y87" s="138" t="e">
        <f>IF(ISNUMBER($B$16),IF(AND(ISNUMBER($B$16),R87&gt;=MIN(0,$R$2),R87&lt;=MAX(0,$R$2)),IF($R$2=0,0,R87/$R$2*$S$2),NA()),NA())</f>
        <v>#N/A</v>
      </c>
      <c r="Z87" s="138">
        <v>0.64</v>
      </c>
      <c r="AA87" s="138">
        <f>SQRT(MAX(0,1-Z87^2))</f>
        <v>0.7683749084919419</v>
      </c>
      <c r="AB87" s="138" t="e">
        <f>IF(ISNUMBER($B$17),IF(AND($C$17=1,Z87&lt;=-COS(PI()*$B$17)),AA87,NA()),NA())</f>
        <v>#N/A</v>
      </c>
      <c r="AC87" s="138" t="e">
        <f>IF(ISNUMBER($B$17),IF(AND($C$17=2,Z87&lt;=-COS(PI()*$B$17)),AA87,NA()),NA())</f>
        <v>#N/A</v>
      </c>
      <c r="AD87" s="138" t="e">
        <f>IF(ISNUMBER($B$17),IF(AND($C$17=3,Z87&lt;=-COS(PI()*$B$17)),AA87,NA()),NA())</f>
        <v>#N/A</v>
      </c>
      <c r="AE87" s="138" t="e">
        <f>IF(ISNUMBER($B$17),IF(AND($C$17=4,Z87&lt;=-COS(PI()*$B$17)),AA87,NA()),NA())</f>
        <v>#N/A</v>
      </c>
      <c r="AF87" s="138" t="e">
        <f>IF(ISNUMBER($B$17),IF(AND($C$17=5,Z87&lt;=-COS(PI()*$B$17)),AA87,NA()),NA())</f>
        <v>#N/A</v>
      </c>
      <c r="AG87" s="138" t="e">
        <f>IF(ISNUMBER($B$17),IF(AND(ISNUMBER($B$17),Z87&gt;=MIN(0,$Z$2),Z87&lt;=MAX(0,$Z$2)),IF($Z$2=0,0,Z87/$Z$2*$AA$2),NA()),NA())</f>
        <v>#N/A</v>
      </c>
      <c r="AH87" s="138">
        <v>0.64</v>
      </c>
      <c r="AI87" s="138">
        <f>SQRT(MAX(0,1-AH87^2))</f>
        <v>0.7683749084919419</v>
      </c>
      <c r="AJ87" s="138" t="e">
        <f>IF(ISNUMBER($B$18),IF(AND($C$18=1,AH87&lt;=-COS(PI()*$B$18)),AI87,NA()),NA())</f>
        <v>#N/A</v>
      </c>
      <c r="AK87" s="138" t="e">
        <f>IF(ISNUMBER($B$18),IF(AND($C$18=2,AH87&lt;=-COS(PI()*$B$18)),AI87,NA()),NA())</f>
        <v>#N/A</v>
      </c>
      <c r="AL87" s="138" t="e">
        <f>IF(ISNUMBER($B$18),IF(AND($C$18=3,AH87&lt;=-COS(PI()*$B$18)),AI87,NA()),NA())</f>
        <v>#N/A</v>
      </c>
      <c r="AM87" s="138" t="e">
        <f>IF(ISNUMBER($B$18),IF(AND($C$18=4,AH87&lt;=-COS(PI()*$B$18)),AI87,NA()),NA())</f>
        <v>#N/A</v>
      </c>
      <c r="AN87" s="138" t="e">
        <f>IF(ISNUMBER($B$18),IF(AND($C$18=5,AH87&lt;=-COS(PI()*$B$18)),AI87,NA()),NA())</f>
        <v>#N/A</v>
      </c>
      <c r="AO87" s="138" t="e">
        <f>IF(ISNUMBER($B$18),IF(AND(ISNUMBER($B$18),AH87&gt;=MIN(0,$AH$2),AH87&lt;=MAX(0,$AH$2)),IF($AH$2=0,0,AH87/$AH$2*$AI$2),NA()),NA())</f>
        <v>#N/A</v>
      </c>
    </row>
    <row r="88" spans="1:41">
      <c r="A88" s="148"/>
      <c r="B88" s="152"/>
      <c r="C88" s="152"/>
      <c r="D88" s="152"/>
      <c r="E88" s="152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>
        <v>0.66</v>
      </c>
      <c r="S88" s="138">
        <f>SQRT(MAX(0,1-R88^2))</f>
        <v>0.751265598839718</v>
      </c>
      <c r="T88" s="138" t="e">
        <f>IF(ISNUMBER($B$16),IF(AND($C$16=1,R88&lt;=-COS(PI()*$B$16)),S88,NA()),NA())</f>
        <v>#N/A</v>
      </c>
      <c r="U88" s="138" t="e">
        <f>IF(ISNUMBER($B$16),IF(AND($C$16=2,R88&lt;=-COS(PI()*$B$16)),S88,NA()),NA())</f>
        <v>#N/A</v>
      </c>
      <c r="V88" s="138" t="e">
        <f>IF(ISNUMBER($B$16),IF(AND($C$16=3,R88&lt;=-COS(PI()*$B$16)),S88,NA()),NA())</f>
        <v>#N/A</v>
      </c>
      <c r="W88" s="138" t="e">
        <f>IF(ISNUMBER($B$16),IF(AND($C$16=4,R88&lt;=-COS(PI()*$B$16)),S88,NA()),NA())</f>
        <v>#N/A</v>
      </c>
      <c r="X88" s="138" t="e">
        <f>IF(ISNUMBER($B$16),IF(AND($C$16=5,R88&lt;=-COS(PI()*$B$16)),S88,NA()),NA())</f>
        <v>#N/A</v>
      </c>
      <c r="Y88" s="138" t="e">
        <f>IF(ISNUMBER($B$16),IF(AND(ISNUMBER($B$16),R88&gt;=MIN(0,$R$2),R88&lt;=MAX(0,$R$2)),IF($R$2=0,0,R88/$R$2*$S$2),NA()),NA())</f>
        <v>#N/A</v>
      </c>
      <c r="Z88" s="138">
        <v>0.66</v>
      </c>
      <c r="AA88" s="138">
        <f>SQRT(MAX(0,1-Z88^2))</f>
        <v>0.751265598839718</v>
      </c>
      <c r="AB88" s="138" t="e">
        <f>IF(ISNUMBER($B$17),IF(AND($C$17=1,Z88&lt;=-COS(PI()*$B$17)),AA88,NA()),NA())</f>
        <v>#N/A</v>
      </c>
      <c r="AC88" s="138" t="e">
        <f>IF(ISNUMBER($B$17),IF(AND($C$17=2,Z88&lt;=-COS(PI()*$B$17)),AA88,NA()),NA())</f>
        <v>#N/A</v>
      </c>
      <c r="AD88" s="138" t="e">
        <f>IF(ISNUMBER($B$17),IF(AND($C$17=3,Z88&lt;=-COS(PI()*$B$17)),AA88,NA()),NA())</f>
        <v>#N/A</v>
      </c>
      <c r="AE88" s="138" t="e">
        <f>IF(ISNUMBER($B$17),IF(AND($C$17=4,Z88&lt;=-COS(PI()*$B$17)),AA88,NA()),NA())</f>
        <v>#N/A</v>
      </c>
      <c r="AF88" s="138" t="e">
        <f>IF(ISNUMBER($B$17),IF(AND($C$17=5,Z88&lt;=-COS(PI()*$B$17)),AA88,NA()),NA())</f>
        <v>#N/A</v>
      </c>
      <c r="AG88" s="138" t="e">
        <f>IF(ISNUMBER($B$17),IF(AND(ISNUMBER($B$17),Z88&gt;=MIN(0,$Z$2),Z88&lt;=MAX(0,$Z$2)),IF($Z$2=0,0,Z88/$Z$2*$AA$2),NA()),NA())</f>
        <v>#N/A</v>
      </c>
      <c r="AH88" s="138">
        <v>0.66</v>
      </c>
      <c r="AI88" s="138">
        <f>SQRT(MAX(0,1-AH88^2))</f>
        <v>0.751265598839718</v>
      </c>
      <c r="AJ88" s="138" t="e">
        <f>IF(ISNUMBER($B$18),IF(AND($C$18=1,AH88&lt;=-COS(PI()*$B$18)),AI88,NA()),NA())</f>
        <v>#N/A</v>
      </c>
      <c r="AK88" s="138" t="e">
        <f>IF(ISNUMBER($B$18),IF(AND($C$18=2,AH88&lt;=-COS(PI()*$B$18)),AI88,NA()),NA())</f>
        <v>#N/A</v>
      </c>
      <c r="AL88" s="138" t="e">
        <f>IF(ISNUMBER($B$18),IF(AND($C$18=3,AH88&lt;=-COS(PI()*$B$18)),AI88,NA()),NA())</f>
        <v>#N/A</v>
      </c>
      <c r="AM88" s="138" t="e">
        <f>IF(ISNUMBER($B$18),IF(AND($C$18=4,AH88&lt;=-COS(PI()*$B$18)),AI88,NA()),NA())</f>
        <v>#N/A</v>
      </c>
      <c r="AN88" s="138" t="e">
        <f>IF(ISNUMBER($B$18),IF(AND($C$18=5,AH88&lt;=-COS(PI()*$B$18)),AI88,NA()),NA())</f>
        <v>#N/A</v>
      </c>
      <c r="AO88" s="138" t="e">
        <f>IF(ISNUMBER($B$18),IF(AND(ISNUMBER($B$18),AH88&gt;=MIN(0,$AH$2),AH88&lt;=MAX(0,$AH$2)),IF($AH$2=0,0,AH88/$AH$2*$AI$2),NA()),NA())</f>
        <v>#N/A</v>
      </c>
    </row>
    <row r="89" spans="1:41">
      <c r="A89" s="148"/>
      <c r="B89" s="152"/>
      <c r="C89" s="152"/>
      <c r="D89" s="152"/>
      <c r="E89" s="152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>
        <v>0.68</v>
      </c>
      <c r="S89" s="138">
        <f>SQRT(MAX(0,1-R89^2))</f>
        <v>0.73321211119293428</v>
      </c>
      <c r="T89" s="138" t="e">
        <f>IF(ISNUMBER($B$16),IF(AND($C$16=1,R89&lt;=-COS(PI()*$B$16)),S89,NA()),NA())</f>
        <v>#N/A</v>
      </c>
      <c r="U89" s="138" t="e">
        <f>IF(ISNUMBER($B$16),IF(AND($C$16=2,R89&lt;=-COS(PI()*$B$16)),S89,NA()),NA())</f>
        <v>#N/A</v>
      </c>
      <c r="V89" s="138" t="e">
        <f>IF(ISNUMBER($B$16),IF(AND($C$16=3,R89&lt;=-COS(PI()*$B$16)),S89,NA()),NA())</f>
        <v>#N/A</v>
      </c>
      <c r="W89" s="138" t="e">
        <f>IF(ISNUMBER($B$16),IF(AND($C$16=4,R89&lt;=-COS(PI()*$B$16)),S89,NA()),NA())</f>
        <v>#N/A</v>
      </c>
      <c r="X89" s="138" t="e">
        <f>IF(ISNUMBER($B$16),IF(AND($C$16=5,R89&lt;=-COS(PI()*$B$16)),S89,NA()),NA())</f>
        <v>#N/A</v>
      </c>
      <c r="Y89" s="138" t="e">
        <f>IF(ISNUMBER($B$16),IF(AND(ISNUMBER($B$16),R89&gt;=MIN(0,$R$2),R89&lt;=MAX(0,$R$2)),IF($R$2=0,0,R89/$R$2*$S$2),NA()),NA())</f>
        <v>#N/A</v>
      </c>
      <c r="Z89" s="138">
        <v>0.68</v>
      </c>
      <c r="AA89" s="138">
        <f>SQRT(MAX(0,1-Z89^2))</f>
        <v>0.73321211119293428</v>
      </c>
      <c r="AB89" s="138" t="e">
        <f>IF(ISNUMBER($B$17),IF(AND($C$17=1,Z89&lt;=-COS(PI()*$B$17)),AA89,NA()),NA())</f>
        <v>#N/A</v>
      </c>
      <c r="AC89" s="138" t="e">
        <f>IF(ISNUMBER($B$17),IF(AND($C$17=2,Z89&lt;=-COS(PI()*$B$17)),AA89,NA()),NA())</f>
        <v>#N/A</v>
      </c>
      <c r="AD89" s="138" t="e">
        <f>IF(ISNUMBER($B$17),IF(AND($C$17=3,Z89&lt;=-COS(PI()*$B$17)),AA89,NA()),NA())</f>
        <v>#N/A</v>
      </c>
      <c r="AE89" s="138" t="e">
        <f>IF(ISNUMBER($B$17),IF(AND($C$17=4,Z89&lt;=-COS(PI()*$B$17)),AA89,NA()),NA())</f>
        <v>#N/A</v>
      </c>
      <c r="AF89" s="138" t="e">
        <f>IF(ISNUMBER($B$17),IF(AND($C$17=5,Z89&lt;=-COS(PI()*$B$17)),AA89,NA()),NA())</f>
        <v>#N/A</v>
      </c>
      <c r="AG89" s="138" t="e">
        <f>IF(ISNUMBER($B$17),IF(AND(ISNUMBER($B$17),Z89&gt;=MIN(0,$Z$2),Z89&lt;=MAX(0,$Z$2)),IF($Z$2=0,0,Z89/$Z$2*$AA$2),NA()),NA())</f>
        <v>#N/A</v>
      </c>
      <c r="AH89" s="138">
        <v>0.68</v>
      </c>
      <c r="AI89" s="138">
        <f>SQRT(MAX(0,1-AH89^2))</f>
        <v>0.73321211119293428</v>
      </c>
      <c r="AJ89" s="138" t="e">
        <f>IF(ISNUMBER($B$18),IF(AND($C$18=1,AH89&lt;=-COS(PI()*$B$18)),AI89,NA()),NA())</f>
        <v>#N/A</v>
      </c>
      <c r="AK89" s="138" t="e">
        <f>IF(ISNUMBER($B$18),IF(AND($C$18=2,AH89&lt;=-COS(PI()*$B$18)),AI89,NA()),NA())</f>
        <v>#N/A</v>
      </c>
      <c r="AL89" s="138" t="e">
        <f>IF(ISNUMBER($B$18),IF(AND($C$18=3,AH89&lt;=-COS(PI()*$B$18)),AI89,NA()),NA())</f>
        <v>#N/A</v>
      </c>
      <c r="AM89" s="138" t="e">
        <f>IF(ISNUMBER($B$18),IF(AND($C$18=4,AH89&lt;=-COS(PI()*$B$18)),AI89,NA()),NA())</f>
        <v>#N/A</v>
      </c>
      <c r="AN89" s="138" t="e">
        <f>IF(ISNUMBER($B$18),IF(AND($C$18=5,AH89&lt;=-COS(PI()*$B$18)),AI89,NA()),NA())</f>
        <v>#N/A</v>
      </c>
      <c r="AO89" s="138" t="e">
        <f>IF(ISNUMBER($B$18),IF(AND(ISNUMBER($B$18),AH89&gt;=MIN(0,$AH$2),AH89&lt;=MAX(0,$AH$2)),IF($AH$2=0,0,AH89/$AH$2*$AI$2),NA()),NA())</f>
        <v>#N/A</v>
      </c>
    </row>
    <row r="90" spans="1:41">
      <c r="A90" s="148"/>
      <c r="B90" s="152"/>
      <c r="C90" s="152"/>
      <c r="D90" s="152"/>
      <c r="E90" s="152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>
        <v>0.7</v>
      </c>
      <c r="S90" s="138">
        <f>SQRT(MAX(0,1-R90^2))</f>
        <v>0.71414284285428498</v>
      </c>
      <c r="T90" s="138" t="e">
        <f>IF(ISNUMBER($B$16),IF(AND($C$16=1,R90&lt;=-COS(PI()*$B$16)),S90,NA()),NA())</f>
        <v>#N/A</v>
      </c>
      <c r="U90" s="138" t="e">
        <f>IF(ISNUMBER($B$16),IF(AND($C$16=2,R90&lt;=-COS(PI()*$B$16)),S90,NA()),NA())</f>
        <v>#N/A</v>
      </c>
      <c r="V90" s="138" t="e">
        <f>IF(ISNUMBER($B$16),IF(AND($C$16=3,R90&lt;=-COS(PI()*$B$16)),S90,NA()),NA())</f>
        <v>#N/A</v>
      </c>
      <c r="W90" s="138" t="e">
        <f>IF(ISNUMBER($B$16),IF(AND($C$16=4,R90&lt;=-COS(PI()*$B$16)),S90,NA()),NA())</f>
        <v>#N/A</v>
      </c>
      <c r="X90" s="138" t="e">
        <f>IF(ISNUMBER($B$16),IF(AND($C$16=5,R90&lt;=-COS(PI()*$B$16)),S90,NA()),NA())</f>
        <v>#N/A</v>
      </c>
      <c r="Y90" s="138" t="e">
        <f>IF(ISNUMBER($B$16),IF(AND(ISNUMBER($B$16),R90&gt;=MIN(0,$R$2),R90&lt;=MAX(0,$R$2)),IF($R$2=0,0,R90/$R$2*$S$2),NA()),NA())</f>
        <v>#N/A</v>
      </c>
      <c r="Z90" s="138">
        <v>0.7</v>
      </c>
      <c r="AA90" s="138">
        <f>SQRT(MAX(0,1-Z90^2))</f>
        <v>0.71414284285428498</v>
      </c>
      <c r="AB90" s="138" t="e">
        <f>IF(ISNUMBER($B$17),IF(AND($C$17=1,Z90&lt;=-COS(PI()*$B$17)),AA90,NA()),NA())</f>
        <v>#N/A</v>
      </c>
      <c r="AC90" s="138" t="e">
        <f>IF(ISNUMBER($B$17),IF(AND($C$17=2,Z90&lt;=-COS(PI()*$B$17)),AA90,NA()),NA())</f>
        <v>#N/A</v>
      </c>
      <c r="AD90" s="138" t="e">
        <f>IF(ISNUMBER($B$17),IF(AND($C$17=3,Z90&lt;=-COS(PI()*$B$17)),AA90,NA()),NA())</f>
        <v>#N/A</v>
      </c>
      <c r="AE90" s="138" t="e">
        <f>IF(ISNUMBER($B$17),IF(AND($C$17=4,Z90&lt;=-COS(PI()*$B$17)),AA90,NA()),NA())</f>
        <v>#N/A</v>
      </c>
      <c r="AF90" s="138" t="e">
        <f>IF(ISNUMBER($B$17),IF(AND($C$17=5,Z90&lt;=-COS(PI()*$B$17)),AA90,NA()),NA())</f>
        <v>#N/A</v>
      </c>
      <c r="AG90" s="138" t="e">
        <f>IF(ISNUMBER($B$17),IF(AND(ISNUMBER($B$17),Z90&gt;=MIN(0,$Z$2),Z90&lt;=MAX(0,$Z$2)),IF($Z$2=0,0,Z90/$Z$2*$AA$2),NA()),NA())</f>
        <v>#N/A</v>
      </c>
      <c r="AH90" s="138">
        <v>0.7</v>
      </c>
      <c r="AI90" s="138">
        <f>SQRT(MAX(0,1-AH90^2))</f>
        <v>0.71414284285428498</v>
      </c>
      <c r="AJ90" s="138" t="e">
        <f>IF(ISNUMBER($B$18),IF(AND($C$18=1,AH90&lt;=-COS(PI()*$B$18)),AI90,NA()),NA())</f>
        <v>#N/A</v>
      </c>
      <c r="AK90" s="138" t="e">
        <f>IF(ISNUMBER($B$18),IF(AND($C$18=2,AH90&lt;=-COS(PI()*$B$18)),AI90,NA()),NA())</f>
        <v>#N/A</v>
      </c>
      <c r="AL90" s="138" t="e">
        <f>IF(ISNUMBER($B$18),IF(AND($C$18=3,AH90&lt;=-COS(PI()*$B$18)),AI90,NA()),NA())</f>
        <v>#N/A</v>
      </c>
      <c r="AM90" s="138" t="e">
        <f>IF(ISNUMBER($B$18),IF(AND($C$18=4,AH90&lt;=-COS(PI()*$B$18)),AI90,NA()),NA())</f>
        <v>#N/A</v>
      </c>
      <c r="AN90" s="138" t="e">
        <f>IF(ISNUMBER($B$18),IF(AND($C$18=5,AH90&lt;=-COS(PI()*$B$18)),AI90,NA()),NA())</f>
        <v>#N/A</v>
      </c>
      <c r="AO90" s="138" t="e">
        <f>IF(ISNUMBER($B$18),IF(AND(ISNUMBER($B$18),AH90&gt;=MIN(0,$AH$2),AH90&lt;=MAX(0,$AH$2)),IF($AH$2=0,0,AH90/$AH$2*$AI$2),NA()),NA())</f>
        <v>#N/A</v>
      </c>
    </row>
    <row r="91" spans="1:41">
      <c r="A91" s="148"/>
      <c r="B91" s="152"/>
      <c r="C91" s="152"/>
      <c r="D91" s="152"/>
      <c r="E91" s="152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>
        <v>0.72</v>
      </c>
      <c r="S91" s="138">
        <f>SQRT(MAX(0,1-R91^2))</f>
        <v>0.69397406291589891</v>
      </c>
      <c r="T91" s="138" t="e">
        <f>IF(ISNUMBER($B$16),IF(AND($C$16=1,R91&lt;=-COS(PI()*$B$16)),S91,NA()),NA())</f>
        <v>#N/A</v>
      </c>
      <c r="U91" s="138" t="e">
        <f>IF(ISNUMBER($B$16),IF(AND($C$16=2,R91&lt;=-COS(PI()*$B$16)),S91,NA()),NA())</f>
        <v>#N/A</v>
      </c>
      <c r="V91" s="138" t="e">
        <f>IF(ISNUMBER($B$16),IF(AND($C$16=3,R91&lt;=-COS(PI()*$B$16)),S91,NA()),NA())</f>
        <v>#N/A</v>
      </c>
      <c r="W91" s="138" t="e">
        <f>IF(ISNUMBER($B$16),IF(AND($C$16=4,R91&lt;=-COS(PI()*$B$16)),S91,NA()),NA())</f>
        <v>#N/A</v>
      </c>
      <c r="X91" s="138" t="e">
        <f>IF(ISNUMBER($B$16),IF(AND($C$16=5,R91&lt;=-COS(PI()*$B$16)),S91,NA()),NA())</f>
        <v>#N/A</v>
      </c>
      <c r="Y91" s="138" t="e">
        <f>IF(ISNUMBER($B$16),IF(AND(ISNUMBER($B$16),R91&gt;=MIN(0,$R$2),R91&lt;=MAX(0,$R$2)),IF($R$2=0,0,R91/$R$2*$S$2),NA()),NA())</f>
        <v>#N/A</v>
      </c>
      <c r="Z91" s="138">
        <v>0.72</v>
      </c>
      <c r="AA91" s="138">
        <f>SQRT(MAX(0,1-Z91^2))</f>
        <v>0.69397406291589891</v>
      </c>
      <c r="AB91" s="138" t="e">
        <f>IF(ISNUMBER($B$17),IF(AND($C$17=1,Z91&lt;=-COS(PI()*$B$17)),AA91,NA()),NA())</f>
        <v>#N/A</v>
      </c>
      <c r="AC91" s="138" t="e">
        <f>IF(ISNUMBER($B$17),IF(AND($C$17=2,Z91&lt;=-COS(PI()*$B$17)),AA91,NA()),NA())</f>
        <v>#N/A</v>
      </c>
      <c r="AD91" s="138" t="e">
        <f>IF(ISNUMBER($B$17),IF(AND($C$17=3,Z91&lt;=-COS(PI()*$B$17)),AA91,NA()),NA())</f>
        <v>#N/A</v>
      </c>
      <c r="AE91" s="138" t="e">
        <f>IF(ISNUMBER($B$17),IF(AND($C$17=4,Z91&lt;=-COS(PI()*$B$17)),AA91,NA()),NA())</f>
        <v>#N/A</v>
      </c>
      <c r="AF91" s="138" t="e">
        <f>IF(ISNUMBER($B$17),IF(AND($C$17=5,Z91&lt;=-COS(PI()*$B$17)),AA91,NA()),NA())</f>
        <v>#N/A</v>
      </c>
      <c r="AG91" s="138" t="e">
        <f>IF(ISNUMBER($B$17),IF(AND(ISNUMBER($B$17),Z91&gt;=MIN(0,$Z$2),Z91&lt;=MAX(0,$Z$2)),IF($Z$2=0,0,Z91/$Z$2*$AA$2),NA()),NA())</f>
        <v>#N/A</v>
      </c>
      <c r="AH91" s="138">
        <v>0.72</v>
      </c>
      <c r="AI91" s="138">
        <f>SQRT(MAX(0,1-AH91^2))</f>
        <v>0.69397406291589891</v>
      </c>
      <c r="AJ91" s="138" t="e">
        <f>IF(ISNUMBER($B$18),IF(AND($C$18=1,AH91&lt;=-COS(PI()*$B$18)),AI91,NA()),NA())</f>
        <v>#N/A</v>
      </c>
      <c r="AK91" s="138" t="e">
        <f>IF(ISNUMBER($B$18),IF(AND($C$18=2,AH91&lt;=-COS(PI()*$B$18)),AI91,NA()),NA())</f>
        <v>#N/A</v>
      </c>
      <c r="AL91" s="138" t="e">
        <f>IF(ISNUMBER($B$18),IF(AND($C$18=3,AH91&lt;=-COS(PI()*$B$18)),AI91,NA()),NA())</f>
        <v>#N/A</v>
      </c>
      <c r="AM91" s="138" t="e">
        <f>IF(ISNUMBER($B$18),IF(AND($C$18=4,AH91&lt;=-COS(PI()*$B$18)),AI91,NA()),NA())</f>
        <v>#N/A</v>
      </c>
      <c r="AN91" s="138" t="e">
        <f>IF(ISNUMBER($B$18),IF(AND($C$18=5,AH91&lt;=-COS(PI()*$B$18)),AI91,NA()),NA())</f>
        <v>#N/A</v>
      </c>
      <c r="AO91" s="138" t="e">
        <f>IF(ISNUMBER($B$18),IF(AND(ISNUMBER($B$18),AH91&gt;=MIN(0,$AH$2),AH91&lt;=MAX(0,$AH$2)),IF($AH$2=0,0,AH91/$AH$2*$AI$2),NA()),NA())</f>
        <v>#N/A</v>
      </c>
    </row>
    <row r="92" spans="1:41">
      <c r="A92" s="148"/>
      <c r="B92" s="152"/>
      <c r="C92" s="152"/>
      <c r="D92" s="152"/>
      <c r="E92" s="152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>
        <v>0.74</v>
      </c>
      <c r="S92" s="138">
        <f>SQRT(MAX(0,1-R92^2))</f>
        <v>0.67260686883200949</v>
      </c>
      <c r="T92" s="138" t="e">
        <f>IF(ISNUMBER($B$16),IF(AND($C$16=1,R92&lt;=-COS(PI()*$B$16)),S92,NA()),NA())</f>
        <v>#N/A</v>
      </c>
      <c r="U92" s="138" t="e">
        <f>IF(ISNUMBER($B$16),IF(AND($C$16=2,R92&lt;=-COS(PI()*$B$16)),S92,NA()),NA())</f>
        <v>#N/A</v>
      </c>
      <c r="V92" s="138" t="e">
        <f>IF(ISNUMBER($B$16),IF(AND($C$16=3,R92&lt;=-COS(PI()*$B$16)),S92,NA()),NA())</f>
        <v>#N/A</v>
      </c>
      <c r="W92" s="138" t="e">
        <f>IF(ISNUMBER($B$16),IF(AND($C$16=4,R92&lt;=-COS(PI()*$B$16)),S92,NA()),NA())</f>
        <v>#N/A</v>
      </c>
      <c r="X92" s="138" t="e">
        <f>IF(ISNUMBER($B$16),IF(AND($C$16=5,R92&lt;=-COS(PI()*$B$16)),S92,NA()),NA())</f>
        <v>#N/A</v>
      </c>
      <c r="Y92" s="138" t="e">
        <f>IF(ISNUMBER($B$16),IF(AND(ISNUMBER($B$16),R92&gt;=MIN(0,$R$2),R92&lt;=MAX(0,$R$2)),IF($R$2=0,0,R92/$R$2*$S$2),NA()),NA())</f>
        <v>#N/A</v>
      </c>
      <c r="Z92" s="138">
        <v>0.74</v>
      </c>
      <c r="AA92" s="138">
        <f>SQRT(MAX(0,1-Z92^2))</f>
        <v>0.67260686883200949</v>
      </c>
      <c r="AB92" s="138" t="e">
        <f>IF(ISNUMBER($B$17),IF(AND($C$17=1,Z92&lt;=-COS(PI()*$B$17)),AA92,NA()),NA())</f>
        <v>#N/A</v>
      </c>
      <c r="AC92" s="138" t="e">
        <f>IF(ISNUMBER($B$17),IF(AND($C$17=2,Z92&lt;=-COS(PI()*$B$17)),AA92,NA()),NA())</f>
        <v>#N/A</v>
      </c>
      <c r="AD92" s="138" t="e">
        <f>IF(ISNUMBER($B$17),IF(AND($C$17=3,Z92&lt;=-COS(PI()*$B$17)),AA92,NA()),NA())</f>
        <v>#N/A</v>
      </c>
      <c r="AE92" s="138" t="e">
        <f>IF(ISNUMBER($B$17),IF(AND($C$17=4,Z92&lt;=-COS(PI()*$B$17)),AA92,NA()),NA())</f>
        <v>#N/A</v>
      </c>
      <c r="AF92" s="138" t="e">
        <f>IF(ISNUMBER($B$17),IF(AND($C$17=5,Z92&lt;=-COS(PI()*$B$17)),AA92,NA()),NA())</f>
        <v>#N/A</v>
      </c>
      <c r="AG92" s="138" t="e">
        <f>IF(ISNUMBER($B$17),IF(AND(ISNUMBER($B$17),Z92&gt;=MIN(0,$Z$2),Z92&lt;=MAX(0,$Z$2)),IF($Z$2=0,0,Z92/$Z$2*$AA$2),NA()),NA())</f>
        <v>#N/A</v>
      </c>
      <c r="AH92" s="138">
        <v>0.74</v>
      </c>
      <c r="AI92" s="138">
        <f>SQRT(MAX(0,1-AH92^2))</f>
        <v>0.67260686883200949</v>
      </c>
      <c r="AJ92" s="138" t="e">
        <f>IF(ISNUMBER($B$18),IF(AND($C$18=1,AH92&lt;=-COS(PI()*$B$18)),AI92,NA()),NA())</f>
        <v>#N/A</v>
      </c>
      <c r="AK92" s="138" t="e">
        <f>IF(ISNUMBER($B$18),IF(AND($C$18=2,AH92&lt;=-COS(PI()*$B$18)),AI92,NA()),NA())</f>
        <v>#N/A</v>
      </c>
      <c r="AL92" s="138" t="e">
        <f>IF(ISNUMBER($B$18),IF(AND($C$18=3,AH92&lt;=-COS(PI()*$B$18)),AI92,NA()),NA())</f>
        <v>#N/A</v>
      </c>
      <c r="AM92" s="138" t="e">
        <f>IF(ISNUMBER($B$18),IF(AND($C$18=4,AH92&lt;=-COS(PI()*$B$18)),AI92,NA()),NA())</f>
        <v>#N/A</v>
      </c>
      <c r="AN92" s="138" t="e">
        <f>IF(ISNUMBER($B$18),IF(AND($C$18=5,AH92&lt;=-COS(PI()*$B$18)),AI92,NA()),NA())</f>
        <v>#N/A</v>
      </c>
      <c r="AO92" s="138" t="e">
        <f>IF(ISNUMBER($B$18),IF(AND(ISNUMBER($B$18),AH92&gt;=MIN(0,$AH$2),AH92&lt;=MAX(0,$AH$2)),IF($AH$2=0,0,AH92/$AH$2*$AI$2),NA()),NA())</f>
        <v>#N/A</v>
      </c>
    </row>
    <row r="93" spans="1:41">
      <c r="A93" s="148"/>
      <c r="B93" s="152"/>
      <c r="C93" s="152"/>
      <c r="D93" s="152"/>
      <c r="E93" s="152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>
        <v>0.76</v>
      </c>
      <c r="S93" s="138">
        <f>SQRT(MAX(0,1-R93^2))</f>
        <v>0.64992307237087688</v>
      </c>
      <c r="T93" s="138" t="e">
        <f>IF(ISNUMBER($B$16),IF(AND($C$16=1,R93&lt;=-COS(PI()*$B$16)),S93,NA()),NA())</f>
        <v>#N/A</v>
      </c>
      <c r="U93" s="138" t="e">
        <f>IF(ISNUMBER($B$16),IF(AND($C$16=2,R93&lt;=-COS(PI()*$B$16)),S93,NA()),NA())</f>
        <v>#N/A</v>
      </c>
      <c r="V93" s="138" t="e">
        <f>IF(ISNUMBER($B$16),IF(AND($C$16=3,R93&lt;=-COS(PI()*$B$16)),S93,NA()),NA())</f>
        <v>#N/A</v>
      </c>
      <c r="W93" s="138" t="e">
        <f>IF(ISNUMBER($B$16),IF(AND($C$16=4,R93&lt;=-COS(PI()*$B$16)),S93,NA()),NA())</f>
        <v>#N/A</v>
      </c>
      <c r="X93" s="138" t="e">
        <f>IF(ISNUMBER($B$16),IF(AND($C$16=5,R93&lt;=-COS(PI()*$B$16)),S93,NA()),NA())</f>
        <v>#N/A</v>
      </c>
      <c r="Y93" s="138" t="e">
        <f>IF(ISNUMBER($B$16),IF(AND(ISNUMBER($B$16),R93&gt;=MIN(0,$R$2),R93&lt;=MAX(0,$R$2)),IF($R$2=0,0,R93/$R$2*$S$2),NA()),NA())</f>
        <v>#N/A</v>
      </c>
      <c r="Z93" s="138">
        <v>0.76</v>
      </c>
      <c r="AA93" s="138">
        <f>SQRT(MAX(0,1-Z93^2))</f>
        <v>0.64992307237087688</v>
      </c>
      <c r="AB93" s="138" t="e">
        <f>IF(ISNUMBER($B$17),IF(AND($C$17=1,Z93&lt;=-COS(PI()*$B$17)),AA93,NA()),NA())</f>
        <v>#N/A</v>
      </c>
      <c r="AC93" s="138" t="e">
        <f>IF(ISNUMBER($B$17),IF(AND($C$17=2,Z93&lt;=-COS(PI()*$B$17)),AA93,NA()),NA())</f>
        <v>#N/A</v>
      </c>
      <c r="AD93" s="138" t="e">
        <f>IF(ISNUMBER($B$17),IF(AND($C$17=3,Z93&lt;=-COS(PI()*$B$17)),AA93,NA()),NA())</f>
        <v>#N/A</v>
      </c>
      <c r="AE93" s="138" t="e">
        <f>IF(ISNUMBER($B$17),IF(AND($C$17=4,Z93&lt;=-COS(PI()*$B$17)),AA93,NA()),NA())</f>
        <v>#N/A</v>
      </c>
      <c r="AF93" s="138" t="e">
        <f>IF(ISNUMBER($B$17),IF(AND($C$17=5,Z93&lt;=-COS(PI()*$B$17)),AA93,NA()),NA())</f>
        <v>#N/A</v>
      </c>
      <c r="AG93" s="138" t="e">
        <f>IF(ISNUMBER($B$17),IF(AND(ISNUMBER($B$17),Z93&gt;=MIN(0,$Z$2),Z93&lt;=MAX(0,$Z$2)),IF($Z$2=0,0,Z93/$Z$2*$AA$2),NA()),NA())</f>
        <v>#N/A</v>
      </c>
      <c r="AH93" s="138">
        <v>0.76</v>
      </c>
      <c r="AI93" s="138">
        <f>SQRT(MAX(0,1-AH93^2))</f>
        <v>0.64992307237087688</v>
      </c>
      <c r="AJ93" s="138" t="e">
        <f>IF(ISNUMBER($B$18),IF(AND($C$18=1,AH93&lt;=-COS(PI()*$B$18)),AI93,NA()),NA())</f>
        <v>#N/A</v>
      </c>
      <c r="AK93" s="138" t="e">
        <f>IF(ISNUMBER($B$18),IF(AND($C$18=2,AH93&lt;=-COS(PI()*$B$18)),AI93,NA()),NA())</f>
        <v>#N/A</v>
      </c>
      <c r="AL93" s="138" t="e">
        <f>IF(ISNUMBER($B$18),IF(AND($C$18=3,AH93&lt;=-COS(PI()*$B$18)),AI93,NA()),NA())</f>
        <v>#N/A</v>
      </c>
      <c r="AM93" s="138" t="e">
        <f>IF(ISNUMBER($B$18),IF(AND($C$18=4,AH93&lt;=-COS(PI()*$B$18)),AI93,NA()),NA())</f>
        <v>#N/A</v>
      </c>
      <c r="AN93" s="138" t="e">
        <f>IF(ISNUMBER($B$18),IF(AND($C$18=5,AH93&lt;=-COS(PI()*$B$18)),AI93,NA()),NA())</f>
        <v>#N/A</v>
      </c>
      <c r="AO93" s="138" t="e">
        <f>IF(ISNUMBER($B$18),IF(AND(ISNUMBER($B$18),AH93&gt;=MIN(0,$AH$2),AH93&lt;=MAX(0,$AH$2)),IF($AH$2=0,0,AH93/$AH$2*$AI$2),NA()),NA())</f>
        <v>#N/A</v>
      </c>
    </row>
    <row r="94" spans="1:41">
      <c r="A94" s="148"/>
      <c r="B94" s="152"/>
      <c r="C94" s="152"/>
      <c r="D94" s="152"/>
      <c r="E94" s="152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>
        <v>0.78</v>
      </c>
      <c r="S94" s="138">
        <f>SQRT(MAX(0,1-R94^2))</f>
        <v>0.62577951388648057</v>
      </c>
      <c r="T94" s="138" t="e">
        <f>IF(ISNUMBER($B$16),IF(AND($C$16=1,R94&lt;=-COS(PI()*$B$16)),S94,NA()),NA())</f>
        <v>#N/A</v>
      </c>
      <c r="U94" s="138" t="e">
        <f>IF(ISNUMBER($B$16),IF(AND($C$16=2,R94&lt;=-COS(PI()*$B$16)),S94,NA()),NA())</f>
        <v>#N/A</v>
      </c>
      <c r="V94" s="138" t="e">
        <f>IF(ISNUMBER($B$16),IF(AND($C$16=3,R94&lt;=-COS(PI()*$B$16)),S94,NA()),NA())</f>
        <v>#N/A</v>
      </c>
      <c r="W94" s="138" t="e">
        <f>IF(ISNUMBER($B$16),IF(AND($C$16=4,R94&lt;=-COS(PI()*$B$16)),S94,NA()),NA())</f>
        <v>#N/A</v>
      </c>
      <c r="X94" s="138" t="e">
        <f>IF(ISNUMBER($B$16),IF(AND($C$16=5,R94&lt;=-COS(PI()*$B$16)),S94,NA()),NA())</f>
        <v>#N/A</v>
      </c>
      <c r="Y94" s="138" t="e">
        <f>IF(ISNUMBER($B$16),IF(AND(ISNUMBER($B$16),R94&gt;=MIN(0,$R$2),R94&lt;=MAX(0,$R$2)),IF($R$2=0,0,R94/$R$2*$S$2),NA()),NA())</f>
        <v>#N/A</v>
      </c>
      <c r="Z94" s="138">
        <v>0.78</v>
      </c>
      <c r="AA94" s="138">
        <f>SQRT(MAX(0,1-Z94^2))</f>
        <v>0.62577951388648057</v>
      </c>
      <c r="AB94" s="138" t="e">
        <f>IF(ISNUMBER($B$17),IF(AND($C$17=1,Z94&lt;=-COS(PI()*$B$17)),AA94,NA()),NA())</f>
        <v>#N/A</v>
      </c>
      <c r="AC94" s="138" t="e">
        <f>IF(ISNUMBER($B$17),IF(AND($C$17=2,Z94&lt;=-COS(PI()*$B$17)),AA94,NA()),NA())</f>
        <v>#N/A</v>
      </c>
      <c r="AD94" s="138" t="e">
        <f>IF(ISNUMBER($B$17),IF(AND($C$17=3,Z94&lt;=-COS(PI()*$B$17)),AA94,NA()),NA())</f>
        <v>#N/A</v>
      </c>
      <c r="AE94" s="138" t="e">
        <f>IF(ISNUMBER($B$17),IF(AND($C$17=4,Z94&lt;=-COS(PI()*$B$17)),AA94,NA()),NA())</f>
        <v>#N/A</v>
      </c>
      <c r="AF94" s="138" t="e">
        <f>IF(ISNUMBER($B$17),IF(AND($C$17=5,Z94&lt;=-COS(PI()*$B$17)),AA94,NA()),NA())</f>
        <v>#N/A</v>
      </c>
      <c r="AG94" s="138" t="e">
        <f>IF(ISNUMBER($B$17),IF(AND(ISNUMBER($B$17),Z94&gt;=MIN(0,$Z$2),Z94&lt;=MAX(0,$Z$2)),IF($Z$2=0,0,Z94/$Z$2*$AA$2),NA()),NA())</f>
        <v>#N/A</v>
      </c>
      <c r="AH94" s="138">
        <v>0.78</v>
      </c>
      <c r="AI94" s="138">
        <f>SQRT(MAX(0,1-AH94^2))</f>
        <v>0.62577951388648057</v>
      </c>
      <c r="AJ94" s="138" t="e">
        <f>IF(ISNUMBER($B$18),IF(AND($C$18=1,AH94&lt;=-COS(PI()*$B$18)),AI94,NA()),NA())</f>
        <v>#N/A</v>
      </c>
      <c r="AK94" s="138" t="e">
        <f>IF(ISNUMBER($B$18),IF(AND($C$18=2,AH94&lt;=-COS(PI()*$B$18)),AI94,NA()),NA())</f>
        <v>#N/A</v>
      </c>
      <c r="AL94" s="138" t="e">
        <f>IF(ISNUMBER($B$18),IF(AND($C$18=3,AH94&lt;=-COS(PI()*$B$18)),AI94,NA()),NA())</f>
        <v>#N/A</v>
      </c>
      <c r="AM94" s="138" t="e">
        <f>IF(ISNUMBER($B$18),IF(AND($C$18=4,AH94&lt;=-COS(PI()*$B$18)),AI94,NA()),NA())</f>
        <v>#N/A</v>
      </c>
      <c r="AN94" s="138" t="e">
        <f>IF(ISNUMBER($B$18),IF(AND($C$18=5,AH94&lt;=-COS(PI()*$B$18)),AI94,NA()),NA())</f>
        <v>#N/A</v>
      </c>
      <c r="AO94" s="138" t="e">
        <f>IF(ISNUMBER($B$18),IF(AND(ISNUMBER($B$18),AH94&gt;=MIN(0,$AH$2),AH94&lt;=MAX(0,$AH$2)),IF($AH$2=0,0,AH94/$AH$2*$AI$2),NA()),NA())</f>
        <v>#N/A</v>
      </c>
    </row>
    <row r="95" spans="1:41">
      <c r="A95" s="148"/>
      <c r="B95" s="152"/>
      <c r="C95" s="152"/>
      <c r="D95" s="152"/>
      <c r="E95" s="152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>
        <v>0.8</v>
      </c>
      <c r="S95" s="138">
        <f>SQRT(MAX(0,1-R95^2))</f>
        <v>0.59999999999999987</v>
      </c>
      <c r="T95" s="138" t="e">
        <f>IF(ISNUMBER($B$16),IF(AND($C$16=1,R95&lt;=-COS(PI()*$B$16)),S95,NA()),NA())</f>
        <v>#N/A</v>
      </c>
      <c r="U95" s="138" t="e">
        <f>IF(ISNUMBER($B$16),IF(AND($C$16=2,R95&lt;=-COS(PI()*$B$16)),S95,NA()),NA())</f>
        <v>#N/A</v>
      </c>
      <c r="V95" s="138" t="e">
        <f>IF(ISNUMBER($B$16),IF(AND($C$16=3,R95&lt;=-COS(PI()*$B$16)),S95,NA()),NA())</f>
        <v>#N/A</v>
      </c>
      <c r="W95" s="138" t="e">
        <f>IF(ISNUMBER($B$16),IF(AND($C$16=4,R95&lt;=-COS(PI()*$B$16)),S95,NA()),NA())</f>
        <v>#N/A</v>
      </c>
      <c r="X95" s="138" t="e">
        <f>IF(ISNUMBER($B$16),IF(AND($C$16=5,R95&lt;=-COS(PI()*$B$16)),S95,NA()),NA())</f>
        <v>#N/A</v>
      </c>
      <c r="Y95" s="138" t="e">
        <f>IF(ISNUMBER($B$16),IF(AND(ISNUMBER($B$16),R95&gt;=MIN(0,$R$2),R95&lt;=MAX(0,$R$2)),IF($R$2=0,0,R95/$R$2*$S$2),NA()),NA())</f>
        <v>#N/A</v>
      </c>
      <c r="Z95" s="138">
        <v>0.8</v>
      </c>
      <c r="AA95" s="138">
        <f>SQRT(MAX(0,1-Z95^2))</f>
        <v>0.59999999999999987</v>
      </c>
      <c r="AB95" s="138" t="e">
        <f>IF(ISNUMBER($B$17),IF(AND($C$17=1,Z95&lt;=-COS(PI()*$B$17)),AA95,NA()),NA())</f>
        <v>#N/A</v>
      </c>
      <c r="AC95" s="138" t="e">
        <f>IF(ISNUMBER($B$17),IF(AND($C$17=2,Z95&lt;=-COS(PI()*$B$17)),AA95,NA()),NA())</f>
        <v>#N/A</v>
      </c>
      <c r="AD95" s="138" t="e">
        <f>IF(ISNUMBER($B$17),IF(AND($C$17=3,Z95&lt;=-COS(PI()*$B$17)),AA95,NA()),NA())</f>
        <v>#N/A</v>
      </c>
      <c r="AE95" s="138" t="e">
        <f>IF(ISNUMBER($B$17),IF(AND($C$17=4,Z95&lt;=-COS(PI()*$B$17)),AA95,NA()),NA())</f>
        <v>#N/A</v>
      </c>
      <c r="AF95" s="138" t="e">
        <f>IF(ISNUMBER($B$17),IF(AND($C$17=5,Z95&lt;=-COS(PI()*$B$17)),AA95,NA()),NA())</f>
        <v>#N/A</v>
      </c>
      <c r="AG95" s="138" t="e">
        <f>IF(ISNUMBER($B$17),IF(AND(ISNUMBER($B$17),Z95&gt;=MIN(0,$Z$2),Z95&lt;=MAX(0,$Z$2)),IF($Z$2=0,0,Z95/$Z$2*$AA$2),NA()),NA())</f>
        <v>#N/A</v>
      </c>
      <c r="AH95" s="138">
        <v>0.8</v>
      </c>
      <c r="AI95" s="138">
        <f>SQRT(MAX(0,1-AH95^2))</f>
        <v>0.59999999999999987</v>
      </c>
      <c r="AJ95" s="138" t="e">
        <f>IF(ISNUMBER($B$18),IF(AND($C$18=1,AH95&lt;=-COS(PI()*$B$18)),AI95,NA()),NA())</f>
        <v>#N/A</v>
      </c>
      <c r="AK95" s="138" t="e">
        <f>IF(ISNUMBER($B$18),IF(AND($C$18=2,AH95&lt;=-COS(PI()*$B$18)),AI95,NA()),NA())</f>
        <v>#N/A</v>
      </c>
      <c r="AL95" s="138" t="e">
        <f>IF(ISNUMBER($B$18),IF(AND($C$18=3,AH95&lt;=-COS(PI()*$B$18)),AI95,NA()),NA())</f>
        <v>#N/A</v>
      </c>
      <c r="AM95" s="138" t="e">
        <f>IF(ISNUMBER($B$18),IF(AND($C$18=4,AH95&lt;=-COS(PI()*$B$18)),AI95,NA()),NA())</f>
        <v>#N/A</v>
      </c>
      <c r="AN95" s="138" t="e">
        <f>IF(ISNUMBER($B$18),IF(AND($C$18=5,AH95&lt;=-COS(PI()*$B$18)),AI95,NA()),NA())</f>
        <v>#N/A</v>
      </c>
      <c r="AO95" s="138" t="e">
        <f>IF(ISNUMBER($B$18),IF(AND(ISNUMBER($B$18),AH95&gt;=MIN(0,$AH$2),AH95&lt;=MAX(0,$AH$2)),IF($AH$2=0,0,AH95/$AH$2*$AI$2),NA()),NA())</f>
        <v>#N/A</v>
      </c>
    </row>
    <row r="96" spans="1:41">
      <c r="A96" s="148"/>
      <c r="B96" s="152"/>
      <c r="C96" s="152"/>
      <c r="D96" s="152"/>
      <c r="E96" s="152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>
        <v>0.82</v>
      </c>
      <c r="S96" s="138">
        <f>SQRT(MAX(0,1-R96^2))</f>
        <v>0.57236352085016751</v>
      </c>
      <c r="T96" s="138" t="e">
        <f>IF(ISNUMBER($B$16),IF(AND($C$16=1,R96&lt;=-COS(PI()*$B$16)),S96,NA()),NA())</f>
        <v>#N/A</v>
      </c>
      <c r="U96" s="138" t="e">
        <f>IF(ISNUMBER($B$16),IF(AND($C$16=2,R96&lt;=-COS(PI()*$B$16)),S96,NA()),NA())</f>
        <v>#N/A</v>
      </c>
      <c r="V96" s="138" t="e">
        <f>IF(ISNUMBER($B$16),IF(AND($C$16=3,R96&lt;=-COS(PI()*$B$16)),S96,NA()),NA())</f>
        <v>#N/A</v>
      </c>
      <c r="W96" s="138" t="e">
        <f>IF(ISNUMBER($B$16),IF(AND($C$16=4,R96&lt;=-COS(PI()*$B$16)),S96,NA()),NA())</f>
        <v>#N/A</v>
      </c>
      <c r="X96" s="138" t="e">
        <f>IF(ISNUMBER($B$16),IF(AND($C$16=5,R96&lt;=-COS(PI()*$B$16)),S96,NA()),NA())</f>
        <v>#N/A</v>
      </c>
      <c r="Y96" s="138" t="e">
        <f>IF(ISNUMBER($B$16),IF(AND(ISNUMBER($B$16),R96&gt;=MIN(0,$R$2),R96&lt;=MAX(0,$R$2)),IF($R$2=0,0,R96/$R$2*$S$2),NA()),NA())</f>
        <v>#N/A</v>
      </c>
      <c r="Z96" s="138">
        <v>0.82</v>
      </c>
      <c r="AA96" s="138">
        <f>SQRT(MAX(0,1-Z96^2))</f>
        <v>0.57236352085016751</v>
      </c>
      <c r="AB96" s="138" t="e">
        <f>IF(ISNUMBER($B$17),IF(AND($C$17=1,Z96&lt;=-COS(PI()*$B$17)),AA96,NA()),NA())</f>
        <v>#N/A</v>
      </c>
      <c r="AC96" s="138" t="e">
        <f>IF(ISNUMBER($B$17),IF(AND($C$17=2,Z96&lt;=-COS(PI()*$B$17)),AA96,NA()),NA())</f>
        <v>#N/A</v>
      </c>
      <c r="AD96" s="138" t="e">
        <f>IF(ISNUMBER($B$17),IF(AND($C$17=3,Z96&lt;=-COS(PI()*$B$17)),AA96,NA()),NA())</f>
        <v>#N/A</v>
      </c>
      <c r="AE96" s="138" t="e">
        <f>IF(ISNUMBER($B$17),IF(AND($C$17=4,Z96&lt;=-COS(PI()*$B$17)),AA96,NA()),NA())</f>
        <v>#N/A</v>
      </c>
      <c r="AF96" s="138" t="e">
        <f>IF(ISNUMBER($B$17),IF(AND($C$17=5,Z96&lt;=-COS(PI()*$B$17)),AA96,NA()),NA())</f>
        <v>#N/A</v>
      </c>
      <c r="AG96" s="138" t="e">
        <f>IF(ISNUMBER($B$17),IF(AND(ISNUMBER($B$17),Z96&gt;=MIN(0,$Z$2),Z96&lt;=MAX(0,$Z$2)),IF($Z$2=0,0,Z96/$Z$2*$AA$2),NA()),NA())</f>
        <v>#N/A</v>
      </c>
      <c r="AH96" s="138">
        <v>0.82</v>
      </c>
      <c r="AI96" s="138">
        <f>SQRT(MAX(0,1-AH96^2))</f>
        <v>0.57236352085016751</v>
      </c>
      <c r="AJ96" s="138" t="e">
        <f>IF(ISNUMBER($B$18),IF(AND($C$18=1,AH96&lt;=-COS(PI()*$B$18)),AI96,NA()),NA())</f>
        <v>#N/A</v>
      </c>
      <c r="AK96" s="138" t="e">
        <f>IF(ISNUMBER($B$18),IF(AND($C$18=2,AH96&lt;=-COS(PI()*$B$18)),AI96,NA()),NA())</f>
        <v>#N/A</v>
      </c>
      <c r="AL96" s="138" t="e">
        <f>IF(ISNUMBER($B$18),IF(AND($C$18=3,AH96&lt;=-COS(PI()*$B$18)),AI96,NA()),NA())</f>
        <v>#N/A</v>
      </c>
      <c r="AM96" s="138" t="e">
        <f>IF(ISNUMBER($B$18),IF(AND($C$18=4,AH96&lt;=-COS(PI()*$B$18)),AI96,NA()),NA())</f>
        <v>#N/A</v>
      </c>
      <c r="AN96" s="138" t="e">
        <f>IF(ISNUMBER($B$18),IF(AND($C$18=5,AH96&lt;=-COS(PI()*$B$18)),AI96,NA()),NA())</f>
        <v>#N/A</v>
      </c>
      <c r="AO96" s="138" t="e">
        <f>IF(ISNUMBER($B$18),IF(AND(ISNUMBER($B$18),AH96&gt;=MIN(0,$AH$2),AH96&lt;=MAX(0,$AH$2)),IF($AH$2=0,0,AH96/$AH$2*$AI$2),NA()),NA())</f>
        <v>#N/A</v>
      </c>
    </row>
    <row r="97" spans="1:53">
      <c r="A97" s="148"/>
      <c r="B97" s="152"/>
      <c r="C97" s="152"/>
      <c r="D97" s="152"/>
      <c r="E97" s="152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>
        <v>0.84</v>
      </c>
      <c r="S97" s="138">
        <f>SQRT(MAX(0,1-R97^2))</f>
        <v>0.54258639865002156</v>
      </c>
      <c r="T97" s="138" t="e">
        <f>IF(ISNUMBER($B$16),IF(AND($C$16=1,R97&lt;=-COS(PI()*$B$16)),S97,NA()),NA())</f>
        <v>#N/A</v>
      </c>
      <c r="U97" s="138" t="e">
        <f>IF(ISNUMBER($B$16),IF(AND($C$16=2,R97&lt;=-COS(PI()*$B$16)),S97,NA()),NA())</f>
        <v>#N/A</v>
      </c>
      <c r="V97" s="138" t="e">
        <f>IF(ISNUMBER($B$16),IF(AND($C$16=3,R97&lt;=-COS(PI()*$B$16)),S97,NA()),NA())</f>
        <v>#N/A</v>
      </c>
      <c r="W97" s="138" t="e">
        <f>IF(ISNUMBER($B$16),IF(AND($C$16=4,R97&lt;=-COS(PI()*$B$16)),S97,NA()),NA())</f>
        <v>#N/A</v>
      </c>
      <c r="X97" s="138" t="e">
        <f>IF(ISNUMBER($B$16),IF(AND($C$16=5,R97&lt;=-COS(PI()*$B$16)),S97,NA()),NA())</f>
        <v>#N/A</v>
      </c>
      <c r="Y97" s="138" t="e">
        <f>IF(ISNUMBER($B$16),IF(AND(ISNUMBER($B$16),R97&gt;=MIN(0,$R$2),R97&lt;=MAX(0,$R$2)),IF($R$2=0,0,R97/$R$2*$S$2),NA()),NA())</f>
        <v>#N/A</v>
      </c>
      <c r="Z97" s="138">
        <v>0.84</v>
      </c>
      <c r="AA97" s="138">
        <f>SQRT(MAX(0,1-Z97^2))</f>
        <v>0.54258639865002156</v>
      </c>
      <c r="AB97" s="138" t="e">
        <f>IF(ISNUMBER($B$17),IF(AND($C$17=1,Z97&lt;=-COS(PI()*$B$17)),AA97,NA()),NA())</f>
        <v>#N/A</v>
      </c>
      <c r="AC97" s="138" t="e">
        <f>IF(ISNUMBER($B$17),IF(AND($C$17=2,Z97&lt;=-COS(PI()*$B$17)),AA97,NA()),NA())</f>
        <v>#N/A</v>
      </c>
      <c r="AD97" s="138" t="e">
        <f>IF(ISNUMBER($B$17),IF(AND($C$17=3,Z97&lt;=-COS(PI()*$B$17)),AA97,NA()),NA())</f>
        <v>#N/A</v>
      </c>
      <c r="AE97" s="138" t="e">
        <f>IF(ISNUMBER($B$17),IF(AND($C$17=4,Z97&lt;=-COS(PI()*$B$17)),AA97,NA()),NA())</f>
        <v>#N/A</v>
      </c>
      <c r="AF97" s="138" t="e">
        <f>IF(ISNUMBER($B$17),IF(AND($C$17=5,Z97&lt;=-COS(PI()*$B$17)),AA97,NA()),NA())</f>
        <v>#N/A</v>
      </c>
      <c r="AG97" s="138" t="e">
        <f>IF(ISNUMBER($B$17),IF(AND(ISNUMBER($B$17),Z97&gt;=MIN(0,$Z$2),Z97&lt;=MAX(0,$Z$2)),IF($Z$2=0,0,Z97/$Z$2*$AA$2),NA()),NA())</f>
        <v>#N/A</v>
      </c>
      <c r="AH97" s="138">
        <v>0.84</v>
      </c>
      <c r="AI97" s="138">
        <f>SQRT(MAX(0,1-AH97^2))</f>
        <v>0.54258639865002156</v>
      </c>
      <c r="AJ97" s="138" t="e">
        <f>IF(ISNUMBER($B$18),IF(AND($C$18=1,AH97&lt;=-COS(PI()*$B$18)),AI97,NA()),NA())</f>
        <v>#N/A</v>
      </c>
      <c r="AK97" s="138" t="e">
        <f>IF(ISNUMBER($B$18),IF(AND($C$18=2,AH97&lt;=-COS(PI()*$B$18)),AI97,NA()),NA())</f>
        <v>#N/A</v>
      </c>
      <c r="AL97" s="138" t="e">
        <f>IF(ISNUMBER($B$18),IF(AND($C$18=3,AH97&lt;=-COS(PI()*$B$18)),AI97,NA()),NA())</f>
        <v>#N/A</v>
      </c>
      <c r="AM97" s="138" t="e">
        <f>IF(ISNUMBER($B$18),IF(AND($C$18=4,AH97&lt;=-COS(PI()*$B$18)),AI97,NA()),NA())</f>
        <v>#N/A</v>
      </c>
      <c r="AN97" s="138" t="e">
        <f>IF(ISNUMBER($B$18),IF(AND($C$18=5,AH97&lt;=-COS(PI()*$B$18)),AI97,NA()),NA())</f>
        <v>#N/A</v>
      </c>
      <c r="AO97" s="138" t="e">
        <f>IF(ISNUMBER($B$18),IF(AND(ISNUMBER($B$18),AH97&gt;=MIN(0,$AH$2),AH97&lt;=MAX(0,$AH$2)),IF($AH$2=0,0,AH97/$AH$2*$AI$2),NA()),NA())</f>
        <v>#N/A</v>
      </c>
    </row>
    <row r="98" spans="1:53">
      <c r="A98" s="148"/>
      <c r="B98" s="152"/>
      <c r="C98" s="152"/>
      <c r="D98" s="152"/>
      <c r="E98" s="152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>
        <v>0.86</v>
      </c>
      <c r="S98" s="138">
        <f>SQRT(MAX(0,1-R98^2))</f>
        <v>0.51029403288692299</v>
      </c>
      <c r="T98" s="138" t="e">
        <f>IF(ISNUMBER($B$16),IF(AND($C$16=1,R98&lt;=-COS(PI()*$B$16)),S98,NA()),NA())</f>
        <v>#N/A</v>
      </c>
      <c r="U98" s="138" t="e">
        <f>IF(ISNUMBER($B$16),IF(AND($C$16=2,R98&lt;=-COS(PI()*$B$16)),S98,NA()),NA())</f>
        <v>#N/A</v>
      </c>
      <c r="V98" s="138" t="e">
        <f>IF(ISNUMBER($B$16),IF(AND($C$16=3,R98&lt;=-COS(PI()*$B$16)),S98,NA()),NA())</f>
        <v>#N/A</v>
      </c>
      <c r="W98" s="138" t="e">
        <f>IF(ISNUMBER($B$16),IF(AND($C$16=4,R98&lt;=-COS(PI()*$B$16)),S98,NA()),NA())</f>
        <v>#N/A</v>
      </c>
      <c r="X98" s="138" t="e">
        <f>IF(ISNUMBER($B$16),IF(AND($C$16=5,R98&lt;=-COS(PI()*$B$16)),S98,NA()),NA())</f>
        <v>#N/A</v>
      </c>
      <c r="Y98" s="138" t="e">
        <f>IF(ISNUMBER($B$16),IF(AND(ISNUMBER($B$16),R98&gt;=MIN(0,$R$2),R98&lt;=MAX(0,$R$2)),IF($R$2=0,0,R98/$R$2*$S$2),NA()),NA())</f>
        <v>#N/A</v>
      </c>
      <c r="Z98" s="138">
        <v>0.86</v>
      </c>
      <c r="AA98" s="138">
        <f>SQRT(MAX(0,1-Z98^2))</f>
        <v>0.51029403288692299</v>
      </c>
      <c r="AB98" s="138" t="e">
        <f>IF(ISNUMBER($B$17),IF(AND($C$17=1,Z98&lt;=-COS(PI()*$B$17)),AA98,NA()),NA())</f>
        <v>#N/A</v>
      </c>
      <c r="AC98" s="138" t="e">
        <f>IF(ISNUMBER($B$17),IF(AND($C$17=2,Z98&lt;=-COS(PI()*$B$17)),AA98,NA()),NA())</f>
        <v>#N/A</v>
      </c>
      <c r="AD98" s="138" t="e">
        <f>IF(ISNUMBER($B$17),IF(AND($C$17=3,Z98&lt;=-COS(PI()*$B$17)),AA98,NA()),NA())</f>
        <v>#N/A</v>
      </c>
      <c r="AE98" s="138" t="e">
        <f>IF(ISNUMBER($B$17),IF(AND($C$17=4,Z98&lt;=-COS(PI()*$B$17)),AA98,NA()),NA())</f>
        <v>#N/A</v>
      </c>
      <c r="AF98" s="138" t="e">
        <f>IF(ISNUMBER($B$17),IF(AND($C$17=5,Z98&lt;=-COS(PI()*$B$17)),AA98,NA()),NA())</f>
        <v>#N/A</v>
      </c>
      <c r="AG98" s="138" t="e">
        <f>IF(ISNUMBER($B$17),IF(AND(ISNUMBER($B$17),Z98&gt;=MIN(0,$Z$2),Z98&lt;=MAX(0,$Z$2)),IF($Z$2=0,0,Z98/$Z$2*$AA$2),NA()),NA())</f>
        <v>#N/A</v>
      </c>
      <c r="AH98" s="138">
        <v>0.86</v>
      </c>
      <c r="AI98" s="138">
        <f>SQRT(MAX(0,1-AH98^2))</f>
        <v>0.51029403288692299</v>
      </c>
      <c r="AJ98" s="138" t="e">
        <f>IF(ISNUMBER($B$18),IF(AND($C$18=1,AH98&lt;=-COS(PI()*$B$18)),AI98,NA()),NA())</f>
        <v>#N/A</v>
      </c>
      <c r="AK98" s="138" t="e">
        <f>IF(ISNUMBER($B$18),IF(AND($C$18=2,AH98&lt;=-COS(PI()*$B$18)),AI98,NA()),NA())</f>
        <v>#N/A</v>
      </c>
      <c r="AL98" s="138" t="e">
        <f>IF(ISNUMBER($B$18),IF(AND($C$18=3,AH98&lt;=-COS(PI()*$B$18)),AI98,NA()),NA())</f>
        <v>#N/A</v>
      </c>
      <c r="AM98" s="138" t="e">
        <f>IF(ISNUMBER($B$18),IF(AND($C$18=4,AH98&lt;=-COS(PI()*$B$18)),AI98,NA()),NA())</f>
        <v>#N/A</v>
      </c>
      <c r="AN98" s="138" t="e">
        <f>IF(ISNUMBER($B$18),IF(AND($C$18=5,AH98&lt;=-COS(PI()*$B$18)),AI98,NA()),NA())</f>
        <v>#N/A</v>
      </c>
      <c r="AO98" s="138" t="e">
        <f>IF(ISNUMBER($B$18),IF(AND(ISNUMBER($B$18),AH98&gt;=MIN(0,$AH$2),AH98&lt;=MAX(0,$AH$2)),IF($AH$2=0,0,AH98/$AH$2*$AI$2),NA()),NA())</f>
        <v>#N/A</v>
      </c>
    </row>
    <row r="99" spans="1:53">
      <c r="A99" s="148"/>
      <c r="B99" s="152"/>
      <c r="C99" s="152"/>
      <c r="D99" s="152"/>
      <c r="E99" s="152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>
        <v>0.88</v>
      </c>
      <c r="S99" s="138">
        <f>SQRT(MAX(0,1-R99^2))</f>
        <v>0.4749736834815167</v>
      </c>
      <c r="T99" s="138" t="e">
        <f>IF(ISNUMBER($B$16),IF(AND($C$16=1,R99&lt;=-COS(PI()*$B$16)),S99,NA()),NA())</f>
        <v>#N/A</v>
      </c>
      <c r="U99" s="138" t="e">
        <f>IF(ISNUMBER($B$16),IF(AND($C$16=2,R99&lt;=-COS(PI()*$B$16)),S99,NA()),NA())</f>
        <v>#N/A</v>
      </c>
      <c r="V99" s="138" t="e">
        <f>IF(ISNUMBER($B$16),IF(AND($C$16=3,R99&lt;=-COS(PI()*$B$16)),S99,NA()),NA())</f>
        <v>#N/A</v>
      </c>
      <c r="W99" s="138" t="e">
        <f>IF(ISNUMBER($B$16),IF(AND($C$16=4,R99&lt;=-COS(PI()*$B$16)),S99,NA()),NA())</f>
        <v>#N/A</v>
      </c>
      <c r="X99" s="138" t="e">
        <f>IF(ISNUMBER($B$16),IF(AND($C$16=5,R99&lt;=-COS(PI()*$B$16)),S99,NA()),NA())</f>
        <v>#N/A</v>
      </c>
      <c r="Y99" s="138" t="e">
        <f>IF(ISNUMBER($B$16),IF(AND(ISNUMBER($B$16),R99&gt;=MIN(0,$R$2),R99&lt;=MAX(0,$R$2)),IF($R$2=0,0,R99/$R$2*$S$2),NA()),NA())</f>
        <v>#N/A</v>
      </c>
      <c r="Z99" s="138">
        <v>0.88</v>
      </c>
      <c r="AA99" s="138">
        <f>SQRT(MAX(0,1-Z99^2))</f>
        <v>0.4749736834815167</v>
      </c>
      <c r="AB99" s="138" t="e">
        <f>IF(ISNUMBER($B$17),IF(AND($C$17=1,Z99&lt;=-COS(PI()*$B$17)),AA99,NA()),NA())</f>
        <v>#N/A</v>
      </c>
      <c r="AC99" s="138" t="e">
        <f>IF(ISNUMBER($B$17),IF(AND($C$17=2,Z99&lt;=-COS(PI()*$B$17)),AA99,NA()),NA())</f>
        <v>#N/A</v>
      </c>
      <c r="AD99" s="138" t="e">
        <f>IF(ISNUMBER($B$17),IF(AND($C$17=3,Z99&lt;=-COS(PI()*$B$17)),AA99,NA()),NA())</f>
        <v>#N/A</v>
      </c>
      <c r="AE99" s="138" t="e">
        <f>IF(ISNUMBER($B$17),IF(AND($C$17=4,Z99&lt;=-COS(PI()*$B$17)),AA99,NA()),NA())</f>
        <v>#N/A</v>
      </c>
      <c r="AF99" s="138" t="e">
        <f>IF(ISNUMBER($B$17),IF(AND($C$17=5,Z99&lt;=-COS(PI()*$B$17)),AA99,NA()),NA())</f>
        <v>#N/A</v>
      </c>
      <c r="AG99" s="138" t="e">
        <f>IF(ISNUMBER($B$17),IF(AND(ISNUMBER($B$17),Z99&gt;=MIN(0,$Z$2),Z99&lt;=MAX(0,$Z$2)),IF($Z$2=0,0,Z99/$Z$2*$AA$2),NA()),NA())</f>
        <v>#N/A</v>
      </c>
      <c r="AH99" s="138">
        <v>0.88</v>
      </c>
      <c r="AI99" s="138">
        <f>SQRT(MAX(0,1-AH99^2))</f>
        <v>0.4749736834815167</v>
      </c>
      <c r="AJ99" s="138" t="e">
        <f>IF(ISNUMBER($B$18),IF(AND($C$18=1,AH99&lt;=-COS(PI()*$B$18)),AI99,NA()),NA())</f>
        <v>#N/A</v>
      </c>
      <c r="AK99" s="138" t="e">
        <f>IF(ISNUMBER($B$18),IF(AND($C$18=2,AH99&lt;=-COS(PI()*$B$18)),AI99,NA()),NA())</f>
        <v>#N/A</v>
      </c>
      <c r="AL99" s="138" t="e">
        <f>IF(ISNUMBER($B$18),IF(AND($C$18=3,AH99&lt;=-COS(PI()*$B$18)),AI99,NA()),NA())</f>
        <v>#N/A</v>
      </c>
      <c r="AM99" s="138" t="e">
        <f>IF(ISNUMBER($B$18),IF(AND($C$18=4,AH99&lt;=-COS(PI()*$B$18)),AI99,NA()),NA())</f>
        <v>#N/A</v>
      </c>
      <c r="AN99" s="138" t="e">
        <f>IF(ISNUMBER($B$18),IF(AND($C$18=5,AH99&lt;=-COS(PI()*$B$18)),AI99,NA()),NA())</f>
        <v>#N/A</v>
      </c>
      <c r="AO99" s="138" t="e">
        <f>IF(ISNUMBER($B$18),IF(AND(ISNUMBER($B$18),AH99&gt;=MIN(0,$AH$2),AH99&lt;=MAX(0,$AH$2)),IF($AH$2=0,0,AH99/$AH$2*$AI$2),NA()),NA())</f>
        <v>#N/A</v>
      </c>
    </row>
    <row r="100" spans="1:53">
      <c r="A100" s="148"/>
      <c r="B100" s="152"/>
      <c r="C100" s="152"/>
      <c r="D100" s="152"/>
      <c r="E100" s="152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>
        <v>0.9</v>
      </c>
      <c r="S100" s="138">
        <f>SQRT(MAX(0,1-R100^2))</f>
        <v>0.43588989435406728</v>
      </c>
      <c r="T100" s="138" t="e">
        <f>IF(ISNUMBER($B$16),IF(AND($C$16=1,R100&lt;=-COS(PI()*$B$16)),S100,NA()),NA())</f>
        <v>#N/A</v>
      </c>
      <c r="U100" s="138" t="e">
        <f>IF(ISNUMBER($B$16),IF(AND($C$16=2,R100&lt;=-COS(PI()*$B$16)),S100,NA()),NA())</f>
        <v>#N/A</v>
      </c>
      <c r="V100" s="138" t="e">
        <f>IF(ISNUMBER($B$16),IF(AND($C$16=3,R100&lt;=-COS(PI()*$B$16)),S100,NA()),NA())</f>
        <v>#N/A</v>
      </c>
      <c r="W100" s="138" t="e">
        <f>IF(ISNUMBER($B$16),IF(AND($C$16=4,R100&lt;=-COS(PI()*$B$16)),S100,NA()),NA())</f>
        <v>#N/A</v>
      </c>
      <c r="X100" s="138" t="e">
        <f>IF(ISNUMBER($B$16),IF(AND($C$16=5,R100&lt;=-COS(PI()*$B$16)),S100,NA()),NA())</f>
        <v>#N/A</v>
      </c>
      <c r="Y100" s="138" t="e">
        <f>IF(ISNUMBER($B$16),IF(AND(ISNUMBER($B$16),R100&gt;=MIN(0,$R$2),R100&lt;=MAX(0,$R$2)),IF($R$2=0,0,R100/$R$2*$S$2),NA()),NA())</f>
        <v>#N/A</v>
      </c>
      <c r="Z100" s="138">
        <v>0.9</v>
      </c>
      <c r="AA100" s="138">
        <f>SQRT(MAX(0,1-Z100^2))</f>
        <v>0.43588989435406728</v>
      </c>
      <c r="AB100" s="138" t="e">
        <f>IF(ISNUMBER($B$17),IF(AND($C$17=1,Z100&lt;=-COS(PI()*$B$17)),AA100,NA()),NA())</f>
        <v>#N/A</v>
      </c>
      <c r="AC100" s="138" t="e">
        <f>IF(ISNUMBER($B$17),IF(AND($C$17=2,Z100&lt;=-COS(PI()*$B$17)),AA100,NA()),NA())</f>
        <v>#N/A</v>
      </c>
      <c r="AD100" s="138" t="e">
        <f>IF(ISNUMBER($B$17),IF(AND($C$17=3,Z100&lt;=-COS(PI()*$B$17)),AA100,NA()),NA())</f>
        <v>#N/A</v>
      </c>
      <c r="AE100" s="138" t="e">
        <f>IF(ISNUMBER($B$17),IF(AND($C$17=4,Z100&lt;=-COS(PI()*$B$17)),AA100,NA()),NA())</f>
        <v>#N/A</v>
      </c>
      <c r="AF100" s="138" t="e">
        <f>IF(ISNUMBER($B$17),IF(AND($C$17=5,Z100&lt;=-COS(PI()*$B$17)),AA100,NA()),NA())</f>
        <v>#N/A</v>
      </c>
      <c r="AG100" s="138" t="e">
        <f>IF(ISNUMBER($B$17),IF(AND(ISNUMBER($B$17),Z100&gt;=MIN(0,$Z$2),Z100&lt;=MAX(0,$Z$2)),IF($Z$2=0,0,Z100/$Z$2*$AA$2),NA()),NA())</f>
        <v>#N/A</v>
      </c>
      <c r="AH100" s="138">
        <v>0.9</v>
      </c>
      <c r="AI100" s="138">
        <f>SQRT(MAX(0,1-AH100^2))</f>
        <v>0.43588989435406728</v>
      </c>
      <c r="AJ100" s="138" t="e">
        <f>IF(ISNUMBER($B$18),IF(AND($C$18=1,AH100&lt;=-COS(PI()*$B$18)),AI100,NA()),NA())</f>
        <v>#N/A</v>
      </c>
      <c r="AK100" s="138" t="e">
        <f>IF(ISNUMBER($B$18),IF(AND($C$18=2,AH100&lt;=-COS(PI()*$B$18)),AI100,NA()),NA())</f>
        <v>#N/A</v>
      </c>
      <c r="AL100" s="138" t="e">
        <f>IF(ISNUMBER($B$18),IF(AND($C$18=3,AH100&lt;=-COS(PI()*$B$18)),AI100,NA()),NA())</f>
        <v>#N/A</v>
      </c>
      <c r="AM100" s="138" t="e">
        <f>IF(ISNUMBER($B$18),IF(AND($C$18=4,AH100&lt;=-COS(PI()*$B$18)),AI100,NA()),NA())</f>
        <v>#N/A</v>
      </c>
      <c r="AN100" s="138" t="e">
        <f>IF(ISNUMBER($B$18),IF(AND($C$18=5,AH100&lt;=-COS(PI()*$B$18)),AI100,NA()),NA())</f>
        <v>#N/A</v>
      </c>
      <c r="AO100" s="138" t="e">
        <f>IF(ISNUMBER($B$18),IF(AND(ISNUMBER($B$18),AH100&gt;=MIN(0,$AH$2),AH100&lt;=MAX(0,$AH$2)),IF($AH$2=0,0,AH100/$AH$2*$AI$2),NA()),NA())</f>
        <v>#N/A</v>
      </c>
    </row>
    <row r="101" spans="1:53">
      <c r="A101" s="148"/>
      <c r="B101" s="152"/>
      <c r="C101" s="152"/>
      <c r="D101" s="152"/>
      <c r="E101" s="152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>
        <v>0.92</v>
      </c>
      <c r="S101" s="138">
        <f>SQRT(MAX(0,1-R101^2))</f>
        <v>0.39191835884530846</v>
      </c>
      <c r="T101" s="138" t="e">
        <f>IF(ISNUMBER($B$16),IF(AND($C$16=1,R101&lt;=-COS(PI()*$B$16)),S101,NA()),NA())</f>
        <v>#N/A</v>
      </c>
      <c r="U101" s="138" t="e">
        <f>IF(ISNUMBER($B$16),IF(AND($C$16=2,R101&lt;=-COS(PI()*$B$16)),S101,NA()),NA())</f>
        <v>#N/A</v>
      </c>
      <c r="V101" s="138" t="e">
        <f>IF(ISNUMBER($B$16),IF(AND($C$16=3,R101&lt;=-COS(PI()*$B$16)),S101,NA()),NA())</f>
        <v>#N/A</v>
      </c>
      <c r="W101" s="138" t="e">
        <f>IF(ISNUMBER($B$16),IF(AND($C$16=4,R101&lt;=-COS(PI()*$B$16)),S101,NA()),NA())</f>
        <v>#N/A</v>
      </c>
      <c r="X101" s="138" t="e">
        <f>IF(ISNUMBER($B$16),IF(AND($C$16=5,R101&lt;=-COS(PI()*$B$16)),S101,NA()),NA())</f>
        <v>#N/A</v>
      </c>
      <c r="Y101" s="138" t="e">
        <f>IF(ISNUMBER($B$16),IF(AND(ISNUMBER($B$16),R101&gt;=MIN(0,$R$2),R101&lt;=MAX(0,$R$2)),IF($R$2=0,0,R101/$R$2*$S$2),NA()),NA())</f>
        <v>#N/A</v>
      </c>
      <c r="Z101" s="138">
        <v>0.92</v>
      </c>
      <c r="AA101" s="138">
        <f>SQRT(MAX(0,1-Z101^2))</f>
        <v>0.39191835884530846</v>
      </c>
      <c r="AB101" s="138" t="e">
        <f>IF(ISNUMBER($B$17),IF(AND($C$17=1,Z101&lt;=-COS(PI()*$B$17)),AA101,NA()),NA())</f>
        <v>#N/A</v>
      </c>
      <c r="AC101" s="138" t="e">
        <f>IF(ISNUMBER($B$17),IF(AND($C$17=2,Z101&lt;=-COS(PI()*$B$17)),AA101,NA()),NA())</f>
        <v>#N/A</v>
      </c>
      <c r="AD101" s="138" t="e">
        <f>IF(ISNUMBER($B$17),IF(AND($C$17=3,Z101&lt;=-COS(PI()*$B$17)),AA101,NA()),NA())</f>
        <v>#N/A</v>
      </c>
      <c r="AE101" s="138" t="e">
        <f>IF(ISNUMBER($B$17),IF(AND($C$17=4,Z101&lt;=-COS(PI()*$B$17)),AA101,NA()),NA())</f>
        <v>#N/A</v>
      </c>
      <c r="AF101" s="138" t="e">
        <f>IF(ISNUMBER($B$17),IF(AND($C$17=5,Z101&lt;=-COS(PI()*$B$17)),AA101,NA()),NA())</f>
        <v>#N/A</v>
      </c>
      <c r="AG101" s="138" t="e">
        <f>IF(ISNUMBER($B$17),IF(AND(ISNUMBER($B$17),Z101&gt;=MIN(0,$Z$2),Z101&lt;=MAX(0,$Z$2)),IF($Z$2=0,0,Z101/$Z$2*$AA$2),NA()),NA())</f>
        <v>#N/A</v>
      </c>
      <c r="AH101" s="138">
        <v>0.92</v>
      </c>
      <c r="AI101" s="138">
        <f>SQRT(MAX(0,1-AH101^2))</f>
        <v>0.39191835884530846</v>
      </c>
      <c r="AJ101" s="138" t="e">
        <f>IF(ISNUMBER($B$18),IF(AND($C$18=1,AH101&lt;=-COS(PI()*$B$18)),AI101,NA()),NA())</f>
        <v>#N/A</v>
      </c>
      <c r="AK101" s="138" t="e">
        <f>IF(ISNUMBER($B$18),IF(AND($C$18=2,AH101&lt;=-COS(PI()*$B$18)),AI101,NA()),NA())</f>
        <v>#N/A</v>
      </c>
      <c r="AL101" s="138" t="e">
        <f>IF(ISNUMBER($B$18),IF(AND($C$18=3,AH101&lt;=-COS(PI()*$B$18)),AI101,NA()),NA())</f>
        <v>#N/A</v>
      </c>
      <c r="AM101" s="138" t="e">
        <f>IF(ISNUMBER($B$18),IF(AND($C$18=4,AH101&lt;=-COS(PI()*$B$18)),AI101,NA()),NA())</f>
        <v>#N/A</v>
      </c>
      <c r="AN101" s="138" t="e">
        <f>IF(ISNUMBER($B$18),IF(AND($C$18=5,AH101&lt;=-COS(PI()*$B$18)),AI101,NA()),NA())</f>
        <v>#N/A</v>
      </c>
      <c r="AO101" s="138" t="e">
        <f>IF(ISNUMBER($B$18),IF(AND(ISNUMBER($B$18),AH101&gt;=MIN(0,$AH$2),AH101&lt;=MAX(0,$AH$2)),IF($AH$2=0,0,AH101/$AH$2*$AI$2),NA()),NA())</f>
        <v>#N/A</v>
      </c>
    </row>
    <row r="102" spans="1:53">
      <c r="A102" s="148"/>
      <c r="B102" s="152"/>
      <c r="C102" s="152"/>
      <c r="D102" s="152"/>
      <c r="E102" s="152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>
        <v>0.94</v>
      </c>
      <c r="S102" s="138">
        <f>SQRT(MAX(0,1-R102^2))</f>
        <v>0.34117444218463971</v>
      </c>
      <c r="T102" s="138" t="e">
        <f>IF(ISNUMBER($B$16),IF(AND($C$16=1,R102&lt;=-COS(PI()*$B$16)),S102,NA()),NA())</f>
        <v>#N/A</v>
      </c>
      <c r="U102" s="138" t="e">
        <f>IF(ISNUMBER($B$16),IF(AND($C$16=2,R102&lt;=-COS(PI()*$B$16)),S102,NA()),NA())</f>
        <v>#N/A</v>
      </c>
      <c r="V102" s="138" t="e">
        <f>IF(ISNUMBER($B$16),IF(AND($C$16=3,R102&lt;=-COS(PI()*$B$16)),S102,NA()),NA())</f>
        <v>#N/A</v>
      </c>
      <c r="W102" s="138" t="e">
        <f>IF(ISNUMBER($B$16),IF(AND($C$16=4,R102&lt;=-COS(PI()*$B$16)),S102,NA()),NA())</f>
        <v>#N/A</v>
      </c>
      <c r="X102" s="138" t="e">
        <f>IF(ISNUMBER($B$16),IF(AND($C$16=5,R102&lt;=-COS(PI()*$B$16)),S102,NA()),NA())</f>
        <v>#N/A</v>
      </c>
      <c r="Y102" s="138" t="e">
        <f>IF(ISNUMBER($B$16),IF(AND(ISNUMBER($B$16),R102&gt;=MIN(0,$R$2),R102&lt;=MAX(0,$R$2)),IF($R$2=0,0,R102/$R$2*$S$2),NA()),NA())</f>
        <v>#N/A</v>
      </c>
      <c r="Z102" s="138">
        <v>0.94</v>
      </c>
      <c r="AA102" s="138">
        <f>SQRT(MAX(0,1-Z102^2))</f>
        <v>0.34117444218463971</v>
      </c>
      <c r="AB102" s="138" t="e">
        <f>IF(ISNUMBER($B$17),IF(AND($C$17=1,Z102&lt;=-COS(PI()*$B$17)),AA102,NA()),NA())</f>
        <v>#N/A</v>
      </c>
      <c r="AC102" s="138" t="e">
        <f>IF(ISNUMBER($B$17),IF(AND($C$17=2,Z102&lt;=-COS(PI()*$B$17)),AA102,NA()),NA())</f>
        <v>#N/A</v>
      </c>
      <c r="AD102" s="138" t="e">
        <f>IF(ISNUMBER($B$17),IF(AND($C$17=3,Z102&lt;=-COS(PI()*$B$17)),AA102,NA()),NA())</f>
        <v>#N/A</v>
      </c>
      <c r="AE102" s="138" t="e">
        <f>IF(ISNUMBER($B$17),IF(AND($C$17=4,Z102&lt;=-COS(PI()*$B$17)),AA102,NA()),NA())</f>
        <v>#N/A</v>
      </c>
      <c r="AF102" s="138" t="e">
        <f>IF(ISNUMBER($B$17),IF(AND($C$17=5,Z102&lt;=-COS(PI()*$B$17)),AA102,NA()),NA())</f>
        <v>#N/A</v>
      </c>
      <c r="AG102" s="138" t="e">
        <f>IF(ISNUMBER($B$17),IF(AND(ISNUMBER($B$17),Z102&gt;=MIN(0,$Z$2),Z102&lt;=MAX(0,$Z$2)),IF($Z$2=0,0,Z102/$Z$2*$AA$2),NA()),NA())</f>
        <v>#N/A</v>
      </c>
      <c r="AH102" s="138">
        <v>0.94</v>
      </c>
      <c r="AI102" s="138">
        <f>SQRT(MAX(0,1-AH102^2))</f>
        <v>0.34117444218463971</v>
      </c>
      <c r="AJ102" s="138" t="e">
        <f>IF(ISNUMBER($B$18),IF(AND($C$18=1,AH102&lt;=-COS(PI()*$B$18)),AI102,NA()),NA())</f>
        <v>#N/A</v>
      </c>
      <c r="AK102" s="138" t="e">
        <f>IF(ISNUMBER($B$18),IF(AND($C$18=2,AH102&lt;=-COS(PI()*$B$18)),AI102,NA()),NA())</f>
        <v>#N/A</v>
      </c>
      <c r="AL102" s="138" t="e">
        <f>IF(ISNUMBER($B$18),IF(AND($C$18=3,AH102&lt;=-COS(PI()*$B$18)),AI102,NA()),NA())</f>
        <v>#N/A</v>
      </c>
      <c r="AM102" s="138" t="e">
        <f>IF(ISNUMBER($B$18),IF(AND($C$18=4,AH102&lt;=-COS(PI()*$B$18)),AI102,NA()),NA())</f>
        <v>#N/A</v>
      </c>
      <c r="AN102" s="138" t="e">
        <f>IF(ISNUMBER($B$18),IF(AND($C$18=5,AH102&lt;=-COS(PI()*$B$18)),AI102,NA()),NA())</f>
        <v>#N/A</v>
      </c>
      <c r="AO102" s="138" t="e">
        <f>IF(ISNUMBER($B$18),IF(AND(ISNUMBER($B$18),AH102&gt;=MIN(0,$AH$2),AH102&lt;=MAX(0,$AH$2)),IF($AH$2=0,0,AH102/$AH$2*$AI$2),NA()),NA())</f>
        <v>#N/A</v>
      </c>
    </row>
    <row r="103" spans="1:53">
      <c r="A103" s="148"/>
      <c r="B103" s="152"/>
      <c r="C103" s="152"/>
      <c r="D103" s="152"/>
      <c r="E103" s="152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>
        <v>0.96</v>
      </c>
      <c r="S103" s="138">
        <f>SQRT(MAX(0,1-R103^2))</f>
        <v>0.28000000000000003</v>
      </c>
      <c r="T103" s="138" t="e">
        <f>IF(ISNUMBER($B$16),IF(AND($C$16=1,R103&lt;=-COS(PI()*$B$16)),S103,NA()),NA())</f>
        <v>#N/A</v>
      </c>
      <c r="U103" s="138" t="e">
        <f>IF(ISNUMBER($B$16),IF(AND($C$16=2,R103&lt;=-COS(PI()*$B$16)),S103,NA()),NA())</f>
        <v>#N/A</v>
      </c>
      <c r="V103" s="138" t="e">
        <f>IF(ISNUMBER($B$16),IF(AND($C$16=3,R103&lt;=-COS(PI()*$B$16)),S103,NA()),NA())</f>
        <v>#N/A</v>
      </c>
      <c r="W103" s="138" t="e">
        <f>IF(ISNUMBER($B$16),IF(AND($C$16=4,R103&lt;=-COS(PI()*$B$16)),S103,NA()),NA())</f>
        <v>#N/A</v>
      </c>
      <c r="X103" s="138" t="e">
        <f>IF(ISNUMBER($B$16),IF(AND($C$16=5,R103&lt;=-COS(PI()*$B$16)),S103,NA()),NA())</f>
        <v>#N/A</v>
      </c>
      <c r="Y103" s="138" t="e">
        <f>IF(ISNUMBER($B$16),IF(AND(ISNUMBER($B$16),R103&gt;=MIN(0,$R$2),R103&lt;=MAX(0,$R$2)),IF($R$2=0,0,R103/$R$2*$S$2),NA()),NA())</f>
        <v>#N/A</v>
      </c>
      <c r="Z103" s="138">
        <v>0.96</v>
      </c>
      <c r="AA103" s="138">
        <f>SQRT(MAX(0,1-Z103^2))</f>
        <v>0.28000000000000003</v>
      </c>
      <c r="AB103" s="138" t="e">
        <f>IF(ISNUMBER($B$17),IF(AND($C$17=1,Z103&lt;=-COS(PI()*$B$17)),AA103,NA()),NA())</f>
        <v>#N/A</v>
      </c>
      <c r="AC103" s="138" t="e">
        <f>IF(ISNUMBER($B$17),IF(AND($C$17=2,Z103&lt;=-COS(PI()*$B$17)),AA103,NA()),NA())</f>
        <v>#N/A</v>
      </c>
      <c r="AD103" s="138" t="e">
        <f>IF(ISNUMBER($B$17),IF(AND($C$17=3,Z103&lt;=-COS(PI()*$B$17)),AA103,NA()),NA())</f>
        <v>#N/A</v>
      </c>
      <c r="AE103" s="138" t="e">
        <f>IF(ISNUMBER($B$17),IF(AND($C$17=4,Z103&lt;=-COS(PI()*$B$17)),AA103,NA()),NA())</f>
        <v>#N/A</v>
      </c>
      <c r="AF103" s="138" t="e">
        <f>IF(ISNUMBER($B$17),IF(AND($C$17=5,Z103&lt;=-COS(PI()*$B$17)),AA103,NA()),NA())</f>
        <v>#N/A</v>
      </c>
      <c r="AG103" s="138" t="e">
        <f>IF(ISNUMBER($B$17),IF(AND(ISNUMBER($B$17),Z103&gt;=MIN(0,$Z$2),Z103&lt;=MAX(0,$Z$2)),IF($Z$2=0,0,Z103/$Z$2*$AA$2),NA()),NA())</f>
        <v>#N/A</v>
      </c>
      <c r="AH103" s="138">
        <v>0.96</v>
      </c>
      <c r="AI103" s="138">
        <f>SQRT(MAX(0,1-AH103^2))</f>
        <v>0.28000000000000003</v>
      </c>
      <c r="AJ103" s="138" t="e">
        <f>IF(ISNUMBER($B$18),IF(AND($C$18=1,AH103&lt;=-COS(PI()*$B$18)),AI103,NA()),NA())</f>
        <v>#N/A</v>
      </c>
      <c r="AK103" s="138" t="e">
        <f>IF(ISNUMBER($B$18),IF(AND($C$18=2,AH103&lt;=-COS(PI()*$B$18)),AI103,NA()),NA())</f>
        <v>#N/A</v>
      </c>
      <c r="AL103" s="138" t="e">
        <f>IF(ISNUMBER($B$18),IF(AND($C$18=3,AH103&lt;=-COS(PI()*$B$18)),AI103,NA()),NA())</f>
        <v>#N/A</v>
      </c>
      <c r="AM103" s="138" t="e">
        <f>IF(ISNUMBER($B$18),IF(AND($C$18=4,AH103&lt;=-COS(PI()*$B$18)),AI103,NA()),NA())</f>
        <v>#N/A</v>
      </c>
      <c r="AN103" s="138" t="e">
        <f>IF(ISNUMBER($B$18),IF(AND($C$18=5,AH103&lt;=-COS(PI()*$B$18)),AI103,NA()),NA())</f>
        <v>#N/A</v>
      </c>
      <c r="AO103" s="138" t="e">
        <f>IF(ISNUMBER($B$18),IF(AND(ISNUMBER($B$18),AH103&gt;=MIN(0,$AH$2),AH103&lt;=MAX(0,$AH$2)),IF($AH$2=0,0,AH103/$AH$2*$AI$2),NA()),NA())</f>
        <v>#N/A</v>
      </c>
    </row>
    <row r="104" spans="1:53">
      <c r="A104" s="148"/>
      <c r="B104" s="152"/>
      <c r="C104" s="152"/>
      <c r="D104" s="152"/>
      <c r="E104" s="152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>
        <v>0.98</v>
      </c>
      <c r="S104" s="138">
        <f>SQRT(MAX(0,1-R104^2))</f>
        <v>0.1989974874213242</v>
      </c>
      <c r="T104" s="138" t="e">
        <f>IF(ISNUMBER($B$16),IF(AND($C$16=1,R104&lt;=-COS(PI()*$B$16)),S104,NA()),NA())</f>
        <v>#N/A</v>
      </c>
      <c r="U104" s="138" t="e">
        <f>IF(ISNUMBER($B$16),IF(AND($C$16=2,R104&lt;=-COS(PI()*$B$16)),S104,NA()),NA())</f>
        <v>#N/A</v>
      </c>
      <c r="V104" s="138" t="e">
        <f>IF(ISNUMBER($B$16),IF(AND($C$16=3,R104&lt;=-COS(PI()*$B$16)),S104,NA()),NA())</f>
        <v>#N/A</v>
      </c>
      <c r="W104" s="138" t="e">
        <f>IF(ISNUMBER($B$16),IF(AND($C$16=4,R104&lt;=-COS(PI()*$B$16)),S104,NA()),NA())</f>
        <v>#N/A</v>
      </c>
      <c r="X104" s="138" t="e">
        <f>IF(ISNUMBER($B$16),IF(AND($C$16=5,R104&lt;=-COS(PI()*$B$16)),S104,NA()),NA())</f>
        <v>#N/A</v>
      </c>
      <c r="Y104" s="138" t="e">
        <f>IF(ISNUMBER($B$16),IF(AND(ISNUMBER($B$16),R104&gt;=MIN(0,$R$2),R104&lt;=MAX(0,$R$2)),IF($R$2=0,0,R104/$R$2*$S$2),NA()),NA())</f>
        <v>#N/A</v>
      </c>
      <c r="Z104" s="138">
        <v>0.98</v>
      </c>
      <c r="AA104" s="138">
        <f>SQRT(MAX(0,1-Z104^2))</f>
        <v>0.1989974874213242</v>
      </c>
      <c r="AB104" s="138" t="e">
        <f>IF(ISNUMBER($B$17),IF(AND($C$17=1,Z104&lt;=-COS(PI()*$B$17)),AA104,NA()),NA())</f>
        <v>#N/A</v>
      </c>
      <c r="AC104" s="138" t="e">
        <f>IF(ISNUMBER($B$17),IF(AND($C$17=2,Z104&lt;=-COS(PI()*$B$17)),AA104,NA()),NA())</f>
        <v>#N/A</v>
      </c>
      <c r="AD104" s="138" t="e">
        <f>IF(ISNUMBER($B$17),IF(AND($C$17=3,Z104&lt;=-COS(PI()*$B$17)),AA104,NA()),NA())</f>
        <v>#N/A</v>
      </c>
      <c r="AE104" s="138" t="e">
        <f>IF(ISNUMBER($B$17),IF(AND($C$17=4,Z104&lt;=-COS(PI()*$B$17)),AA104,NA()),NA())</f>
        <v>#N/A</v>
      </c>
      <c r="AF104" s="138" t="e">
        <f>IF(ISNUMBER($B$17),IF(AND($C$17=5,Z104&lt;=-COS(PI()*$B$17)),AA104,NA()),NA())</f>
        <v>#N/A</v>
      </c>
      <c r="AG104" s="138" t="e">
        <f>IF(ISNUMBER($B$17),IF(AND(ISNUMBER($B$17),Z104&gt;=MIN(0,$Z$2),Z104&lt;=MAX(0,$Z$2)),IF($Z$2=0,0,Z104/$Z$2*$AA$2),NA()),NA())</f>
        <v>#N/A</v>
      </c>
      <c r="AH104" s="138">
        <v>0.98</v>
      </c>
      <c r="AI104" s="138">
        <f>SQRT(MAX(0,1-AH104^2))</f>
        <v>0.1989974874213242</v>
      </c>
      <c r="AJ104" s="138" t="e">
        <f>IF(ISNUMBER($B$18),IF(AND($C$18=1,AH104&lt;=-COS(PI()*$B$18)),AI104,NA()),NA())</f>
        <v>#N/A</v>
      </c>
      <c r="AK104" s="138" t="e">
        <f>IF(ISNUMBER($B$18),IF(AND($C$18=2,AH104&lt;=-COS(PI()*$B$18)),AI104,NA()),NA())</f>
        <v>#N/A</v>
      </c>
      <c r="AL104" s="138" t="e">
        <f>IF(ISNUMBER($B$18),IF(AND($C$18=3,AH104&lt;=-COS(PI()*$B$18)),AI104,NA()),NA())</f>
        <v>#N/A</v>
      </c>
      <c r="AM104" s="138" t="e">
        <f>IF(ISNUMBER($B$18),IF(AND($C$18=4,AH104&lt;=-COS(PI()*$B$18)),AI104,NA()),NA())</f>
        <v>#N/A</v>
      </c>
      <c r="AN104" s="138" t="e">
        <f>IF(ISNUMBER($B$18),IF(AND($C$18=5,AH104&lt;=-COS(PI()*$B$18)),AI104,NA()),NA())</f>
        <v>#N/A</v>
      </c>
      <c r="AO104" s="138" t="e">
        <f>IF(ISNUMBER($B$18),IF(AND(ISNUMBER($B$18),AH104&gt;=MIN(0,$AH$2),AH104&lt;=MAX(0,$AH$2)),IF($AH$2=0,0,AH104/$AH$2*$AI$2),NA()),NA())</f>
        <v>#N/A</v>
      </c>
    </row>
    <row r="105" spans="1:53">
      <c r="A105" s="148"/>
      <c r="B105" s="152"/>
      <c r="C105" s="152"/>
      <c r="D105" s="152"/>
      <c r="E105" s="152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>
        <v>1</v>
      </c>
      <c r="S105" s="138">
        <f>SQRT(MAX(0,1-R105^2))</f>
        <v>0</v>
      </c>
      <c r="T105" s="138" t="e">
        <f>IF(ISNUMBER($B$16),IF(AND($C$16=1,R105&lt;=-COS(PI()*$B$16)),S105,NA()),NA())</f>
        <v>#N/A</v>
      </c>
      <c r="U105" s="138" t="e">
        <f>IF(ISNUMBER($B$16),IF(AND($C$16=2,R105&lt;=-COS(PI()*$B$16)),S105,NA()),NA())</f>
        <v>#N/A</v>
      </c>
      <c r="V105" s="138" t="e">
        <f>IF(ISNUMBER($B$16),IF(AND($C$16=3,R105&lt;=-COS(PI()*$B$16)),S105,NA()),NA())</f>
        <v>#N/A</v>
      </c>
      <c r="W105" s="138" t="e">
        <f>IF(ISNUMBER($B$16),IF(AND($C$16=4,R105&lt;=-COS(PI()*$B$16)),S105,NA()),NA())</f>
        <v>#N/A</v>
      </c>
      <c r="X105" s="138" t="e">
        <f>IF(ISNUMBER($B$16),IF(AND($C$16=5,R105&lt;=-COS(PI()*$B$16)),S105,NA()),NA())</f>
        <v>#N/A</v>
      </c>
      <c r="Y105" s="138" t="e">
        <f>IF(ISNUMBER($B$16),IF(AND(ISNUMBER($B$16),R105&gt;=MIN(0,$R$2),R105&lt;=MAX(0,$R$2)),IF($R$2=0,0,R105/$R$2*$S$2),NA()),NA())</f>
        <v>#N/A</v>
      </c>
      <c r="Z105" s="138">
        <v>1</v>
      </c>
      <c r="AA105" s="138">
        <f>SQRT(MAX(0,1-Z105^2))</f>
        <v>0</v>
      </c>
      <c r="AB105" s="138" t="e">
        <f>IF(ISNUMBER($B$17),IF(AND($C$17=1,Z105&lt;=-COS(PI()*$B$17)),AA105,NA()),NA())</f>
        <v>#N/A</v>
      </c>
      <c r="AC105" s="138" t="e">
        <f>IF(ISNUMBER($B$17),IF(AND($C$17=2,Z105&lt;=-COS(PI()*$B$17)),AA105,NA()),NA())</f>
        <v>#N/A</v>
      </c>
      <c r="AD105" s="138" t="e">
        <f>IF(ISNUMBER($B$17),IF(AND($C$17=3,Z105&lt;=-COS(PI()*$B$17)),AA105,NA()),NA())</f>
        <v>#N/A</v>
      </c>
      <c r="AE105" s="138" t="e">
        <f>IF(ISNUMBER($B$17),IF(AND($C$17=4,Z105&lt;=-COS(PI()*$B$17)),AA105,NA()),NA())</f>
        <v>#N/A</v>
      </c>
      <c r="AF105" s="138" t="e">
        <f>IF(ISNUMBER($B$17),IF(AND($C$17=5,Z105&lt;=-COS(PI()*$B$17)),AA105,NA()),NA())</f>
        <v>#N/A</v>
      </c>
      <c r="AG105" s="138" t="e">
        <f>IF(ISNUMBER($B$17),IF(AND(ISNUMBER($B$17),Z105&gt;=MIN(0,$Z$2),Z105&lt;=MAX(0,$Z$2)),IF($Z$2=0,0,Z105/$Z$2*$AA$2),NA()),NA())</f>
        <v>#N/A</v>
      </c>
      <c r="AH105" s="138">
        <v>1</v>
      </c>
      <c r="AI105" s="138">
        <f>SQRT(MAX(0,1-AH105^2))</f>
        <v>0</v>
      </c>
      <c r="AJ105" s="138" t="e">
        <f>IF(ISNUMBER($B$18),IF(AND($C$18=1,AH105&lt;=-COS(PI()*$B$18)),AI105,NA()),NA())</f>
        <v>#N/A</v>
      </c>
      <c r="AK105" s="138" t="e">
        <f>IF(ISNUMBER($B$18),IF(AND($C$18=2,AH105&lt;=-COS(PI()*$B$18)),AI105,NA()),NA())</f>
        <v>#N/A</v>
      </c>
      <c r="AL105" s="138" t="e">
        <f>IF(ISNUMBER($B$18),IF(AND($C$18=3,AH105&lt;=-COS(PI()*$B$18)),AI105,NA()),NA())</f>
        <v>#N/A</v>
      </c>
      <c r="AM105" s="138" t="e">
        <f>IF(ISNUMBER($B$18),IF(AND($C$18=4,AH105&lt;=-COS(PI()*$B$18)),AI105,NA()),NA())</f>
        <v>#N/A</v>
      </c>
      <c r="AN105" s="138" t="e">
        <f>IF(ISNUMBER($B$18),IF(AND($C$18=5,AH105&lt;=-COS(PI()*$B$18)),AI105,NA()),NA())</f>
        <v>#N/A</v>
      </c>
      <c r="AO105" s="138" t="e">
        <f>IF(ISNUMBER($B$18),IF(AND(ISNUMBER($B$18),AH105&gt;=MIN(0,$AH$2),AH105&lt;=MAX(0,$AH$2)),IF($AH$2=0,0,AH105/$AH$2*$AI$2),NA()),NA())</f>
        <v>#N/A</v>
      </c>
    </row>
    <row r="106" spans="1:53">
      <c r="A106" s="148"/>
      <c r="B106" s="152"/>
      <c r="C106" s="152"/>
      <c r="D106" s="152"/>
      <c r="E106" s="152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  <c r="AB106" s="138"/>
      <c r="AC106" s="138"/>
      <c r="AD106" s="138"/>
      <c r="AE106" s="138"/>
      <c r="AF106" s="138"/>
      <c r="AG106" s="138"/>
      <c r="AH106" s="138"/>
      <c r="AI106" s="138"/>
      <c r="AJ106" s="138"/>
      <c r="AK106" s="138"/>
      <c r="AL106" s="138"/>
      <c r="AM106" s="138"/>
      <c r="AN106" s="138"/>
      <c r="AO106" s="138"/>
    </row>
    <row r="107" spans="1:53">
      <c r="A107" s="148"/>
      <c r="B107" s="152"/>
      <c r="C107" s="152"/>
      <c r="D107" s="152"/>
      <c r="E107" s="152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  <c r="AB107" s="138"/>
      <c r="AC107" s="138"/>
      <c r="AD107" s="138"/>
      <c r="AE107" s="138"/>
      <c r="AF107" s="138"/>
      <c r="AG107" s="138"/>
      <c r="AH107" s="138"/>
      <c r="AI107" s="138"/>
      <c r="AJ107" s="138"/>
      <c r="AK107" s="138"/>
      <c r="AL107" s="138"/>
      <c r="AM107" s="138"/>
      <c r="AN107" s="138"/>
      <c r="AO107" s="138"/>
    </row>
    <row r="108" spans="1:53">
      <c r="A108" s="148"/>
      <c r="B108" s="152"/>
      <c r="C108" s="152"/>
      <c r="D108" s="152"/>
      <c r="E108" s="152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  <c r="AB108" s="138"/>
      <c r="AC108" s="138"/>
      <c r="AD108" s="138"/>
      <c r="AE108" s="138"/>
      <c r="AF108" s="138"/>
      <c r="AG108" s="138"/>
      <c r="AH108" s="138"/>
      <c r="AI108" s="138"/>
      <c r="AJ108" s="138"/>
      <c r="AK108" s="138"/>
      <c r="AL108" s="138"/>
      <c r="AM108" s="138"/>
      <c r="AN108" s="138"/>
      <c r="AO108" s="138"/>
    </row>
    <row r="109" spans="1:53">
      <c r="A109" s="148"/>
      <c r="B109" s="152"/>
      <c r="C109" s="152"/>
      <c r="D109" s="152"/>
      <c r="E109" s="152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  <c r="AB109" s="138"/>
      <c r="AC109" s="138"/>
      <c r="AD109" s="138"/>
      <c r="AE109" s="138"/>
      <c r="AF109" s="138"/>
      <c r="AG109" s="138"/>
      <c r="AH109" s="138"/>
      <c r="AI109" s="138"/>
      <c r="AJ109" s="138"/>
      <c r="AK109" s="138"/>
      <c r="AL109" s="138"/>
      <c r="AM109" s="138"/>
      <c r="AN109" s="138"/>
      <c r="AO109" s="138"/>
    </row>
    <row r="110" spans="1:53">
      <c r="A110" s="148"/>
      <c r="B110" s="152"/>
      <c r="C110" s="152"/>
      <c r="D110" s="152"/>
      <c r="E110" s="152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  <c r="AB110" s="138"/>
      <c r="AC110" s="138"/>
      <c r="AD110" s="138"/>
      <c r="AE110" s="138"/>
      <c r="AF110" s="138"/>
      <c r="AG110" s="138"/>
      <c r="AH110" s="138"/>
      <c r="AI110" s="138"/>
      <c r="AJ110" s="138"/>
      <c r="AK110" s="138"/>
      <c r="AL110" s="138"/>
      <c r="AM110" s="138"/>
      <c r="AN110" s="138"/>
      <c r="AO110" s="138"/>
    </row>
    <row r="111" spans="1:53">
      <c r="A111" s="148" t="inlineStr">
        <is>
          <t>Senior Sales Rep 2</t>
        </is>
      </c>
      <c r="B111" s="151">
        <f>IF(SUMIFS('Current AR'!$T$6:$T$103,'Current AR'!$J$6:$J$103,A111)=0,0,SUMIFS('Current AR'!$W$6:$W$103,'Current AR'!$J$6:$J$103,A111)/SUMIFS('Current AR'!$T$6:$T$103,'Current AR'!$J$6:$J$103,A111))</f>
        <v>0</v>
      </c>
      <c r="C111" s="152"/>
      <c r="D111" s="152"/>
      <c r="E111" s="152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  <c r="AB111" s="138"/>
      <c r="AC111" s="138"/>
      <c r="AD111" s="138"/>
      <c r="AE111" s="138"/>
      <c r="AF111" s="138"/>
      <c r="AG111" s="138"/>
      <c r="AH111" s="138"/>
      <c r="AI111" s="138"/>
      <c r="AJ111" s="138"/>
      <c r="AK111" s="138"/>
      <c r="AL111" s="138"/>
      <c r="AM111" s="138"/>
      <c r="AN111" s="138"/>
      <c r="AO111" s="138"/>
      <c r="BA111" t="str">
        <f>IF(B111=0,"",IF(MOD(ROUND(B111,2),1)=0,TEXT(B111,"0"),TEXT(B111,"0.00"))&amp;" days")</f>
        <v/>
      </c>
    </row>
    <row r="112" spans="1:53">
      <c r="A112" s="148" t="inlineStr">
        <is>
          <t>Unassigned</t>
        </is>
      </c>
      <c r="B112" s="151">
        <f>IF(SUMIFS('Current AR'!$T$6:$T$103,'Current AR'!$J$6:$J$103,A112)=0,0,SUMIFS('Current AR'!$W$6:$W$103,'Current AR'!$J$6:$J$103,A112)/SUMIFS('Current AR'!$T$6:$T$103,'Current AR'!$J$6:$J$103,A112))</f>
        <v>0</v>
      </c>
      <c r="C112" s="152"/>
      <c r="D112" s="152"/>
      <c r="E112" s="152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  <c r="AB112" s="138"/>
      <c r="AC112" s="138"/>
      <c r="AD112" s="138"/>
      <c r="AE112" s="138"/>
      <c r="AF112" s="138"/>
      <c r="AG112" s="138"/>
      <c r="AH112" s="138"/>
      <c r="AI112" s="138"/>
      <c r="AJ112" s="138"/>
      <c r="AK112" s="138"/>
      <c r="AL112" s="138"/>
      <c r="AM112" s="138"/>
      <c r="AN112" s="138"/>
      <c r="AO112" s="138"/>
      <c r="BA112" t="str">
        <f>IF(B112=0,"",IF(MOD(ROUND(B112,2),1)=0,TEXT(B112,"0"),TEXT(B112,"0.00"))&amp;" days")</f>
        <v/>
      </c>
    </row>
    <row r="113" spans="1:53">
      <c r="A113" s="148" t="inlineStr">
        <is>
          <t>Senior Sales Rep 1</t>
        </is>
      </c>
      <c r="B113" s="151">
        <f>IF(SUMIFS('Current AR'!$T$6:$T$103,'Current AR'!$J$6:$J$103,A113)=0,0,SUMIFS('Current AR'!$W$6:$W$103,'Current AR'!$J$6:$J$103,A113)/SUMIFS('Current AR'!$T$6:$T$103,'Current AR'!$J$6:$J$103,A113))</f>
        <v>0</v>
      </c>
      <c r="C113" s="152"/>
      <c r="D113" s="152"/>
      <c r="E113" s="152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  <c r="AB113" s="138"/>
      <c r="AC113" s="138"/>
      <c r="AD113" s="138"/>
      <c r="AE113" s="138"/>
      <c r="AF113" s="138"/>
      <c r="AG113" s="138"/>
      <c r="AH113" s="138"/>
      <c r="AI113" s="138"/>
      <c r="AJ113" s="138"/>
      <c r="AK113" s="138"/>
      <c r="AL113" s="138"/>
      <c r="AM113" s="138"/>
      <c r="AN113" s="138"/>
      <c r="AO113" s="138"/>
      <c r="BA113" t="str">
        <f>IF(B113=0,"",IF(MOD(ROUND(B113,2),1)=0,TEXT(B113,"0"),TEXT(B113,"0.00"))&amp;" days")</f>
        <v/>
      </c>
    </row>
    <row r="114" spans="1:53">
      <c r="A114" s="148" t="inlineStr">
        <is>
          <t>Sales Rep 5</t>
        </is>
      </c>
      <c r="B114" s="151">
        <f>IF(SUMIFS('Current AR'!$T$6:$T$103,'Current AR'!$J$6:$J$103,A114)=0,0,SUMIFS('Current AR'!$W$6:$W$103,'Current AR'!$J$6:$J$103,A114)/SUMIFS('Current AR'!$T$6:$T$103,'Current AR'!$J$6:$J$103,A114))</f>
        <v>0</v>
      </c>
      <c r="C114" s="152"/>
      <c r="D114" s="152"/>
      <c r="E114" s="152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  <c r="AB114" s="138"/>
      <c r="AC114" s="138"/>
      <c r="AD114" s="138"/>
      <c r="AE114" s="138"/>
      <c r="AF114" s="138"/>
      <c r="AG114" s="138"/>
      <c r="AH114" s="138"/>
      <c r="AI114" s="138"/>
      <c r="AJ114" s="138"/>
      <c r="AK114" s="138"/>
      <c r="AL114" s="138"/>
      <c r="AM114" s="138"/>
      <c r="AN114" s="138"/>
      <c r="AO114" s="138"/>
      <c r="BA114" t="str">
        <f>IF(B114=0,"",IF(MOD(ROUND(B114,2),1)=0,TEXT(B114,"0"),TEXT(B114,"0.00"))&amp;" days")</f>
        <v/>
      </c>
    </row>
    <row r="115" spans="1:53">
      <c r="A115" s="148" t="inlineStr">
        <is>
          <t>Sales Rep 4</t>
        </is>
      </c>
      <c r="B115" s="151">
        <f>IF(SUMIFS('Current AR'!$T$6:$T$103,'Current AR'!$J$6:$J$103,A115)=0,0,SUMIFS('Current AR'!$W$6:$W$103,'Current AR'!$J$6:$J$103,A115)/SUMIFS('Current AR'!$T$6:$T$103,'Current AR'!$J$6:$J$103,A115))</f>
        <v>0</v>
      </c>
      <c r="C115" s="152"/>
      <c r="D115" s="152"/>
      <c r="E115" s="152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  <c r="AD115" s="138"/>
      <c r="AE115" s="138"/>
      <c r="AF115" s="138"/>
      <c r="AG115" s="138"/>
      <c r="AH115" s="138"/>
      <c r="AI115" s="138"/>
      <c r="AJ115" s="138"/>
      <c r="AK115" s="138"/>
      <c r="AL115" s="138"/>
      <c r="AM115" s="138"/>
      <c r="AN115" s="138"/>
      <c r="AO115" s="138"/>
      <c r="BA115" t="str">
        <f>IF(B115=0,"",IF(MOD(ROUND(B115,2),1)=0,TEXT(B115,"0"),TEXT(B115,"0.00"))&amp;" days")</f>
        <v/>
      </c>
    </row>
    <row r="116" spans="1:53">
      <c r="A116" s="148" t="inlineStr">
        <is>
          <t>Sales Rep 6</t>
        </is>
      </c>
      <c r="B116" s="151">
        <f>IF(SUMIFS('Current AR'!$T$6:$T$103,'Current AR'!$J$6:$J$103,A116)=0,0,SUMIFS('Current AR'!$W$6:$W$103,'Current AR'!$J$6:$J$103,A116)/SUMIFS('Current AR'!$T$6:$T$103,'Current AR'!$J$6:$J$103,A116))</f>
        <v>0</v>
      </c>
      <c r="C116" s="152"/>
      <c r="D116" s="152"/>
      <c r="E116" s="152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  <c r="AB116" s="138"/>
      <c r="AC116" s="138"/>
      <c r="AD116" s="138"/>
      <c r="AE116" s="138"/>
      <c r="AF116" s="138"/>
      <c r="AG116" s="138"/>
      <c r="AH116" s="138"/>
      <c r="AI116" s="138"/>
      <c r="AJ116" s="138"/>
      <c r="AK116" s="138"/>
      <c r="AL116" s="138"/>
      <c r="AM116" s="138"/>
      <c r="AN116" s="138"/>
      <c r="AO116" s="138"/>
      <c r="BA116" t="str">
        <f>IF(B116=0,"",IF(MOD(ROUND(B116,2),1)=0,TEXT(B116,"0"),TEXT(B116,"0.00"))&amp;" days")</f>
        <v/>
      </c>
    </row>
    <row r="117" spans="1:53">
      <c r="A117" s="148" t="inlineStr">
        <is>
          <t>Sales Rep 3</t>
        </is>
      </c>
      <c r="B117" s="151">
        <f>IF(SUMIFS('Current AR'!$T$6:$T$103,'Current AR'!$J$6:$J$103,A117)=0,0,SUMIFS('Current AR'!$W$6:$W$103,'Current AR'!$J$6:$J$103,A117)/SUMIFS('Current AR'!$T$6:$T$103,'Current AR'!$J$6:$J$103,A117))</f>
        <v>0</v>
      </c>
      <c r="C117" s="152"/>
      <c r="D117" s="152"/>
      <c r="E117" s="152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  <c r="AG117" s="138"/>
      <c r="AH117" s="138"/>
      <c r="AI117" s="138"/>
      <c r="AJ117" s="138"/>
      <c r="AK117" s="138"/>
      <c r="AL117" s="138"/>
      <c r="AM117" s="138"/>
      <c r="AN117" s="138"/>
      <c r="AO117" s="138"/>
      <c r="BA117" t="str">
        <f>IF(B117=0,"",IF(MOD(ROUND(B117,2),1)=0,TEXT(B117,"0"),TEXT(B117,"0.00"))&amp;" days")</f>
        <v/>
      </c>
    </row>
    <row r="118" spans="1:53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  <c r="AB118" s="138"/>
      <c r="AC118" s="138"/>
      <c r="AD118" s="138"/>
      <c r="AE118" s="138"/>
      <c r="AF118" s="138"/>
      <c r="AG118" s="138"/>
      <c r="AH118" s="138"/>
      <c r="AI118" s="138"/>
      <c r="AJ118" s="138"/>
      <c r="AK118" s="138"/>
      <c r="AL118" s="138"/>
      <c r="AM118" s="138"/>
      <c r="AN118" s="138"/>
      <c r="AO118" s="138"/>
    </row>
    <row r="119" spans="1:53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  <c r="AD119" s="138"/>
      <c r="AE119" s="138"/>
      <c r="AF119" s="138"/>
      <c r="AG119" s="138"/>
      <c r="AH119" s="138"/>
      <c r="AI119" s="138"/>
      <c r="AJ119" s="138"/>
      <c r="AK119" s="138"/>
      <c r="AL119" s="138"/>
      <c r="AM119" s="138"/>
      <c r="AN119" s="138"/>
      <c r="AO119" s="138"/>
    </row>
    <row r="120" spans="1:53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  <c r="AC120" s="138"/>
      <c r="AD120" s="138"/>
      <c r="AE120" s="138"/>
      <c r="AF120" s="138"/>
      <c r="AG120" s="138"/>
      <c r="AH120" s="138"/>
      <c r="AI120" s="138"/>
      <c r="AJ120" s="138"/>
      <c r="AK120" s="138"/>
      <c r="AL120" s="138"/>
      <c r="AM120" s="138"/>
      <c r="AN120" s="138"/>
      <c r="AO120" s="138"/>
    </row>
    <row r="121" spans="1:53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  <c r="AB121" s="138"/>
      <c r="AC121" s="138"/>
      <c r="AD121" s="138"/>
      <c r="AE121" s="138"/>
      <c r="AF121" s="138"/>
      <c r="AG121" s="138"/>
      <c r="AH121" s="138"/>
      <c r="AI121" s="138"/>
      <c r="AJ121" s="138"/>
      <c r="AK121" s="138"/>
      <c r="AL121" s="138"/>
      <c r="AM121" s="138"/>
      <c r="AN121" s="138"/>
      <c r="AO121" s="138"/>
    </row>
    <row r="122" spans="1:53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  <c r="AB122" s="138"/>
      <c r="AC122" s="138"/>
      <c r="AD122" s="138"/>
      <c r="AE122" s="138"/>
      <c r="AF122" s="138"/>
      <c r="AG122" s="138"/>
      <c r="AH122" s="138"/>
      <c r="AI122" s="138"/>
      <c r="AJ122" s="138"/>
      <c r="AK122" s="138"/>
      <c r="AL122" s="138"/>
      <c r="AM122" s="138"/>
      <c r="AN122" s="138"/>
      <c r="AO122" s="138"/>
    </row>
    <row r="123" spans="1:53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  <c r="AC123" s="138"/>
      <c r="AD123" s="138"/>
      <c r="AE123" s="138"/>
      <c r="AF123" s="138"/>
      <c r="AG123" s="138"/>
      <c r="AH123" s="138"/>
      <c r="AI123" s="138"/>
      <c r="AJ123" s="138"/>
      <c r="AK123" s="138"/>
      <c r="AL123" s="138"/>
      <c r="AM123" s="138"/>
      <c r="AN123" s="138"/>
      <c r="AO123" s="138"/>
    </row>
    <row r="124" spans="1:53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  <c r="AC124" s="138"/>
      <c r="AD124" s="138"/>
      <c r="AE124" s="138"/>
      <c r="AF124" s="138"/>
      <c r="AG124" s="138"/>
      <c r="AH124" s="138"/>
      <c r="AI124" s="138"/>
      <c r="AJ124" s="138"/>
      <c r="AK124" s="138"/>
      <c r="AL124" s="138"/>
      <c r="AM124" s="138"/>
      <c r="AN124" s="138"/>
      <c r="AO124" s="138"/>
    </row>
    <row r="125" spans="1:53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38"/>
      <c r="AD125" s="138"/>
      <c r="AE125" s="138"/>
      <c r="AF125" s="138"/>
      <c r="AG125" s="138"/>
      <c r="AH125" s="138"/>
      <c r="AI125" s="138"/>
      <c r="AJ125" s="138"/>
      <c r="AK125" s="138"/>
      <c r="AL125" s="138"/>
      <c r="AM125" s="138"/>
      <c r="AN125" s="138"/>
      <c r="AO125" s="138"/>
    </row>
    <row r="126" spans="1:53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  <c r="AB126" s="138"/>
      <c r="AC126" s="138"/>
      <c r="AD126" s="138"/>
      <c r="AE126" s="138"/>
      <c r="AF126" s="138"/>
      <c r="AG126" s="138"/>
      <c r="AH126" s="138"/>
      <c r="AI126" s="138"/>
      <c r="AJ126" s="138"/>
      <c r="AK126" s="138"/>
      <c r="AL126" s="138"/>
      <c r="AM126" s="138"/>
      <c r="AN126" s="138"/>
      <c r="AO126" s="138"/>
    </row>
    <row r="127" spans="1:53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  <c r="AB127" s="138"/>
      <c r="AC127" s="138"/>
      <c r="AD127" s="138"/>
      <c r="AE127" s="138"/>
      <c r="AF127" s="138"/>
      <c r="AG127" s="138"/>
      <c r="AH127" s="138"/>
      <c r="AI127" s="138"/>
      <c r="AJ127" s="138"/>
      <c r="AK127" s="138"/>
      <c r="AL127" s="138"/>
      <c r="AM127" s="138"/>
      <c r="AN127" s="138"/>
      <c r="AO127" s="138"/>
    </row>
    <row r="128" spans="1:53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38"/>
      <c r="AD128" s="138"/>
      <c r="AE128" s="138"/>
      <c r="AF128" s="138"/>
      <c r="AG128" s="138"/>
      <c r="AH128" s="138"/>
      <c r="AI128" s="138"/>
      <c r="AJ128" s="138"/>
      <c r="AK128" s="138"/>
      <c r="AL128" s="138"/>
      <c r="AM128" s="138"/>
      <c r="AN128" s="138"/>
      <c r="AO128" s="138"/>
    </row>
    <row r="129" spans="1:4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  <c r="AB129" s="138"/>
      <c r="AC129" s="138"/>
      <c r="AD129" s="138"/>
      <c r="AE129" s="138"/>
      <c r="AF129" s="138"/>
      <c r="AG129" s="138"/>
      <c r="AH129" s="138"/>
      <c r="AI129" s="138"/>
      <c r="AJ129" s="138"/>
      <c r="AK129" s="138"/>
      <c r="AL129" s="138"/>
      <c r="AM129" s="138"/>
      <c r="AN129" s="138"/>
      <c r="AO129" s="138"/>
    </row>
    <row r="130" spans="1:4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  <c r="AB130" s="138"/>
      <c r="AC130" s="138"/>
      <c r="AD130" s="138"/>
      <c r="AE130" s="138"/>
      <c r="AF130" s="138"/>
      <c r="AG130" s="138"/>
      <c r="AH130" s="138"/>
      <c r="AI130" s="138"/>
      <c r="AJ130" s="138"/>
      <c r="AK130" s="138"/>
      <c r="AL130" s="138"/>
      <c r="AM130" s="138"/>
      <c r="AN130" s="138"/>
      <c r="AO130" s="138"/>
    </row>
    <row r="131" spans="1:4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  <c r="AB131" s="138"/>
      <c r="AC131" s="138"/>
      <c r="AD131" s="138"/>
      <c r="AE131" s="138"/>
      <c r="AF131" s="138"/>
      <c r="AG131" s="138"/>
      <c r="AH131" s="138"/>
      <c r="AI131" s="138"/>
      <c r="AJ131" s="138"/>
      <c r="AK131" s="138"/>
      <c r="AL131" s="138"/>
      <c r="AM131" s="138"/>
      <c r="AN131" s="138"/>
      <c r="AO131" s="138"/>
    </row>
    <row r="132" spans="1:4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  <c r="AC132" s="138"/>
      <c r="AD132" s="138"/>
      <c r="AE132" s="138"/>
      <c r="AF132" s="138"/>
      <c r="AG132" s="138"/>
      <c r="AH132" s="138"/>
      <c r="AI132" s="138"/>
      <c r="AJ132" s="138"/>
      <c r="AK132" s="138"/>
      <c r="AL132" s="138"/>
      <c r="AM132" s="138"/>
      <c r="AN132" s="138"/>
      <c r="AO132" s="138"/>
    </row>
    <row r="133" spans="1:4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  <c r="AB133" s="138"/>
      <c r="AC133" s="138"/>
      <c r="AD133" s="138"/>
      <c r="AE133" s="138"/>
      <c r="AF133" s="138"/>
      <c r="AG133" s="138"/>
      <c r="AH133" s="138"/>
      <c r="AI133" s="138"/>
      <c r="AJ133" s="138"/>
      <c r="AK133" s="138"/>
      <c r="AL133" s="138"/>
      <c r="AM133" s="138"/>
      <c r="AN133" s="138"/>
      <c r="AO133" s="138"/>
    </row>
    <row r="134" spans="1:4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  <c r="AB134" s="138"/>
      <c r="AC134" s="138"/>
      <c r="AD134" s="138"/>
      <c r="AE134" s="138"/>
      <c r="AF134" s="138"/>
      <c r="AG134" s="138"/>
      <c r="AH134" s="138"/>
      <c r="AI134" s="138"/>
      <c r="AJ134" s="138"/>
      <c r="AK134" s="138"/>
      <c r="AL134" s="138"/>
      <c r="AM134" s="138"/>
      <c r="AN134" s="138"/>
      <c r="AO134" s="138"/>
    </row>
    <row r="135" spans="1:4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  <c r="AB135" s="138"/>
      <c r="AC135" s="138"/>
      <c r="AD135" s="138"/>
      <c r="AE135" s="138"/>
      <c r="AF135" s="138"/>
      <c r="AG135" s="138"/>
      <c r="AH135" s="138"/>
      <c r="AI135" s="138"/>
      <c r="AJ135" s="138"/>
      <c r="AK135" s="138"/>
      <c r="AL135" s="138"/>
      <c r="AM135" s="138"/>
      <c r="AN135" s="138"/>
      <c r="AO135" s="138"/>
    </row>
    <row r="136" spans="1:4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  <c r="AB136" s="138"/>
      <c r="AC136" s="138"/>
      <c r="AD136" s="138"/>
      <c r="AE136" s="138"/>
      <c r="AF136" s="138"/>
      <c r="AG136" s="138"/>
      <c r="AH136" s="138"/>
      <c r="AI136" s="138"/>
      <c r="AJ136" s="138"/>
      <c r="AK136" s="138"/>
      <c r="AL136" s="138"/>
      <c r="AM136" s="138"/>
      <c r="AN136" s="138"/>
      <c r="AO136" s="138"/>
    </row>
    <row r="137" spans="1:4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  <c r="AB137" s="138"/>
      <c r="AC137" s="138"/>
      <c r="AD137" s="138"/>
      <c r="AE137" s="138"/>
      <c r="AF137" s="138"/>
      <c r="AG137" s="138"/>
      <c r="AH137" s="138"/>
      <c r="AI137" s="138"/>
      <c r="AJ137" s="138"/>
      <c r="AK137" s="138"/>
      <c r="AL137" s="138"/>
      <c r="AM137" s="138"/>
      <c r="AN137" s="138"/>
      <c r="AO137" s="138"/>
    </row>
    <row r="138" spans="1:4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  <c r="AB138" s="138"/>
      <c r="AC138" s="138"/>
      <c r="AD138" s="138"/>
      <c r="AE138" s="138"/>
      <c r="AF138" s="138"/>
      <c r="AG138" s="138"/>
      <c r="AH138" s="138"/>
      <c r="AI138" s="138"/>
      <c r="AJ138" s="138"/>
      <c r="AK138" s="138"/>
      <c r="AL138" s="138"/>
      <c r="AM138" s="138"/>
      <c r="AN138" s="138"/>
      <c r="AO138" s="138"/>
    </row>
    <row r="139" spans="1:4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  <c r="AB139" s="138"/>
      <c r="AC139" s="138"/>
      <c r="AD139" s="138"/>
      <c r="AE139" s="138"/>
      <c r="AF139" s="138"/>
      <c r="AG139" s="138"/>
      <c r="AH139" s="138"/>
      <c r="AI139" s="138"/>
      <c r="AJ139" s="138"/>
      <c r="AK139" s="138"/>
      <c r="AL139" s="138"/>
      <c r="AM139" s="138"/>
      <c r="AN139" s="138"/>
      <c r="AO139" s="138"/>
    </row>
    <row r="140" spans="1:4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  <c r="AB140" s="138"/>
      <c r="AC140" s="138"/>
      <c r="AD140" s="138"/>
      <c r="AE140" s="138"/>
      <c r="AF140" s="138"/>
      <c r="AG140" s="138"/>
      <c r="AH140" s="138"/>
      <c r="AI140" s="138"/>
      <c r="AJ140" s="138"/>
      <c r="AK140" s="138"/>
      <c r="AL140" s="138"/>
      <c r="AM140" s="138"/>
      <c r="AN140" s="138"/>
      <c r="AO140" s="138"/>
    </row>
    <row r="141" spans="1:4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  <c r="AC141" s="138"/>
      <c r="AD141" s="138"/>
      <c r="AE141" s="138"/>
      <c r="AF141" s="138"/>
      <c r="AG141" s="138"/>
      <c r="AH141" s="138"/>
      <c r="AI141" s="138"/>
      <c r="AJ141" s="138"/>
      <c r="AK141" s="138"/>
      <c r="AL141" s="138"/>
      <c r="AM141" s="138"/>
      <c r="AN141" s="138"/>
      <c r="AO141" s="138"/>
    </row>
    <row r="142" spans="1:4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  <c r="AB142" s="138"/>
      <c r="AC142" s="138"/>
      <c r="AD142" s="138"/>
      <c r="AE142" s="138"/>
      <c r="AF142" s="138"/>
      <c r="AG142" s="138"/>
      <c r="AH142" s="138"/>
      <c r="AI142" s="138"/>
      <c r="AJ142" s="138"/>
      <c r="AK142" s="138"/>
      <c r="AL142" s="138"/>
      <c r="AM142" s="138"/>
      <c r="AN142" s="138"/>
      <c r="AO142" s="138"/>
    </row>
    <row r="143" spans="1:4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  <c r="AB143" s="138"/>
      <c r="AC143" s="138"/>
      <c r="AD143" s="138"/>
      <c r="AE143" s="138"/>
      <c r="AF143" s="138"/>
      <c r="AG143" s="138"/>
      <c r="AH143" s="138"/>
      <c r="AI143" s="138"/>
      <c r="AJ143" s="138"/>
      <c r="AK143" s="138"/>
      <c r="AL143" s="138"/>
      <c r="AM143" s="138"/>
      <c r="AN143" s="138"/>
      <c r="AO143" s="138"/>
    </row>
    <row r="144" spans="1:4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  <c r="AB144" s="138"/>
      <c r="AC144" s="138"/>
      <c r="AD144" s="138"/>
      <c r="AE144" s="138"/>
      <c r="AF144" s="138"/>
      <c r="AG144" s="138"/>
      <c r="AH144" s="138"/>
      <c r="AI144" s="138"/>
      <c r="AJ144" s="138"/>
      <c r="AK144" s="138"/>
      <c r="AL144" s="138"/>
      <c r="AM144" s="138"/>
      <c r="AN144" s="138"/>
      <c r="AO144" s="138"/>
    </row>
    <row r="145" spans="1:4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  <c r="AB145" s="138"/>
      <c r="AC145" s="138"/>
      <c r="AD145" s="138"/>
      <c r="AE145" s="138"/>
      <c r="AF145" s="138"/>
      <c r="AG145" s="138"/>
      <c r="AH145" s="138"/>
      <c r="AI145" s="138"/>
      <c r="AJ145" s="138"/>
      <c r="AK145" s="138"/>
      <c r="AL145" s="138"/>
      <c r="AM145" s="138"/>
      <c r="AN145" s="138"/>
      <c r="AO145" s="138"/>
    </row>
    <row r="146" spans="1:4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  <c r="AB146" s="138"/>
      <c r="AC146" s="138"/>
      <c r="AD146" s="138"/>
      <c r="AE146" s="138"/>
      <c r="AF146" s="138"/>
      <c r="AG146" s="138"/>
      <c r="AH146" s="138"/>
      <c r="AI146" s="138"/>
      <c r="AJ146" s="138"/>
      <c r="AK146" s="138"/>
      <c r="AL146" s="138"/>
      <c r="AM146" s="138"/>
      <c r="AN146" s="138"/>
      <c r="AO146" s="138"/>
    </row>
    <row r="147" spans="1:4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  <c r="AB147" s="138"/>
      <c r="AC147" s="138"/>
      <c r="AD147" s="138"/>
      <c r="AE147" s="138"/>
      <c r="AF147" s="138"/>
      <c r="AG147" s="138"/>
      <c r="AH147" s="138"/>
      <c r="AI147" s="138"/>
      <c r="AJ147" s="138"/>
      <c r="AK147" s="138"/>
      <c r="AL147" s="138"/>
      <c r="AM147" s="138"/>
      <c r="AN147" s="138"/>
      <c r="AO147" s="138"/>
    </row>
    <row r="148" spans="1:4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  <c r="AC148" s="138"/>
      <c r="AD148" s="138"/>
      <c r="AE148" s="138"/>
      <c r="AF148" s="138"/>
      <c r="AG148" s="138"/>
      <c r="AH148" s="138"/>
      <c r="AI148" s="138"/>
      <c r="AJ148" s="138"/>
      <c r="AK148" s="138"/>
      <c r="AL148" s="138"/>
      <c r="AM148" s="138"/>
      <c r="AN148" s="138"/>
      <c r="AO148" s="138"/>
    </row>
    <row r="149" spans="1:4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/>
      <c r="AC149" s="138"/>
      <c r="AD149" s="138"/>
      <c r="AE149" s="138"/>
      <c r="AF149" s="138"/>
      <c r="AG149" s="138"/>
      <c r="AH149" s="138"/>
      <c r="AI149" s="138"/>
      <c r="AJ149" s="138"/>
      <c r="AK149" s="138"/>
      <c r="AL149" s="138"/>
      <c r="AM149" s="138"/>
      <c r="AN149" s="138"/>
      <c r="AO149" s="138"/>
    </row>
    <row r="150" spans="1:41">
      <c r="A150" s="138" t="str">
        <f>IF(B150=0,"",INDEX(A170:A176,MATCH(B150,B170:B176,0)))</f>
        <v>Client Alpha (Steel EPC)</v>
      </c>
      <c r="B150" s="138">
        <f>IFERROR(LARGE(B170:B176,1),0)</f>
        <v>39053816997.905396</v>
      </c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  <c r="AC150" s="138"/>
      <c r="AD150" s="138"/>
      <c r="AE150" s="138"/>
      <c r="AF150" s="138"/>
      <c r="AG150" s="138"/>
      <c r="AH150" s="138"/>
      <c r="AI150" s="138"/>
      <c r="AJ150" s="138"/>
      <c r="AK150" s="138"/>
      <c r="AL150" s="138"/>
      <c r="AM150" s="138"/>
      <c r="AN150" s="138"/>
      <c r="AO150" s="138"/>
    </row>
    <row r="151" spans="1:41">
      <c r="A151" s="138" t="str">
        <f>IF(B151=0,"",INDEX(A170:A176,MATCH(B151,B170:B176,0)))</f>
        <v>Client Gamma (Offshore Energy)</v>
      </c>
      <c r="B151" s="138">
        <f>IFERROR(LARGE(B170:B176,2),0)</f>
        <v>4021631999.9999995</v>
      </c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  <c r="AB151" s="138"/>
      <c r="AC151" s="138"/>
      <c r="AD151" s="138"/>
      <c r="AE151" s="138"/>
      <c r="AF151" s="138"/>
      <c r="AG151" s="138"/>
      <c r="AH151" s="138"/>
      <c r="AI151" s="138"/>
      <c r="AJ151" s="138"/>
      <c r="AK151" s="138"/>
      <c r="AL151" s="138"/>
      <c r="AM151" s="138"/>
      <c r="AN151" s="138"/>
      <c r="AO151" s="138"/>
    </row>
    <row r="152" spans="1:41">
      <c r="A152" s="138" t="str">
        <f>IF(B152=0,"",INDEX(A170:A176,MATCH(B152,B170:B176,0)))</f>
        <v>Client Alpha Sub-Contract</v>
      </c>
      <c r="B152" s="138">
        <f>IFERROR(LARGE(B170:B176,3),0)</f>
        <v>3653181386.9999995</v>
      </c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138"/>
      <c r="AD152" s="138"/>
      <c r="AE152" s="138"/>
      <c r="AF152" s="138"/>
      <c r="AG152" s="138"/>
      <c r="AH152" s="138"/>
      <c r="AI152" s="138"/>
      <c r="AJ152" s="138"/>
      <c r="AK152" s="138"/>
      <c r="AL152" s="138"/>
      <c r="AM152" s="138"/>
      <c r="AN152" s="138"/>
      <c r="AO152" s="138"/>
    </row>
    <row r="153" spans="1:4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  <c r="AB153" s="138"/>
      <c r="AC153" s="138"/>
      <c r="AD153" s="138"/>
      <c r="AE153" s="138"/>
      <c r="AF153" s="138"/>
      <c r="AG153" s="138"/>
      <c r="AH153" s="138"/>
      <c r="AI153" s="138"/>
      <c r="AJ153" s="138"/>
      <c r="AK153" s="138"/>
      <c r="AL153" s="138"/>
      <c r="AM153" s="138"/>
      <c r="AN153" s="138"/>
      <c r="AO153" s="138"/>
    </row>
    <row r="154" spans="1:4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  <c r="AE154" s="138"/>
      <c r="AF154" s="138"/>
      <c r="AG154" s="138"/>
      <c r="AH154" s="138"/>
      <c r="AI154" s="138"/>
      <c r="AJ154" s="138"/>
      <c r="AK154" s="138"/>
      <c r="AL154" s="138"/>
      <c r="AM154" s="138"/>
      <c r="AN154" s="138"/>
      <c r="AO154" s="138"/>
    </row>
    <row r="155" spans="1:4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  <c r="AB155" s="138"/>
      <c r="AC155" s="138"/>
      <c r="AD155" s="138"/>
      <c r="AE155" s="138"/>
      <c r="AF155" s="138"/>
      <c r="AG155" s="138"/>
      <c r="AH155" s="138"/>
      <c r="AI155" s="138"/>
      <c r="AJ155" s="138"/>
      <c r="AK155" s="138"/>
      <c r="AL155" s="138"/>
      <c r="AM155" s="138"/>
      <c r="AN155" s="138"/>
      <c r="AO155" s="138"/>
    </row>
    <row r="156" spans="1:4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  <c r="AB156" s="138"/>
      <c r="AC156" s="138"/>
      <c r="AD156" s="138"/>
      <c r="AE156" s="138"/>
      <c r="AF156" s="138"/>
      <c r="AG156" s="138"/>
      <c r="AH156" s="138"/>
      <c r="AI156" s="138"/>
      <c r="AJ156" s="138"/>
      <c r="AK156" s="138"/>
      <c r="AL156" s="138"/>
      <c r="AM156" s="138"/>
      <c r="AN156" s="138"/>
      <c r="AO156" s="138"/>
    </row>
    <row r="157" spans="1:4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  <c r="AB157" s="138"/>
      <c r="AC157" s="138"/>
      <c r="AD157" s="138"/>
      <c r="AE157" s="138"/>
      <c r="AF157" s="138"/>
      <c r="AG157" s="138"/>
      <c r="AH157" s="138"/>
      <c r="AI157" s="138"/>
      <c r="AJ157" s="138"/>
      <c r="AK157" s="138"/>
      <c r="AL157" s="138"/>
      <c r="AM157" s="138"/>
      <c r="AN157" s="138"/>
      <c r="AO157" s="138"/>
    </row>
    <row r="158" spans="1:4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  <c r="AC158" s="138"/>
      <c r="AD158" s="138"/>
      <c r="AE158" s="138"/>
      <c r="AF158" s="138"/>
      <c r="AG158" s="138"/>
      <c r="AH158" s="138"/>
      <c r="AI158" s="138"/>
      <c r="AJ158" s="138"/>
      <c r="AK158" s="138"/>
      <c r="AL158" s="138"/>
      <c r="AM158" s="138"/>
      <c r="AN158" s="138"/>
      <c r="AO158" s="138"/>
    </row>
    <row r="159" spans="1:4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  <c r="AB159" s="138"/>
      <c r="AC159" s="138"/>
      <c r="AD159" s="138"/>
      <c r="AE159" s="138"/>
      <c r="AF159" s="138"/>
      <c r="AG159" s="138"/>
      <c r="AH159" s="138"/>
      <c r="AI159" s="138"/>
      <c r="AJ159" s="138"/>
      <c r="AK159" s="138"/>
      <c r="AL159" s="138"/>
      <c r="AM159" s="138"/>
      <c r="AN159" s="138"/>
      <c r="AO159" s="138"/>
    </row>
    <row r="160" spans="1:4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138"/>
      <c r="AD160" s="138"/>
      <c r="AE160" s="138"/>
      <c r="AF160" s="138"/>
      <c r="AG160" s="138"/>
      <c r="AH160" s="138"/>
      <c r="AI160" s="138"/>
      <c r="AJ160" s="138"/>
      <c r="AK160" s="138"/>
      <c r="AL160" s="138"/>
      <c r="AM160" s="138"/>
      <c r="AN160" s="138"/>
      <c r="AO160" s="138"/>
    </row>
    <row r="164" spans="1:78">
      <c r="Z164">
        <v>177</v>
      </c>
    </row>
    <row r="169" spans="1:78" ht="26.25">
      <c r="A169" s="157" t="inlineStr">
        <is>
          <t>Client Account</t>
        </is>
      </c>
      <c r="B169" s="157" t="inlineStr">
        <is>
          <t>Current Balance</t>
        </is>
      </c>
      <c r="C169" s="157" t="inlineStr">
        <is>
          <t>Prior Balance</t>
        </is>
      </c>
      <c r="D169" s="157" t="inlineStr">
        <is>
          <t>In-Term Debt</t>
        </is>
      </c>
      <c r="E169" s="157" t="inlineStr">
        <is>
          <t>Overdue Debt</t>
        </is>
      </c>
      <c r="G169" s="157" t="inlineStr">
        <is>
          <t>Sales Representative</t>
        </is>
      </c>
      <c r="H169" s="157" t="inlineStr">
        <is>
          <t>Current Balance</t>
        </is>
      </c>
      <c r="I169" s="157" t="inlineStr">
        <is>
          <t>Prior Balance</t>
        </is>
      </c>
      <c r="J169" s="157" t="inlineStr">
        <is>
          <t>In-Term Debt</t>
        </is>
      </c>
      <c r="K169" s="157" t="inlineStr">
        <is>
          <t>Overdue Debt</t>
        </is>
      </c>
      <c r="L169" s="157" t="inlineStr">
        <is>
          <t>Sales Representative</t>
        </is>
      </c>
      <c r="M169" s="157" t="inlineStr">
        <is>
          <t>Average Overdue Days</t>
        </is>
      </c>
      <c r="BR169">
        <v>0.1053032599178285</v>
      </c>
      <c r="BZ169">
        <v>0.1053032599178285</v>
      </c>
    </row>
    <row r="170" spans="1:78">
      <c r="A170" s="156" t="inlineStr">
        <is>
          <t>Client Beta (Heavy Const.)</t>
        </is>
      </c>
      <c r="B170" s="156">
        <f>SUMIFS('Current AR'!$V$6:$V$160,'Current AR'!$A$6:$A$160,A170)</f>
        <v>2000343001</v>
      </c>
      <c r="C170" s="156">
        <f>SUMIFS('Prior AR'!$V$6:$V$160,'Prior AR'!$A$6:$A$160,A170)</f>
        <v>1603172748</v>
      </c>
      <c r="D170" s="156">
        <f>SUMIFS('Current AR'!$V$6:$V$160,'Current AR'!$A$6:$A$160,A170,'Current AR'!$Q$6:$Q$160,"&lt;=0")</f>
        <v>450339000</v>
      </c>
      <c r="E170" s="156">
        <f>SUMIFS('Current AR'!$V$6:$V$160,'Current AR'!$A$6:$A$160,A170,'Current AR'!$Q$6:$Q$160,"&gt;0")</f>
        <v>1550004001</v>
      </c>
      <c r="G170" s="156" t="inlineStr">
        <is>
          <t>Senior Sales Rep 1</t>
        </is>
      </c>
      <c r="H170" s="156">
        <f>SUMIFS('Current AR'!$V$6:$V$160,'Current AR'!$J$6:$J$160,G170)</f>
        <v>14614668379</v>
      </c>
      <c r="I170" s="156">
        <f>SUMIFS('Prior AR'!$V$6:$V$160,'Prior AR'!$J$6:$J$160,G170)</f>
        <v>14415882833</v>
      </c>
      <c r="J170" s="156">
        <f>H170-K170</f>
        <v>10509252379</v>
      </c>
      <c r="K170" s="156">
        <f>SUMIFS('Current AR'!$V$6:$V$160,'Current AR'!$J$6:$J$160,G170,'Current AR'!$Q$6:$Q$160,"&gt;0")</f>
        <v>4105416000</v>
      </c>
      <c r="L170" s="156" t="str">
        <f>G170</f>
        <v>Senior Sales Rep 1</v>
      </c>
      <c r="M170" s="163">
        <f>IF(K170=0,0,SUMIFS('Current AR'!$W$6:$W$160,'Current AR'!$J$6:$J$160,G170,'Current AR'!$U$6:$U$160,1)/K170)</f>
        <v>13.042532814944941</v>
      </c>
      <c r="P170" t="str">
        <f>IF(D170=0,"",TEXT(IF(D170&gt;=1000000000,D170/1000000000,IF(D170&gt;=1000000,D170/1000000,D170/1000)),IF(MOD(ROUND(IF(D170&gt;=1000000000,D170/1000000000,IF(D170&gt;=1000000,D170/1000000,D170/1000)),2),1)=0,"0","0.00"))&amp;IF(D170&gt;=1000000000," B VND",IF(D170&gt;=1000000," M VND","k")))</f>
        <v>430M VND</v>
      </c>
      <c r="Q170" t="str">
        <f>IF(E170=0,"",TEXT(IF(E170&gt;=1000000000,E170/1000000000,IF(E170&gt;=1000000,E170/1000000,E170/1000)),IF(MOD(ROUND(IF(E170&gt;=1000000000,E170/1000000000,IF(E170&gt;=1000000,E170/1000000,E170/1000)),2),1)=0,"0","0.00"))&amp;IF(E170&gt;=1000000000," B VND",IF(E170&gt;=1000000," M VND","k")))</f>
        <v>1.48B VND</v>
      </c>
      <c r="R170" t="str">
        <f>IF(J170=0,"",TEXT(IF(J170&gt;=1000000000,J170/1000000000,IF(J170&gt;=1000000,J170/1000000,J170/1000)),IF(MOD(ROUND(IF(J170&gt;=1000000000,J170/1000000000,IF(J170&gt;=1000000,J170/1000000,J170/1000)),2),1)=0,"0","0.00"))&amp;IF(J170&gt;=1000000000," B VND",IF(J170&gt;=1000000," M VND","k")))</f>
        <v>10.03B VND</v>
      </c>
      <c r="S170" t="str">
        <f>IF(K170=0,"",TEXT(IF(K170&gt;=1000000000,K170/1000000000,IF(K170&gt;=1000000,K170/1000000,K170/1000)),IF(MOD(ROUND(IF(K170&gt;=1000000000,K170/1000000000,IF(K170&gt;=1000000,K170/1000000,K170/1000)),2),1)=0,"0","0.00"))&amp;IF(K170&gt;=1000000000," B VND",IF(K170&gt;=1000000," M VND","k")))</f>
        <v>3.92B VND</v>
      </c>
      <c r="T170" t="str">
        <f>IF(M170=0,"",TEXT(M170,IF(MOD(ROUND(M170,2),1)=0,"0","0.00"))&amp;" days")</f>
        <v>13.04 days</v>
      </c>
      <c r="V170" s="155" t="inlineStr">
        <is>
          <t>All</t>
        </is>
      </c>
      <c r="W170" s="155" t="inlineStr">
        <is>
          <t>All</t>
        </is>
      </c>
      <c r="BF170" t="str">
        <f>L170</f>
        <v>Senior Sales Rep 1</v>
      </c>
      <c r="BG170">
        <f>M170</f>
        <v>13.042532815316973</v>
      </c>
      <c r="BH170" t="str">
        <f>T170</f>
        <v>13.04 days</v>
      </c>
      <c r="BK170">
        <f>D170+E170</f>
        <v>2000342999.9999998</v>
      </c>
      <c r="BL170" t="str">
        <f>IF(D170=0,"–",IF(ABS(D170)&gt;=1000000000,TEXT(D170/1000000000,"0.00")&amp;"B",IF(ABS(D170)&gt;=1000000,TEXT(D170/1000000,"0.0")&amp;"M",TEXT(D170/1000,"0")&amp;"K")))</f>
        <v>450.3M</v>
      </c>
      <c r="BM170" t="str">
        <f>IF(E170=0,"–",IF(ABS(E170)&gt;=1000000000,TEXT(E170/1000000000,"0.00")&amp;"B",IF(ABS(E170)&gt;=1000000,TEXT(E170/1000000,"0.0")&amp;"M",TEXT(E170/1000,"0")&amp;"K")))</f>
        <v>1.55B</v>
      </c>
      <c r="BN170" t="str">
        <f>IF(AND(D170&gt;0,BL170=""),P170,"")</f>
        <v>430M VND</v>
      </c>
      <c r="BO170" t="str">
        <f>IF(AND(E170&gt;0,BM170=""),Q170,"")</f>
        <v>1.48B VND</v>
      </c>
      <c r="BP170">
        <f>IF(BN170&lt;&gt;"",BK170+MAX($BK$170:$BK$176)*(0.015),NA())</f>
        <v>2586150254.968581</v>
      </c>
      <c r="BQ170">
        <f>IF(BO170&lt;&gt;"",BK170+MAX($BK$170:$BK$176)*(0.015+IF(BN170&lt;&gt;"",0.106551,0)),NA())</f>
        <v>6747373509.912398</v>
      </c>
      <c r="BS170">
        <f>J170+K170</f>
        <v>14614668375.3786</v>
      </c>
      <c r="BT170" t="str">
        <f>IF(J170=0,"–",IF(ABS(J170)&gt;=1000000000,TEXT(J170/1000000000,"0.00")&amp;"B",IF(ABS(J170)&gt;=1000000,TEXT(J170/1000000,"0.0")&amp;"M",TEXT(J170/1000,"0")&amp;"K")))</f>
        <v>10.51B</v>
      </c>
      <c r="BU170" t="str">
        <f>IF(K170=0,"–",IF(ABS(K170)&gt;=1000000000,TEXT(K170/1000000000,"0.00")&amp;"B",IF(ABS(K170)&gt;=1000000,TEXT(K170/1000000,"0.0")&amp;"M",TEXT(K170/1000,"0")&amp;"K")))</f>
        <v>4.11B</v>
      </c>
      <c r="BV170" t="str">
        <f>IF(AND(J170&gt;0,BT170=""),R170,"")</f>
        <v/>
      </c>
      <c r="BW170" t="str">
        <f>IF(AND(K170&gt;0,BU170=""),S170,"")</f>
        <v/>
      </c>
      <c r="BX170" t="e">
        <f>IF(BV170&lt;&gt;"",BS170+MAX($BS$170:$BS$175)*(0.015),NA())</f>
        <v>#N/A</v>
      </c>
      <c r="BY170" t="e">
        <f>IF(BW170&lt;&gt;"",BS170+MAX($BS$170:$BS$175)*(0.015+IF(BV170&lt;&gt;"",0.106551,0)),NA())</f>
        <v>#N/A</v>
      </c>
      <c r="CA170" t="inlineStr">
        <is>
          <t>Client Beta</t>
        </is>
      </c>
      <c r="CC170" t="str">
        <f>IF(AND(D170&gt;0,D170&gt;=MAX($B$170:$B$176)*0.12),IF(D170=0,"",IF(ABS(D170)&gt;=1000000000,IF(MOD(ROUND(D170/1000000000,2),1)=0,TEXT(D170/1000000000,"0"),TEXT(D170/1000000000,"0.00"))&amp;"B",IF(ABS(D170)&gt;=1000000,IF(MOD(ROUND(D170/1000000,2),1)=0,TEXT(D170/1000000,"0"),TEXT(D170/1000000,"0.00"))&amp;"M",IF(MOD(ROUND(D170/1000,2),1)=0,TEXT(D170/1000,"0"),TEXT(D170/1000,"0.00"))&amp;"K"))),"")</f>
        <v/>
      </c>
      <c r="CD170" t="str">
        <f>IF(AND(E170&gt;0,E170&gt;=MAX($B$170:$B$176)*0.12),IF(E170=0,"",IF(ABS(E170)&gt;=1000000000,IF(MOD(ROUND(E170/1000000000,2),1)=0,TEXT(E170/1000000000,"0"),TEXT(E170/1000000000,"0.00"))&amp;"B",IF(ABS(E170)&gt;=1000000,IF(MOD(ROUND(E170/1000000,2),1)=0,TEXT(E170/1000000,"0"),TEXT(E170/1000000,"0.00"))&amp;"M",IF(MOD(ROUND(E170/1000,2),1)=0,TEXT(E170/1000,"0"),TEXT(E170/1000,"0.00"))&amp;"K"))),"")</f>
        <v/>
      </c>
      <c r="CE170" t="str">
        <f>IF(AND(D170&gt;0,D170&lt;MAX($B$170:$B$176)*0.12),IF(D170=0,"",IF(ABS(D170)&gt;=1000000000,IF(MOD(ROUND(D170/1000000000,2),1)=0,TEXT(D170/1000000000,"0"),TEXT(D170/1000000000,"0.00"))&amp;"B",IF(ABS(D170)&gt;=1000000,IF(MOD(ROUND(D170/1000000,2),1)=0,TEXT(D170/1000000,"0"),TEXT(D170/1000000,"0.00"))&amp;"M",IF(MOD(ROUND(D170/1000,2),1)=0,TEXT(D170/1000,"0"),TEXT(D170/1000,"0.00"))&amp;"K"))),"")</f>
        <v>450.34M</v>
      </c>
      <c r="CF170" t="str">
        <f>IF(AND(E170&gt;0,E170&lt;MAX($B$170:$B$176)*0.12),IF(E170=0,"",IF(ABS(E170)&gt;=1000000000,IF(MOD(ROUND(E170/1000000000,2),1)=0,TEXT(E170/1000000000,"0"),TEXT(E170/1000000000,"0.00"))&amp;"B",IF(ABS(E170)&gt;=1000000,IF(MOD(ROUND(E170/1000000,2),1)=0,TEXT(E170/1000000,"0"),TEXT(E170/1000000,"0.00"))&amp;"M",IF(MOD(ROUND(E170/1000,2),1)=0,TEXT(E170/1000,"0"),TEXT(E170/1000,"0.00"))&amp;"K"))),"")</f>
        <v>1.55B</v>
      </c>
      <c r="CG170" t="n">
        <f>IF(AND(D170&gt;0,D170&lt;MAX($B$170:$B$176)*0.12),B170+MAX($B$170:$B$176)*0.03,0)</f>
        <v>3171957511.0</v>
      </c>
      <c r="CH170" t="n">
        <f>IF(AND(E170&gt;0,E170&lt;MAX($B$170:$B$176)*0.12),B170+MAX($B$170:$B$176)*IF(AND(D170&gt;0,D170&lt;MAX($B$170:$B$176)*0.12),0.1,0.03),0)</f>
        <v>5905724701.0</v>
      </c>
      <c r="CI170" t="str">
        <f>IF(BG170=0,"",IF(MOD(ROUND(BG170,2),1)=0,TEXT(BG170,"0"),TEXT(BG170,"0.00"))&amp;" days")</f>
        <v>13.04 days</v>
      </c>
    </row>
    <row r="171" spans="1:78">
      <c r="A171" s="156" t="inlineStr">
        <is>
          <t>Client Delta (Commercial Facade)</t>
        </is>
      </c>
      <c r="B171" s="156">
        <f>SUMIFS('Current AR'!$V$6:$V$160,'Current AR'!$A$6:$A$160,A171)</f>
        <v>2283113999</v>
      </c>
      <c r="C171" s="156">
        <f>SUMIFS('Prior AR'!$V$6:$V$160,'Prior AR'!$A$6:$A$160,A171)</f>
        <v>0</v>
      </c>
      <c r="D171" s="156">
        <f>SUMIFS('Current AR'!$V$6:$V$160,'Current AR'!$A$6:$A$160,A171,'Current AR'!$Q$6:$Q$160,"&lt;=0")</f>
        <v>2283113999</v>
      </c>
      <c r="E171" s="156">
        <f>SUMIFS('Current AR'!$V$6:$V$160,'Current AR'!$A$6:$A$160,A171,'Current AR'!$Q$6:$Q$160,"&gt;0")</f>
        <v>0</v>
      </c>
      <c r="G171" s="156" t="inlineStr">
        <is>
          <t>Senior Sales Rep 2</t>
        </is>
      </c>
      <c r="H171" s="156">
        <f>SUMIFS('Current AR'!$V$6:$V$160,'Current AR'!$J$6:$J$160,G171)</f>
        <v>30092673009</v>
      </c>
      <c r="I171" s="156">
        <f>SUMIFS('Prior AR'!$V$6:$V$160,'Prior AR'!$J$6:$J$160,G171)</f>
        <v>15416999425</v>
      </c>
      <c r="J171" s="156">
        <f>H171-K171</f>
        <v>28416993009</v>
      </c>
      <c r="K171" s="156">
        <f>SUMIFS('Current AR'!$V$6:$V$160,'Current AR'!$J$6:$J$160,G171,'Current AR'!$Q$6:$Q$160,"&gt;0")</f>
        <v>1675680000</v>
      </c>
      <c r="L171" s="156" t="str">
        <f>G171</f>
        <v>Senior Sales Rep 2</v>
      </c>
      <c r="M171" s="163">
        <f>IF(K171=0,0,SUMIFS('Current AR'!$W$6:$W$160,'Current AR'!$J$6:$J$160,G171,'Current AR'!$U$6:$U$160,1)/K171)</f>
        <v>16.709182352835864</v>
      </c>
      <c r="P171" t="str">
        <f>IF(D171=0,"",TEXT(IF(D171&gt;=1000000000,D171/1000000000,IF(D171&gt;=1000000,D171/1000000,D171/1000)),IF(MOD(ROUND(IF(D171&gt;=1000000000,D171/1000000000,IF(D171&gt;=1000000,D171/1000000,D171/1000)),2),1)=0,"0","0.00"))&amp;IF(D171&gt;=1000000000," B VND",IF(D171&gt;=1000000," M VND","k")))</f>
        <v>2.18B VND</v>
      </c>
      <c r="Q171" t="str">
        <f>IF(E171=0,"",TEXT(IF(E171&gt;=1000000000,E171/1000000000,IF(E171&gt;=1000000,E171/1000000,E171/1000)),IF(MOD(ROUND(IF(E171&gt;=1000000000,E171/1000000000,IF(E171&gt;=1000000,E171/1000000,E171/1000)),2),1)=0,"0","0.00"))&amp;IF(E171&gt;=1000000000," B VND",IF(E171&gt;=1000000," M VND","k")))</f>
        <v/>
      </c>
      <c r="R171" t="str">
        <f>IF(J171=0,"",TEXT(IF(J171&gt;=1000000000,J171/1000000000,IF(J171&gt;=1000000,J171/1000000,J171/1000)),IF(MOD(ROUND(IF(J171&gt;=1000000000,J171/1000000000,IF(J171&gt;=1000000,J171/1000000,J171/1000)),2),1)=0,"0","0.00"))&amp;IF(J171&gt;=1000000000," B VND",IF(J171&gt;=1000000," M VND","k")))</f>
        <v>27.13B VND</v>
      </c>
      <c r="S171" t="str">
        <f>IF(K171=0,"",TEXT(IF(K171&gt;=1000000000,K171/1000000000,IF(K171&gt;=1000000,K171/1000000,K171/1000)),IF(MOD(ROUND(IF(K171&gt;=1000000000,K171/1000000000,IF(K171&gt;=1000000,K171/1000000,K171/1000)),2),1)=0,"0","0.00"))&amp;IF(K171&gt;=1000000000," B VND",IF(K171&gt;=1000000," M VND","k")))</f>
        <v>1.60B VND</v>
      </c>
      <c r="T171" t="str">
        <f>IF(M171=0,"",TEXT(M171,IF(MOD(ROUND(M171,2),1)=0,"0","0.00"))&amp;" days")</f>
        <v/>
      </c>
      <c r="V171" s="155" t="inlineStr">
        <is>
          <t>Client Beta</t>
        </is>
      </c>
      <c r="W171" s="155" t="inlineStr">
        <is>
          <t>Senior Sales Rep 2</t>
        </is>
      </c>
      <c r="BF171" t="str">
        <f>L172</f>
        <v>Senior Sales Rep 2</v>
      </c>
      <c r="BG171">
        <f>M172</f>
        <v>16.70918235625</v>
      </c>
      <c r="BH171" t="str">
        <f>T172</f>
        <v>16.71 days</v>
      </c>
      <c r="BK171">
        <f>D171+E171</f>
        <v>2283113998.9526997</v>
      </c>
      <c r="BL171" t="str">
        <f>IF(D171=0,"–",IF(ABS(D171)&gt;=1000000000,TEXT(D171/1000000000,"0.00")&amp;"B",IF(ABS(D171)&gt;=1000000,TEXT(D171/1000000,"0.0")&amp;"M",TEXT(D171/1000,"0")&amp;"K")))</f>
        <v>2.28B</v>
      </c>
      <c r="BM171" t="str">
        <f>IF(E171=0,"–",IF(ABS(E171)&gt;=1000000000,TEXT(E171/1000000000,"0.00")&amp;"B",IF(ABS(E171)&gt;=1000000,TEXT(E171/1000000,"0.0")&amp;"M",TEXT(E171/1000,"0")&amp;"K")))</f>
        <v>–</v>
      </c>
      <c r="BN171" t="str">
        <f>IF(AND(D171&gt;0,BL171=""),P171,"")</f>
        <v>2.18B VND</v>
      </c>
      <c r="BO171" t="str">
        <f>IF(AND(E171&gt;0,BM171=""),Q171,"")</f>
        <v/>
      </c>
      <c r="BP171">
        <f>IF(BN171&lt;&gt;"",BK171+MAX($BK$170:$BK$176)*(0.015),NA())</f>
        <v>2868921253.921281</v>
      </c>
      <c r="BQ171" t="e">
        <f>IF(BO171&lt;&gt;"",BK171+MAX($BK$170:$BK$176)*(0.015+IF(BN171&lt;&gt;"",0.106551,0)),NA())</f>
        <v>#N/A</v>
      </c>
      <c r="BS171">
        <f>J171+K171</f>
        <v>30092673009.5268</v>
      </c>
      <c r="BT171" t="str">
        <f>IF(J171=0,"–",IF(ABS(J171)&gt;=1000000000,TEXT(J171/1000000000,"0.00")&amp;"B",IF(ABS(J171)&gt;=1000000,TEXT(J171/1000000,"0.0")&amp;"M",TEXT(J171/1000,"0")&amp;"K")))</f>
        <v>28.42B</v>
      </c>
      <c r="BU171" t="str">
        <f>IF(K171=0,"–",IF(ABS(K171)&gt;=1000000000,TEXT(K171/1000000000,"0.00")&amp;"B",IF(ABS(K171)&gt;=1000000,TEXT(K171/1000000,"0.0")&amp;"M",TEXT(K171/1000,"0")&amp;"K")))</f>
        <v>1.68B</v>
      </c>
      <c r="BV171" t="str">
        <f>IF(AND(J171&gt;0,BT171=""),R171,"")</f>
        <v/>
      </c>
      <c r="BW171" t="str">
        <f>IF(AND(K171&gt;0,BU171=""),S171,"")</f>
        <v>1.60B VND</v>
      </c>
      <c r="BX171" t="e">
        <f>IF(BV171&lt;&gt;"",BS171+MAX($BS$170:$BS$175)*(0.015),NA())</f>
        <v>#N/A</v>
      </c>
      <c r="BY171">
        <f>IF(BW171&lt;&gt;"",BS171+MAX($BS$170:$BS$175)*(0.015+IF(BV171&lt;&gt;"",0.106551,0)),NA())</f>
        <v>30544063104.6697</v>
      </c>
      <c r="CA171" t="inlineStr">
        <is>
          <t>Client Delta</t>
        </is>
      </c>
      <c r="CC171" t="str">
        <f>IF(AND(D171&gt;0,D171&gt;=MAX($B$170:$B$176)*0.12),IF(D171=0,"",IF(ABS(D171)&gt;=1000000000,IF(MOD(ROUND(D171/1000000000,2),1)=0,TEXT(D171/1000000000,"0"),TEXT(D171/1000000000,"0.00"))&amp;"B",IF(ABS(D171)&gt;=1000000,IF(MOD(ROUND(D171/1000000,2),1)=0,TEXT(D171/1000000,"0"),TEXT(D171/1000000,"0.00"))&amp;"M",IF(MOD(ROUND(D171/1000,2),1)=0,TEXT(D171/1000,"0"),TEXT(D171/1000,"0.00"))&amp;"K"))),"")</f>
        <v/>
      </c>
      <c r="CD171" t="str">
        <f>IF(AND(E171&gt;0,E171&gt;=MAX($B$170:$B$176)*0.12),IF(E171=0,"",IF(ABS(E171)&gt;=1000000000,IF(MOD(ROUND(E171/1000000000,2),1)=0,TEXT(E171/1000000000,"0"),TEXT(E171/1000000000,"0.00"))&amp;"B",IF(ABS(E171)&gt;=1000000,IF(MOD(ROUND(E171/1000000,2),1)=0,TEXT(E171/1000000,"0"),TEXT(E171/1000000,"0.00"))&amp;"M",IF(MOD(ROUND(E171/1000,2),1)=0,TEXT(E171/1000,"0"),TEXT(E171/1000,"0.00"))&amp;"K"))),"")</f>
        <v/>
      </c>
      <c r="CE171" t="str">
        <f>IF(AND(D171&gt;0,D171&lt;MAX($B$170:$B$176)*0.12),IF(D171=0,"",IF(ABS(D171)&gt;=1000000000,IF(MOD(ROUND(D171/1000000000,2),1)=0,TEXT(D171/1000000000,"0"),TEXT(D171/1000000000,"0.00"))&amp;"B",IF(ABS(D171)&gt;=1000000,IF(MOD(ROUND(D171/1000000,2),1)=0,TEXT(D171/1000000,"0"),TEXT(D171/1000000,"0.00"))&amp;"M",IF(MOD(ROUND(D171/1000,2),1)=0,TEXT(D171/1000,"0"),TEXT(D171/1000,"0.00"))&amp;"K"))),"")</f>
        <v>2.28B</v>
      </c>
      <c r="CF171" t="str">
        <f>IF(AND(E171&gt;0,E171&lt;MAX($B$170:$B$176)*0.12),IF(E171=0,"",IF(ABS(E171)&gt;=1000000000,IF(MOD(ROUND(E171/1000000000,2),1)=0,TEXT(E171/1000000000,"0"),TEXT(E171/1000000000,"0.00"))&amp;"B",IF(ABS(E171)&gt;=1000000,IF(MOD(ROUND(E171/1000000,2),1)=0,TEXT(E171/1000000,"0"),TEXT(E171/1000000,"0.00"))&amp;"M",IF(MOD(ROUND(E171/1000,2),1)=0,TEXT(E171/1000,"0"),TEXT(E171/1000,"0.00"))&amp;"K"))),"")</f>
        <v/>
      </c>
      <c r="CG171" t="n">
        <f>IF(AND(D171&gt;0,D171&lt;MAX($B$170:$B$176)*0.12),B171+MAX($B$170:$B$176)*0.03,0)</f>
        <v>3454728509.0</v>
      </c>
      <c r="CH171" t="n">
        <f>IF(AND(E171&gt;0,E171&lt;MAX($B$170:$B$176)*0.12),B171+MAX($B$170:$B$176)*IF(AND(D171&gt;0,D171&lt;MAX($B$170:$B$176)*0.12),0.1,0.03),0)</f>
        <v>0</v>
      </c>
      <c r="CI171" t="str">
        <f>IF(BG171=0,"",IF(MOD(ROUND(BG171,2),1)=0,TEXT(BG171,"0"),TEXT(BG171,"0.00"))&amp;" days")</f>
        <v>16.71 days</v>
      </c>
    </row>
    <row r="172" spans="1:78">
      <c r="A172" s="156" t="inlineStr">
        <is>
          <t>Client Alpha (Steel EPC)</t>
        </is>
      </c>
      <c r="B172" s="156">
        <f>SUMIFS('Current AR'!$V$6:$V$160,'Current AR'!$A$6:$A$160,A172)</f>
        <v>39053817000</v>
      </c>
      <c r="C172" s="156">
        <f>SUMIFS('Prior AR'!$V$6:$V$160,'Prior AR'!$A$6:$A$160,A172)</f>
        <v>23724532599</v>
      </c>
      <c r="D172" s="156">
        <f>SUMIFS('Current AR'!$V$6:$V$160,'Current AR'!$A$6:$A$160,A172,'Current AR'!$Q$6:$Q$160,"&lt;=0")</f>
        <v>36498405001</v>
      </c>
      <c r="E172" s="156">
        <f>SUMIFS('Current AR'!$V$6:$V$160,'Current AR'!$A$6:$A$160,A172,'Current AR'!$Q$6:$Q$160,"&gt;0")</f>
        <v>2555411999</v>
      </c>
      <c r="G172" s="156" t="inlineStr">
        <is>
          <t>Sales Rep 6</t>
        </is>
      </c>
      <c r="H172" s="156">
        <f>SUMIFS('Current AR'!$V$6:$V$160,'Current AR'!$J$6:$J$160,G172)</f>
        <v>2283113999</v>
      </c>
      <c r="I172" s="156">
        <f>SUMIFS('Prior AR'!$V$6:$V$160,'Prior AR'!$J$6:$J$160,G172)</f>
        <v>0</v>
      </c>
      <c r="J172" s="156">
        <f>H172-K172</f>
        <v>2283113999</v>
      </c>
      <c r="K172" s="156">
        <f>SUMIFS('Current AR'!$V$6:$V$160,'Current AR'!$J$6:$J$160,G172,'Current AR'!$Q$6:$Q$160,"&gt;0")</f>
        <v>0</v>
      </c>
      <c r="L172" s="156" t="str">
        <f>G172</f>
        <v>Sales Rep 6</v>
      </c>
      <c r="M172" s="163">
        <f>IF(K172=0,0,SUMIFS('Current AR'!$W$6:$W$160,'Current AR'!$J$6:$J$160,G172,'Current AR'!$U$6:$U$160,1)/K172)</f>
        <v>0</v>
      </c>
      <c r="P172" t="str">
        <f>IF(D172=0,"",TEXT(IF(D172&gt;=1000000000,D172/1000000000,IF(D172&gt;=1000000,D172/1000000,D172/1000)),IF(MOD(ROUND(IF(D172&gt;=1000000000,D172/1000000000,IF(D172&gt;=1000000,D172/1000000,D172/1000)),2),1)=0,"0","0.00"))&amp;IF(D172&gt;=1000000000," B VND",IF(D172&gt;=1000000," M VND","k")))</f>
        <v>34.85B VND</v>
      </c>
      <c r="Q172" t="str">
        <f>IF(E172=0,"",TEXT(IF(E172&gt;=1000000000,E172/1000000000,IF(E172&gt;=1000000,E172/1000000,E172/1000)),IF(MOD(ROUND(IF(E172&gt;=1000000000,E172/1000000000,IF(E172&gt;=1000000,E172/1000000,E172/1000)),2),1)=0,"0","0.00"))&amp;IF(E172&gt;=1000000000," B VND",IF(E172&gt;=1000000," M VND","k")))</f>
        <v>2.44B VND</v>
      </c>
      <c r="R172" t="str">
        <f>IF(J172=0,"",TEXT(IF(J172&gt;=1000000000,J172/1000000000,IF(J172&gt;=1000000,J172/1000000,J172/1000)),IF(MOD(ROUND(IF(J172&gt;=1000000000,J172/1000000000,IF(J172&gt;=1000000,J172/1000000,J172/1000)),2),1)=0,"0","0.00"))&amp;IF(J172&gt;=1000000000," B VND",IF(J172&gt;=1000000," M VND","k")))</f>
        <v/>
      </c>
      <c r="S172" t="str">
        <f>IF(K172=0,"",TEXT(IF(K172&gt;=1000000000,K172/1000000000,IF(K172&gt;=1000000,K172/1000000,K172/1000)),IF(MOD(ROUND(IF(K172&gt;=1000000000,K172/1000000000,IF(K172&gt;=1000000,K172/1000000,K172/1000)),2),1)=0,"0","0.00"))&amp;IF(K172&gt;=1000000000," B VND",IF(K172&gt;=1000000," M VND","k")))</f>
        <v/>
      </c>
      <c r="T172" t="str">
        <f>IF(M172=0,"",TEXT(M172,IF(MOD(ROUND(M172,2),1)=0,"0","0.00"))&amp;" days")</f>
        <v>16.71 days</v>
      </c>
      <c r="V172" s="155" t="inlineStr">
        <is>
          <t>CUST0045</t>
        </is>
      </c>
      <c r="W172" s="155" t="inlineStr">
        <is>
          <t>Senior Sales Rep 1</t>
        </is>
      </c>
      <c r="BF172" t="str">
        <f>L173</f>
        <v>Sales Rep 6</v>
      </c>
      <c r="BG172">
        <f>M173</f>
        <v>0</v>
      </c>
      <c r="BH172" t="str">
        <f>T173</f>
        <v/>
      </c>
      <c r="BK172">
        <f>D172+E172</f>
        <v>39053816997.905396</v>
      </c>
      <c r="BL172" t="str">
        <f>IF(D172=0,"–",IF(ABS(D172)&gt;=1000000000,TEXT(D172/1000000000,"0.00")&amp;"B",IF(ABS(D172)&gt;=1000000,TEXT(D172/1000000,"0.0")&amp;"M",TEXT(D172/1000,"0")&amp;"K")))</f>
        <v>36.50B</v>
      </c>
      <c r="BM172" t="str">
        <f>IF(E172=0,"–",IF(ABS(E172)&gt;=1000000000,TEXT(E172/1000000000,"0.00")&amp;"B",IF(ABS(E172)&gt;=1000000,TEXT(E172/1000000,"0.0")&amp;"M",TEXT(E172/1000,"0")&amp;"K")))</f>
        <v>2.56B</v>
      </c>
      <c r="BN172" t="str">
        <f>IF(AND(D172&gt;0,BL172=""),P172,"")</f>
        <v/>
      </c>
      <c r="BO172" t="str">
        <f>IF(AND(E172&gt;0,BM172=""),Q172,"")</f>
        <v>2.44B VND</v>
      </c>
      <c r="BP172" t="e">
        <f>IF(BN172&lt;&gt;"",BK172+MAX($BK$170:$BK$176)*(0.015),NA())</f>
        <v>#N/A</v>
      </c>
      <c r="BQ172">
        <f>IF(BO172&lt;&gt;"",BK172+MAX($BK$170:$BK$176)*(0.015+IF(BN172&lt;&gt;"",0.106551,0)),NA())</f>
        <v>39639624252.87398</v>
      </c>
      <c r="BS172">
        <f>J172+K172</f>
        <v>0</v>
      </c>
      <c r="BT172" t="str">
        <f>IF(J172=0,"–",IF(ABS(J172)&gt;=1000000000,TEXT(J172/1000000000,"0.00")&amp;"B",IF(ABS(J172)&gt;=1000000,TEXT(J172/1000000,"0.0")&amp;"M",TEXT(J172/1000,"0")&amp;"K")))</f>
        <v>2.28B</v>
      </c>
      <c r="BU172" t="str">
        <f>IF(K172=0,"–",IF(ABS(K172)&gt;=1000000000,TEXT(K172/1000000000,"0.00")&amp;"B",IF(ABS(K172)&gt;=1000000,TEXT(K172/1000000,"0.0")&amp;"M",TEXT(K172/1000,"0")&amp;"K")))</f>
        <v>–</v>
      </c>
      <c r="BV172" t="str">
        <f>IF(AND(J172&gt;0,BT172=""),R172,"")</f>
        <v/>
      </c>
      <c r="BW172" t="str">
        <f>IF(AND(K172&gt;0,BU172=""),S172,"")</f>
        <v/>
      </c>
      <c r="BX172" t="e">
        <f>IF(BV172&lt;&gt;"",BS172+MAX($BS$170:$BS$175)*(0.015),NA())</f>
        <v>#N/A</v>
      </c>
      <c r="BY172" t="e">
        <f>IF(BW172&lt;&gt;"",BS172+MAX($BS$170:$BS$175)*(0.015+IF(BV172&lt;&gt;"",0.106551,0)),NA())</f>
        <v>#N/A</v>
      </c>
      <c r="CA172" t="inlineStr">
        <is>
          <t>Client Alpha</t>
        </is>
      </c>
      <c r="CC172" t="str">
        <f>IF(AND(D172&gt;0,D172&gt;=MAX($B$170:$B$176)*0.12),IF(D172=0,"",IF(ABS(D172)&gt;=1000000000,IF(MOD(ROUND(D172/1000000000,2),1)=0,TEXT(D172/1000000000,"0"),TEXT(D172/1000000000,"0.00"))&amp;"B",IF(ABS(D172)&gt;=1000000,IF(MOD(ROUND(D172/1000000,2),1)=0,TEXT(D172/1000000,"0"),TEXT(D172/1000000,"0.00"))&amp;"M",IF(MOD(ROUND(D172/1000,2),1)=0,TEXT(D172/1000,"0"),TEXT(D172/1000,"0.00"))&amp;"K"))),"")</f>
        <v>36.50B</v>
      </c>
      <c r="CD172" t="str">
        <f>IF(AND(E172&gt;0,E172&gt;=MAX($B$170:$B$176)*0.12),IF(E172=0,"",IF(ABS(E172)&gt;=1000000000,IF(MOD(ROUND(E172/1000000000,2),1)=0,TEXT(E172/1000000000,"0"),TEXT(E172/1000000000,"0.00"))&amp;"B",IF(ABS(E172)&gt;=1000000,IF(MOD(ROUND(E172/1000000,2),1)=0,TEXT(E172/1000000,"0"),TEXT(E172/1000000,"0.00"))&amp;"M",IF(MOD(ROUND(E172/1000,2),1)=0,TEXT(E172/1000,"0"),TEXT(E172/1000,"0.00"))&amp;"K"))),"")</f>
        <v/>
      </c>
      <c r="CE172" t="str">
        <f>IF(AND(D172&gt;0,D172&lt;MAX($B$170:$B$176)*0.12),IF(D172=0,"",IF(ABS(D172)&gt;=1000000000,IF(MOD(ROUND(D172/1000000000,2),1)=0,TEXT(D172/1000000000,"0"),TEXT(D172/1000000000,"0.00"))&amp;"B",IF(ABS(D172)&gt;=1000000,IF(MOD(ROUND(D172/1000000,2),1)=0,TEXT(D172/1000000,"0"),TEXT(D172/1000000,"0.00"))&amp;"M",IF(MOD(ROUND(D172/1000,2),1)=0,TEXT(D172/1000,"0"),TEXT(D172/1000,"0.00"))&amp;"K"))),"")</f>
        <v/>
      </c>
      <c r="CF172" t="str">
        <f>IF(AND(E172&gt;0,E172&lt;MAX($B$170:$B$176)*0.12),IF(E172=0,"",IF(ABS(E172)&gt;=1000000000,IF(MOD(ROUND(E172/1000000000,2),1)=0,TEXT(E172/1000000000,"0"),TEXT(E172/1000000000,"0.00"))&amp;"B",IF(ABS(E172)&gt;=1000000,IF(MOD(ROUND(E172/1000000,2),1)=0,TEXT(E172/1000000,"0"),TEXT(E172/1000000,"0.00"))&amp;"M",IF(MOD(ROUND(E172/1000,2),1)=0,TEXT(E172/1000,"0"),TEXT(E172/1000,"0.00"))&amp;"K"))),"")</f>
        <v>2.56B</v>
      </c>
      <c r="CG172" t="n">
        <f>IF(AND(D172&gt;0,D172&lt;MAX($B$170:$B$176)*0.12),B172+MAX($B$170:$B$176)*0.03,0)</f>
        <v>0</v>
      </c>
      <c r="CH172" t="n">
        <f>IF(AND(E172&gt;0,E172&lt;MAX($B$170:$B$176)*0.12),B172+MAX($B$170:$B$176)*IF(AND(D172&gt;0,D172&lt;MAX($B$170:$B$176)*0.12),0.1,0.03),0)</f>
        <v>40225431510.0</v>
      </c>
      <c r="CI172" t="str">
        <f>IF(BG172=0,"",IF(MOD(ROUND(BG172,2),1)=0,TEXT(BG172,"0"),TEXT(BG172,"0.00"))&amp;" days")</f>
        <v/>
      </c>
    </row>
    <row r="173" spans="1:78">
      <c r="A173" s="156" t="inlineStr">
        <is>
          <t>Client Alpha Sub-Contract</t>
        </is>
      </c>
      <c r="B173" s="156">
        <f>SUMIFS('Current AR'!$V$6:$V$160,'Current AR'!$A$6:$A$160,A173)</f>
        <v>3653181387</v>
      </c>
      <c r="C173" s="156">
        <f>SUMIFS('Prior AR'!$V$6:$V$160,'Prior AR'!$A$6:$A$160,A173)</f>
        <v>4505176911</v>
      </c>
      <c r="D173" s="156">
        <f>SUMIFS('Current AR'!$V$6:$V$160,'Current AR'!$A$6:$A$160,A173,'Current AR'!$Q$6:$Q$160,"&lt;=0")</f>
        <v>1977501387</v>
      </c>
      <c r="E173" s="156">
        <f>SUMIFS('Current AR'!$V$6:$V$160,'Current AR'!$A$6:$A$160,A173,'Current AR'!$Q$6:$Q$160,"&gt;0")</f>
        <v>1675680000</v>
      </c>
      <c r="G173" s="156" t="inlineStr">
        <is>
          <t>Sales Rep 4</t>
        </is>
      </c>
      <c r="H173" s="156">
        <f>SUMIFS('Current AR'!$V$6:$V$160,'Current AR'!$J$6:$J$160,G173)</f>
        <v>43462950</v>
      </c>
      <c r="I173" s="156">
        <f>SUMIFS('Prior AR'!$V$6:$V$160,'Prior AR'!$J$6:$J$160,G173)</f>
        <v>0</v>
      </c>
      <c r="J173" s="156">
        <f>H173-K173</f>
        <v>43462950</v>
      </c>
      <c r="K173" s="156">
        <f>SUMIFS('Current AR'!$V$6:$V$160,'Current AR'!$J$6:$J$160,G173,'Current AR'!$Q$6:$Q$160,"&gt;0")</f>
        <v>0</v>
      </c>
      <c r="L173" s="156" t="str">
        <f>G173</f>
        <v>Sales Rep 4</v>
      </c>
      <c r="M173" s="163">
        <f>IF(K173=0,0,SUMIFS('Current AR'!$W$6:$W$160,'Current AR'!$J$6:$J$160,G173,'Current AR'!$U$6:$U$160,1)/K173)</f>
        <v>0</v>
      </c>
      <c r="P173" t="str">
        <f>IF(D173=0,"",TEXT(IF(D173&gt;=1000000000,D173/1000000000,IF(D173&gt;=1000000,D173/1000000,D173/1000)),IF(MOD(ROUND(IF(D173&gt;=1000000000,D173/1000000000,IF(D173&gt;=1000000,D173/1000000,D173/1000)),2),1)=0,"0","0.00"))&amp;IF(D173&gt;=1000000000," B VND",IF(D173&gt;=1000000," M VND","k")))</f>
        <v>1.89B VND</v>
      </c>
      <c r="Q173" t="str">
        <f>IF(E173=0,"",TEXT(IF(E173&gt;=1000000000,E173/1000000000,IF(E173&gt;=1000000,E173/1000000,E173/1000)),IF(MOD(ROUND(IF(E173&gt;=1000000000,E173/1000000000,IF(E173&gt;=1000000,E173/1000000,E173/1000)),2),1)=0,"0","0.00"))&amp;IF(E173&gt;=1000000000," B VND",IF(E173&gt;=1000000," M VND","k")))</f>
        <v>1.60B VND</v>
      </c>
      <c r="R173" t="str">
        <f>IF(J173=0,"",TEXT(IF(J173&gt;=1000000000,J173/1000000000,IF(J173&gt;=1000000,J173/1000000,J173/1000)),IF(MOD(ROUND(IF(J173&gt;=1000000000,J173/1000000000,IF(J173&gt;=1000000,J173/1000000,J173/1000)),2),1)=0,"0","0.00"))&amp;IF(J173&gt;=1000000000," B VND",IF(J173&gt;=1000000," M VND","k")))</f>
        <v>41.50M VND</v>
      </c>
      <c r="S173" t="str">
        <f>IF(K173=0,"",TEXT(IF(K173&gt;=1000000000,K173/1000000000,IF(K173&gt;=1000000,K173/1000000,K173/1000)),IF(MOD(ROUND(IF(K173&gt;=1000000000,K173/1000000000,IF(K173&gt;=1000000,K173/1000000,K173/1000)),2),1)=0,"0","0.00"))&amp;IF(K173&gt;=1000000000," B VND",IF(K173&gt;=1000000," M VND","k")))</f>
        <v/>
      </c>
      <c r="T173" t="str">
        <f>IF(M173=0,"",TEXT(M173,IF(MOD(ROUND(M173,2),1)=0,"0","0.00"))&amp;" days")</f>
        <v/>
      </c>
      <c r="V173" s="155" t="inlineStr">
        <is>
          <t>Client Alpha</t>
        </is>
      </c>
      <c r="W173" s="155" t="inlineStr">
        <is>
          <t>Sales Rep 5</t>
        </is>
      </c>
      <c r="BF173" t="str">
        <f>L174</f>
        <v>Sales Rep 4</v>
      </c>
      <c r="BG173">
        <f>M174</f>
        <v>0</v>
      </c>
      <c r="BH173" t="str">
        <f>T174</f>
        <v/>
      </c>
      <c r="BK173">
        <f>D173+E173</f>
        <v>3653181386.9999995</v>
      </c>
      <c r="BL173" t="str">
        <f>IF(D173=0,"–",IF(ABS(D173)&gt;=1000000000,TEXT(D173/1000000000,"0.00")&amp;"B",IF(ABS(D173)&gt;=1000000,TEXT(D173/1000000,"0.0")&amp;"M",TEXT(D173/1000,"0")&amp;"K")))</f>
        <v>1.98B</v>
      </c>
      <c r="BM173" t="str">
        <f>IF(E173=0,"–",IF(ABS(E173)&gt;=1000000000,TEXT(E173/1000000000,"0.00")&amp;"B",IF(ABS(E173)&gt;=1000000,TEXT(E173/1000000,"0.0")&amp;"M",TEXT(E173/1000,"0")&amp;"K")))</f>
        <v>1.68B</v>
      </c>
      <c r="BN173" t="str">
        <f>IF(AND(D173&gt;0,BL173=""),P173,"")</f>
        <v>1.89B VND</v>
      </c>
      <c r="BO173" t="str">
        <f>IF(AND(E173&gt;0,BM173=""),Q173,"")</f>
        <v>1.60B VND</v>
      </c>
      <c r="BP173">
        <f>IF(BN173&lt;&gt;"",BK173+MAX($BK$170:$BK$176)*(0.015),NA())</f>
        <v>4238988641.9685807</v>
      </c>
      <c r="BQ173">
        <f>IF(BO173&lt;&gt;"",BK173+MAX($BK$170:$BK$176)*(0.015+IF(BN173&lt;&gt;"",0.106551,0)),NA())</f>
        <v>8400211896.912398</v>
      </c>
      <c r="BS173">
        <f>J173+K173</f>
        <v>43462949.99999999</v>
      </c>
      <c r="BT173" t="str">
        <f>IF(J173=0,"–",IF(ABS(J173)&gt;=1000000000,TEXT(J173/1000000000,"0.00")&amp;"B",IF(ABS(J173)&gt;=1000000,TEXT(J173/1000000,"0.0")&amp;"M",TEXT(J173/1000,"0")&amp;"K")))</f>
        <v>43.5M</v>
      </c>
      <c r="BU173" t="str">
        <f>IF(K173=0,"–",IF(ABS(K173)&gt;=1000000000,TEXT(K173/1000000000,"0.00")&amp;"B",IF(ABS(K173)&gt;=1000000,TEXT(K173/1000000,"0.0")&amp;"M",TEXT(K173/1000,"0")&amp;"K")))</f>
        <v>–</v>
      </c>
      <c r="BV173" t="str">
        <f>IF(AND(J173&gt;0,BT173=""),R173,"")</f>
        <v>41.50M VND</v>
      </c>
      <c r="BW173" t="str">
        <f>IF(AND(K173&gt;0,BU173=""),S173,"")</f>
        <v/>
      </c>
      <c r="BX173">
        <f>IF(BV173&lt;&gt;"",BS173+MAX($BS$170:$BS$175)*(0.015),NA())</f>
        <v>494853045.14290196</v>
      </c>
      <c r="BY173" t="e">
        <f>IF(BW173&lt;&gt;"",BS173+MAX($BS$170:$BS$175)*(0.015+IF(BV173&lt;&gt;"",0.106551,0)),NA())</f>
        <v>#N/A</v>
      </c>
      <c r="CA173" t="inlineStr">
        <is>
          <t>Client Alpha (SC)</t>
        </is>
      </c>
      <c r="CC173" t="str">
        <f>IF(AND(D173&gt;0,D173&gt;=MAX($B$170:$B$176)*0.12),IF(D173=0,"",IF(ABS(D173)&gt;=1000000000,IF(MOD(ROUND(D173/1000000000,2),1)=0,TEXT(D173/1000000000,"0"),TEXT(D173/1000000000,"0.00"))&amp;"B",IF(ABS(D173)&gt;=1000000,IF(MOD(ROUND(D173/1000000,2),1)=0,TEXT(D173/1000000,"0"),TEXT(D173/1000000,"0.00"))&amp;"M",IF(MOD(ROUND(D173/1000,2),1)=0,TEXT(D173/1000,"0"),TEXT(D173/1000,"0.00"))&amp;"K"))),"")</f>
        <v/>
      </c>
      <c r="CD173" t="str">
        <f>IF(AND(E173&gt;0,E173&gt;=MAX($B$170:$B$176)*0.12),IF(E173=0,"",IF(ABS(E173)&gt;=1000000000,IF(MOD(ROUND(E173/1000000000,2),1)=0,TEXT(E173/1000000000,"0"),TEXT(E173/1000000000,"0.00"))&amp;"B",IF(ABS(E173)&gt;=1000000,IF(MOD(ROUND(E173/1000000,2),1)=0,TEXT(E173/1000000,"0"),TEXT(E173/1000000,"0.00"))&amp;"M",IF(MOD(ROUND(E173/1000,2),1)=0,TEXT(E173/1000,"0"),TEXT(E173/1000,"0.00"))&amp;"K"))),"")</f>
        <v/>
      </c>
      <c r="CE173" t="str">
        <f>IF(AND(D173&gt;0,D173&lt;MAX($B$170:$B$176)*0.12),IF(D173=0,"",IF(ABS(D173)&gt;=1000000000,IF(MOD(ROUND(D173/1000000000,2),1)=0,TEXT(D173/1000000000,"0"),TEXT(D173/1000000000,"0.00"))&amp;"B",IF(ABS(D173)&gt;=1000000,IF(MOD(ROUND(D173/1000000,2),1)=0,TEXT(D173/1000000,"0"),TEXT(D173/1000000,"0.00"))&amp;"M",IF(MOD(ROUND(D173/1000,2),1)=0,TEXT(D173/1000,"0"),TEXT(D173/1000,"0.00"))&amp;"K"))),"")</f>
        <v>1.98B</v>
      </c>
      <c r="CF173" t="str">
        <f>IF(AND(E173&gt;0,E173&lt;MAX($B$170:$B$176)*0.12),IF(E173=0,"",IF(ABS(E173)&gt;=1000000000,IF(MOD(ROUND(E173/1000000000,2),1)=0,TEXT(E173/1000000000,"0"),TEXT(E173/1000000000,"0.00"))&amp;"B",IF(ABS(E173)&gt;=1000000,IF(MOD(ROUND(E173/1000000,2),1)=0,TEXT(E173/1000000,"0"),TEXT(E173/1000000,"0.00"))&amp;"M",IF(MOD(ROUND(E173/1000,2),1)=0,TEXT(E173/1000,"0"),TEXT(E173/1000,"0.00"))&amp;"K"))),"")</f>
        <v>1.68B</v>
      </c>
      <c r="CG173" t="n">
        <f>IF(AND(D173&gt;0,D173&lt;MAX($B$170:$B$176)*0.12),B173+MAX($B$170:$B$176)*0.03,0)</f>
        <v>4824795897.0</v>
      </c>
      <c r="CH173" t="n">
        <f>IF(AND(E173&gt;0,E173&lt;MAX($B$170:$B$176)*0.12),B173+MAX($B$170:$B$176)*IF(AND(D173&gt;0,D173&lt;MAX($B$170:$B$176)*0.12),0.1,0.03),0)</f>
        <v>7558563087.0</v>
      </c>
      <c r="CI173" t="str">
        <f>IF(BG173=0,"",IF(MOD(ROUND(BG173,2),1)=0,TEXT(BG173,"0"),TEXT(BG173,"0.00"))&amp;" days")</f>
        <v/>
      </c>
    </row>
    <row r="174" spans="1:78">
      <c r="A174" s="156" t="inlineStr">
        <is>
          <t>Client Epsilon (Equipment)</t>
        </is>
      </c>
      <c r="B174" s="156">
        <f>SUMIFS('Current AR'!$V$6:$V$160,'Current AR'!$A$6:$A$160,A174)</f>
        <v>43462950</v>
      </c>
      <c r="C174" s="156">
        <f>SUMIFS('Prior AR'!$V$6:$V$160,'Prior AR'!$A$6:$A$160,A174)</f>
        <v>0</v>
      </c>
      <c r="D174" s="156">
        <f>SUMIFS('Current AR'!$V$6:$V$160,'Current AR'!$A$6:$A$160,A174,'Current AR'!$Q$6:$Q$160,"&lt;=0")</f>
        <v>43462950</v>
      </c>
      <c r="E174" s="156">
        <f>SUMIFS('Current AR'!$V$6:$V$160,'Current AR'!$A$6:$A$160,A174,'Current AR'!$Q$6:$Q$160,"&gt;0")</f>
        <v>0</v>
      </c>
      <c r="G174" s="156" t="inlineStr">
        <is>
          <t>Sales Rep 5</t>
        </is>
      </c>
      <c r="H174" s="156">
        <f>SUMIFS('Current AR'!$V$6:$V$160,'Current AR'!$J$6:$J$160,G174)</f>
        <v>324663</v>
      </c>
      <c r="I174" s="156">
        <f>SUMIFS('Prior AR'!$V$6:$V$160,'Prior AR'!$J$6:$J$160,G174)</f>
        <v>333943</v>
      </c>
      <c r="J174" s="156">
        <f>H174-K174</f>
        <v>324663</v>
      </c>
      <c r="K174" s="156">
        <f>SUMIFS('Current AR'!$V$6:$V$160,'Current AR'!$J$6:$J$160,G174,'Current AR'!$Q$6:$Q$160,"&gt;0")</f>
        <v>0</v>
      </c>
      <c r="L174" s="156" t="str">
        <f>G174</f>
        <v>Sales Rep 5</v>
      </c>
      <c r="M174" s="163">
        <f>IF(K174=0,0,SUMIFS('Current AR'!$W$6:$W$160,'Current AR'!$J$6:$J$160,G174,'Current AR'!$U$6:$U$160,1)/K174)</f>
        <v>0</v>
      </c>
      <c r="P174" t="str">
        <f>IF(D174=0,"",TEXT(IF(D174&gt;=1000000000,D174/1000000000,IF(D174&gt;=1000000,D174/1000000,D174/1000)),IF(MOD(ROUND(IF(D174&gt;=1000000000,D174/1000000000,IF(D174&gt;=1000000,D174/1000000,D174/1000)),2),1)=0,"0","0.00"))&amp;IF(D174&gt;=1000000000," B VND",IF(D174&gt;=1000000," M VND","k")))</f>
        <v>41.50M VND</v>
      </c>
      <c r="Q174" t="str">
        <f>IF(E174=0,"",TEXT(IF(E174&gt;=1000000000,E174/1000000000,IF(E174&gt;=1000000,E174/1000000,E174/1000)),IF(MOD(ROUND(IF(E174&gt;=1000000000,E174/1000000000,IF(E174&gt;=1000000,E174/1000000,E174/1000)),2),1)=0,"0","0.00"))&amp;IF(E174&gt;=1000000000," B VND",IF(E174&gt;=1000000," M VND","k")))</f>
        <v/>
      </c>
      <c r="R174" t="str">
        <f>IF(J174=0,"",TEXT(IF(J174&gt;=1000000000,J174/1000000000,IF(J174&gt;=1000000,J174/1000000,J174/1000)),IF(MOD(ROUND(IF(J174&gt;=1000000000,J174/1000000000,IF(J174&gt;=1000000,J174/1000000,J174/1000)),2),1)=0,"0","0.00"))&amp;IF(J174&gt;=1000000000," B VND",IF(J174&gt;=1000000," M VND","k")))</f>
        <v>310k</v>
      </c>
      <c r="S174" t="str">
        <f>IF(K174=0,"",TEXT(IF(K174&gt;=1000000000,K174/1000000000,IF(K174&gt;=1000000,K174/1000000,K174/1000)),IF(MOD(ROUND(IF(K174&gt;=1000000000,K174/1000000000,IF(K174&gt;=1000000,K174/1000000,K174/1000)),2),1)=0,"0","0.00"))&amp;IF(K174&gt;=1000000000," B VND",IF(K174&gt;=1000000," M VND","k")))</f>
        <v/>
      </c>
      <c r="T174" t="str">
        <f>IF(M174=0,"",TEXT(M174,IF(MOD(ROUND(M174,2),1)=0,"0","0.00"))&amp;" days")</f>
        <v/>
      </c>
      <c r="V174" s="155" t="inlineStr">
        <is>
          <t>Client Alpha (SC)</t>
        </is>
      </c>
      <c r="W174" s="155" t="inlineStr">
        <is>
          <t>Sales Rep 4</t>
        </is>
      </c>
      <c r="BF174" t="str">
        <f>L175</f>
        <v>Sales Rep 5</v>
      </c>
      <c r="BG174">
        <f>M175</f>
        <v>0</v>
      </c>
      <c r="BH174" t="str">
        <f>T175</f>
        <v/>
      </c>
      <c r="BK174">
        <f>D174+E174</f>
        <v>43462949.99999999</v>
      </c>
      <c r="BL174" t="str">
        <f>IF(D174=0,"–",IF(ABS(D174)&gt;=1000000000,TEXT(D174/1000000000,"0.00")&amp;"B",IF(ABS(D174)&gt;=1000000,TEXT(D174/1000000,"0.0")&amp;"M",TEXT(D174/1000,"0")&amp;"K")))</f>
        <v>43.5M</v>
      </c>
      <c r="BM174" t="str">
        <f>IF(E174=0,"–",IF(ABS(E174)&gt;=1000000000,TEXT(E174/1000000000,"0.00")&amp;"B",IF(ABS(E174)&gt;=1000000,TEXT(E174/1000000,"0.0")&amp;"M",TEXT(E174/1000,"0")&amp;"K")))</f>
        <v>–</v>
      </c>
      <c r="BN174" t="str">
        <f>IF(AND(D174&gt;0,BL174=""),P174,"")</f>
        <v>41.50M VND</v>
      </c>
      <c r="BO174" t="str">
        <f>IF(AND(E174&gt;0,BM174=""),Q174,"")</f>
        <v/>
      </c>
      <c r="BP174">
        <f>IF(BN174&lt;&gt;"",BK174+MAX($BK$170:$BK$176)*(0.015),NA())</f>
        <v>629270204.968581</v>
      </c>
      <c r="BQ174" t="e">
        <f>IF(BO174&lt;&gt;"",BK174+MAX($BK$170:$BK$176)*(0.015+IF(BN174&lt;&gt;"",0.106551,0)),NA())</f>
        <v>#N/A</v>
      </c>
      <c r="BS174">
        <f>J174+K174</f>
        <v>324662.99999999994</v>
      </c>
      <c r="BT174" t="str">
        <f>IF(J174=0,"–",IF(ABS(J174)&gt;=1000000000,TEXT(J174/1000000000,"0.00")&amp;"B",IF(ABS(J174)&gt;=1000000,TEXT(J174/1000000,"0.0")&amp;"M",TEXT(J174/1000,"0")&amp;"K")))</f>
        <v>325K</v>
      </c>
      <c r="BU174" t="str">
        <f>IF(K174=0,"–",IF(ABS(K174)&gt;=1000000000,TEXT(K174/1000000000,"0.00")&amp;"B",IF(ABS(K174)&gt;=1000000,TEXT(K174/1000000,"0.0")&amp;"M",TEXT(K174/1000,"0")&amp;"K")))</f>
        <v>–</v>
      </c>
      <c r="BV174" t="str">
        <f>IF(AND(J174&gt;0,BT174=""),R174,"")</f>
        <v>310k</v>
      </c>
      <c r="BW174" t="str">
        <f>IF(AND(K174&gt;0,BU174=""),S174,"")</f>
        <v/>
      </c>
      <c r="BX174">
        <f>IF(BV174&lt;&gt;"",BS174+MAX($BS$170:$BS$175)*(0.015),NA())</f>
        <v>451714758.14290196</v>
      </c>
      <c r="BY174" t="e">
        <f>IF(BW174&lt;&gt;"",BS174+MAX($BS$170:$BS$175)*(0.015+IF(BV174&lt;&gt;"",0.106551,0)),NA())</f>
        <v>#N/A</v>
      </c>
      <c r="CA174" t="inlineStr">
        <is>
          <t>Client Epsilon</t>
        </is>
      </c>
      <c r="CC174" t="str">
        <f>IF(AND(D174&gt;0,D174&gt;=MAX($B$170:$B$176)*0.12),IF(D174=0,"",IF(ABS(D174)&gt;=1000000000,IF(MOD(ROUND(D174/1000000000,2),1)=0,TEXT(D174/1000000000,"0"),TEXT(D174/1000000000,"0.00"))&amp;"B",IF(ABS(D174)&gt;=1000000,IF(MOD(ROUND(D174/1000000,2),1)=0,TEXT(D174/1000000,"0"),TEXT(D174/1000000,"0.00"))&amp;"M",IF(MOD(ROUND(D174/1000,2),1)=0,TEXT(D174/1000,"0"),TEXT(D174/1000,"0.00"))&amp;"K"))),"")</f>
        <v/>
      </c>
      <c r="CD174" t="str">
        <f>IF(AND(E174&gt;0,E174&gt;=MAX($B$170:$B$176)*0.12),IF(E174=0,"",IF(ABS(E174)&gt;=1000000000,IF(MOD(ROUND(E174/1000000000,2),1)=0,TEXT(E174/1000000000,"0"),TEXT(E174/1000000000,"0.00"))&amp;"B",IF(ABS(E174)&gt;=1000000,IF(MOD(ROUND(E174/1000000,2),1)=0,TEXT(E174/1000000,"0"),TEXT(E174/1000000,"0.00"))&amp;"M",IF(MOD(ROUND(E174/1000,2),1)=0,TEXT(E174/1000,"0"),TEXT(E174/1000,"0.00"))&amp;"K"))),"")</f>
        <v/>
      </c>
      <c r="CE174" t="str">
        <f>IF(AND(D174&gt;0,D174&lt;MAX($B$170:$B$176)*0.12),IF(D174=0,"",IF(ABS(D174)&gt;=1000000000,IF(MOD(ROUND(D174/1000000000,2),1)=0,TEXT(D174/1000000000,"0"),TEXT(D174/1000000000,"0.00"))&amp;"B",IF(ABS(D174)&gt;=1000000,IF(MOD(ROUND(D174/1000000,2),1)=0,TEXT(D174/1000000,"0"),TEXT(D174/1000000,"0.00"))&amp;"M",IF(MOD(ROUND(D174/1000,2),1)=0,TEXT(D174/1000,"0"),TEXT(D174/1000,"0.00"))&amp;"K"))),"")</f>
        <v>43.46M</v>
      </c>
      <c r="CF174" t="str">
        <f>IF(AND(E174&gt;0,E174&lt;MAX($B$170:$B$176)*0.12),IF(E174=0,"",IF(ABS(E174)&gt;=1000000000,IF(MOD(ROUND(E174/1000000000,2),1)=0,TEXT(E174/1000000000,"0"),TEXT(E174/1000000000,"0.00"))&amp;"B",IF(ABS(E174)&gt;=1000000,IF(MOD(ROUND(E174/1000000,2),1)=0,TEXT(E174/1000000,"0"),TEXT(E174/1000000,"0.00"))&amp;"M",IF(MOD(ROUND(E174/1000,2),1)=0,TEXT(E174/1000,"0"),TEXT(E174/1000,"0.00"))&amp;"K"))),"")</f>
        <v/>
      </c>
      <c r="CG174" t="n">
        <f>IF(AND(D174&gt;0,D174&lt;MAX($B$170:$B$176)*0.12),B174+MAX($B$170:$B$176)*0.03,0)</f>
        <v>1215077460.0</v>
      </c>
      <c r="CH174" t="n">
        <f>IF(AND(E174&gt;0,E174&lt;MAX($B$170:$B$176)*0.12),B174+MAX($B$170:$B$176)*IF(AND(D174&gt;0,D174&lt;MAX($B$170:$B$176)*0.12),0.1,0.03),0)</f>
        <v>0</v>
      </c>
      <c r="CI174" t="str">
        <f>IF(BG174=0,"",IF(MOD(ROUND(BG174,2),1)=0,TEXT(BG174,"0"),TEXT(BG174,"0.00"))&amp;" days")</f>
        <v/>
      </c>
    </row>
    <row r="175" spans="1:78">
      <c r="A175" s="156" t="inlineStr">
        <is>
          <t>Client Zeta (Building Tech)</t>
        </is>
      </c>
      <c r="B175" s="156">
        <f>SUMIFS('Current AR'!$V$6:$V$160,'Current AR'!$A$6:$A$160,A175)</f>
        <v>324663</v>
      </c>
      <c r="C175" s="156">
        <f>SUMIFS('Prior AR'!$V$6:$V$160,'Prior AR'!$A$6:$A$160,A175)</f>
        <v>333943</v>
      </c>
      <c r="D175" s="156">
        <f>SUMIFS('Current AR'!$V$6:$V$160,'Current AR'!$A$6:$A$160,A175,'Current AR'!$Q$6:$Q$160,"&lt;=0")</f>
        <v>324663</v>
      </c>
      <c r="E175" s="156">
        <f>SUMIFS('Current AR'!$V$6:$V$160,'Current AR'!$A$6:$A$160,A175,'Current AR'!$Q$6:$Q$160,"&gt;0")</f>
        <v>0</v>
      </c>
      <c r="G175" s="156" t="inlineStr">
        <is>
          <t>Sales Rep 3</t>
        </is>
      </c>
      <c r="H175" s="156">
        <f>SUMIFS('Current AR'!$V$6:$V$160,'Current AR'!$J$6:$J$160,G175)</f>
        <v>4021632000</v>
      </c>
      <c r="I175" s="156">
        <f>SUMIFS('Prior AR'!$V$6:$V$160,'Prior AR'!$J$6:$J$160,G175)</f>
        <v>4099303796</v>
      </c>
      <c r="J175" s="156">
        <f>H175-K175</f>
        <v>0</v>
      </c>
      <c r="K175" s="156">
        <f>SUMIFS('Current AR'!$V$6:$V$160,'Current AR'!$J$6:$J$160,G175,'Current AR'!$Q$6:$Q$160,"&gt;0")</f>
        <v>4021632000</v>
      </c>
      <c r="L175" s="156" t="str">
        <f>G175</f>
        <v>Sales Rep 3</v>
      </c>
      <c r="M175" s="163">
        <f>IF(K175=0,0,SUMIFS('Current AR'!$W$6:$W$160,'Current AR'!$J$6:$J$160,G175,'Current AR'!$U$6:$U$160,1)/K175)</f>
        <v>76.0</v>
      </c>
      <c r="P175" t="str">
        <f>IF(D175=0,"",TEXT(IF(D175&gt;=1000000000,D175/1000000000,IF(D175&gt;=1000000,D175/1000000,D175/1000)),IF(MOD(ROUND(IF(D175&gt;=1000000000,D175/1000000000,IF(D175&gt;=1000000,D175/1000000,D175/1000)),2),1)=0,"0","0.00"))&amp;IF(D175&gt;=1000000000," B VND",IF(D175&gt;=1000000," M VND","k")))</f>
        <v>310k</v>
      </c>
      <c r="Q175" t="str">
        <f>IF(E175=0,"",TEXT(IF(E175&gt;=1000000000,E175/1000000000,IF(E175&gt;=1000000,E175/1000000,E175/1000)),IF(MOD(ROUND(IF(E175&gt;=1000000000,E175/1000000000,IF(E175&gt;=1000000,E175/1000000,E175/1000)),2),1)=0,"0","0.00"))&amp;IF(E175&gt;=1000000000," B VND",IF(E175&gt;=1000000," M VND","k")))</f>
        <v/>
      </c>
      <c r="R175" t="str">
        <f>IF(J175=0,"",TEXT(IF(J175&gt;=1000000000,J175/1000000000,IF(J175&gt;=1000000,J175/1000000,J175/1000)),IF(MOD(ROUND(IF(J175&gt;=1000000000,J175/1000000000,IF(J175&gt;=1000000,J175/1000000,J175/1000)),2),1)=0,"0","0.00"))&amp;IF(J175&gt;=1000000000," B VND",IF(J175&gt;=1000000," M VND","k")))</f>
        <v/>
      </c>
      <c r="S175" t="str">
        <f>IF(K175=0,"",TEXT(IF(K175&gt;=1000000000,K175/1000000000,IF(K175&gt;=1000000,K175/1000000,K175/1000)),IF(MOD(ROUND(IF(K175&gt;=1000000000,K175/1000000000,IF(K175&gt;=1000000,K175/1000000,K175/1000)),2),1)=0,"0","0.00"))&amp;IF(K175&gt;=1000000000," B VND",IF(K175&gt;=1000000," M VND","k")))</f>
        <v>3.84B VND</v>
      </c>
      <c r="T175" t="str">
        <f>IF(M175=0,"",TEXT(M175,IF(MOD(ROUND(M175,2),1)=0,"0","0.00"))&amp;" days")</f>
        <v/>
      </c>
      <c r="V175" s="155" t="inlineStr">
        <is>
          <t>Client Epsilon</t>
        </is>
      </c>
      <c r="W175" s="155" t="inlineStr">
        <is>
          <t>Sales Rep 6</t>
        </is>
      </c>
      <c r="BF175" t="str">
        <f>L176</f>
        <v>Sales Rep 3</v>
      </c>
      <c r="BG175">
        <f>M176</f>
        <v>76</v>
      </c>
      <c r="BH175" t="str">
        <f>T176</f>
        <v>76 days</v>
      </c>
      <c r="BK175">
        <f>D175+E175</f>
        <v>324662.99999999994</v>
      </c>
      <c r="BL175" t="str">
        <f>IF(D175=0,"–",IF(ABS(D175)&gt;=1000000000,TEXT(D175/1000000000,"0.00")&amp;"B",IF(ABS(D175)&gt;=1000000,TEXT(D175/1000000,"0.0")&amp;"M",TEXT(D175/1000,"0")&amp;"K")))</f>
        <v>325K</v>
      </c>
      <c r="BM175" t="str">
        <f>IF(E175=0,"–",IF(ABS(E175)&gt;=1000000000,TEXT(E175/1000000000,"0.00")&amp;"B",IF(ABS(E175)&gt;=1000000,TEXT(E175/1000000,"0.0")&amp;"M",TEXT(E175/1000,"0")&amp;"K")))</f>
        <v>–</v>
      </c>
      <c r="BN175" t="str">
        <f>IF(AND(D175&gt;0,BL175=""),P175,"")</f>
        <v>310k</v>
      </c>
      <c r="BO175" t="str">
        <f>IF(AND(E175&gt;0,BM175=""),Q175,"")</f>
        <v/>
      </c>
      <c r="BP175">
        <f>IF(BN175&lt;&gt;"",BK175+MAX($BK$170:$BK$176)*(0.015),NA())</f>
        <v>586131917.968581</v>
      </c>
      <c r="BQ175" t="e">
        <f>IF(BO175&lt;&gt;"",BK175+MAX($BK$170:$BK$176)*(0.015+IF(BN175&lt;&gt;"",0.106551,0)),NA())</f>
        <v>#N/A</v>
      </c>
      <c r="BS175">
        <f>J175+K175</f>
        <v>4021631999.9999995</v>
      </c>
      <c r="BT175" t="str">
        <f>IF(J175=0,"–",IF(ABS(J175)&gt;=1000000000,TEXT(J175/1000000000,"0.00")&amp;"B",IF(ABS(J175)&gt;=1000000,TEXT(J175/1000000,"0.0")&amp;"M",TEXT(J175/1000,"0")&amp;"K")))</f>
        <v>–</v>
      </c>
      <c r="BU175" t="str">
        <f>IF(K175=0,"–",IF(ABS(K175)&gt;=1000000000,TEXT(K175/1000000000,"0.00")&amp;"B",IF(ABS(K175)&gt;=1000000,TEXT(K175/1000000,"0.0")&amp;"M",TEXT(K175/1000,"0")&amp;"K")))</f>
        <v>4.02B</v>
      </c>
      <c r="BV175" t="str">
        <f>IF(AND(J175&gt;0,BT175=""),R175,"")</f>
        <v/>
      </c>
      <c r="BW175" t="str">
        <f>IF(AND(K175&gt;0,BU175=""),S175,"")</f>
        <v/>
      </c>
      <c r="BX175" t="e">
        <f>IF(BV175&lt;&gt;"",BS175+MAX($BS$170:$BS$175)*(0.015),NA())</f>
        <v>#N/A</v>
      </c>
      <c r="BY175" t="e">
        <f>IF(BW175&lt;&gt;"",BS175+MAX($BS$170:$BS$175)*(0.015+IF(BV175&lt;&gt;"",0.106551,0)),NA())</f>
        <v>#N/A</v>
      </c>
      <c r="CA175" t="inlineStr">
        <is>
          <t>Client Zeta</t>
        </is>
      </c>
      <c r="CC175" t="str">
        <f>IF(AND(D175&gt;0,D175&gt;=MAX($B$170:$B$176)*0.12),IF(D175=0,"",IF(ABS(D175)&gt;=1000000000,IF(MOD(ROUND(D175/1000000000,2),1)=0,TEXT(D175/1000000000,"0"),TEXT(D175/1000000000,"0.00"))&amp;"B",IF(ABS(D175)&gt;=1000000,IF(MOD(ROUND(D175/1000000,2),1)=0,TEXT(D175/1000000,"0"),TEXT(D175/1000000,"0.00"))&amp;"M",IF(MOD(ROUND(D175/1000,2),1)=0,TEXT(D175/1000,"0"),TEXT(D175/1000,"0.00"))&amp;"K"))),"")</f>
        <v/>
      </c>
      <c r="CD175" t="str">
        <f>IF(AND(E175&gt;0,E175&gt;=MAX($B$170:$B$176)*0.12),IF(E175=0,"",IF(ABS(E175)&gt;=1000000000,IF(MOD(ROUND(E175/1000000000,2),1)=0,TEXT(E175/1000000000,"0"),TEXT(E175/1000000000,"0.00"))&amp;"B",IF(ABS(E175)&gt;=1000000,IF(MOD(ROUND(E175/1000000,2),1)=0,TEXT(E175/1000000,"0"),TEXT(E175/1000000,"0.00"))&amp;"M",IF(MOD(ROUND(E175/1000,2),1)=0,TEXT(E175/1000,"0"),TEXT(E175/1000,"0.00"))&amp;"K"))),"")</f>
        <v/>
      </c>
      <c r="CE175" t="str">
        <f>IF(AND(D175&gt;0,D175&lt;MAX($B$170:$B$176)*0.12),IF(D175=0,"",IF(ABS(D175)&gt;=1000000000,IF(MOD(ROUND(D175/1000000000,2),1)=0,TEXT(D175/1000000000,"0"),TEXT(D175/1000000000,"0.00"))&amp;"B",IF(ABS(D175)&gt;=1000000,IF(MOD(ROUND(D175/1000000,2),1)=0,TEXT(D175/1000000,"0"),TEXT(D175/1000000,"0.00"))&amp;"M",IF(MOD(ROUND(D175/1000,2),1)=0,TEXT(D175/1000,"0"),TEXT(D175/1000,"0.00"))&amp;"K"))),"")</f>
        <v>324.66K</v>
      </c>
      <c r="CF175" t="str">
        <f>IF(AND(E175&gt;0,E175&lt;MAX($B$170:$B$176)*0.12),IF(E175=0,"",IF(ABS(E175)&gt;=1000000000,IF(MOD(ROUND(E175/1000000000,2),1)=0,TEXT(E175/1000000000,"0"),TEXT(E175/1000000000,"0.00"))&amp;"B",IF(ABS(E175)&gt;=1000000,IF(MOD(ROUND(E175/1000000,2),1)=0,TEXT(E175/1000000,"0"),TEXT(E175/1000000,"0.00"))&amp;"M",IF(MOD(ROUND(E175/1000,2),1)=0,TEXT(E175/1000,"0"),TEXT(E175/1000,"0.00"))&amp;"K"))),"")</f>
        <v/>
      </c>
      <c r="CG175" t="n">
        <f>IF(AND(D175&gt;0,D175&lt;MAX($B$170:$B$176)*0.12),B175+MAX($B$170:$B$176)*0.03,0)</f>
        <v>1171939173.0</v>
      </c>
      <c r="CH175" t="n">
        <f>IF(AND(E175&gt;0,E175&lt;MAX($B$170:$B$176)*0.12),B175+MAX($B$170:$B$176)*IF(AND(D175&gt;0,D175&lt;MAX($B$170:$B$176)*0.12),0.1,0.03),0)</f>
        <v>0</v>
      </c>
      <c r="CI175" t="str">
        <f>IF(BG175=0,"",IF(MOD(ROUND(BG175,2),1)=0,TEXT(BG175,"0"),TEXT(BG175,"0.00"))&amp;" days")</f>
        <v>76 days</v>
      </c>
    </row>
    <row r="176" spans="1:78">
      <c r="A176" s="156" t="inlineStr">
        <is>
          <t>Client Gamma (Offshore Energy)</t>
        </is>
      </c>
      <c r="B176" s="156">
        <f>SUMIFS('Current AR'!$V$6:$V$160,'Current AR'!$A$6:$A$160,A176)</f>
        <v>4021632000</v>
      </c>
      <c r="C176" s="156">
        <f>SUMIFS('Prior AR'!$V$6:$V$160,'Prior AR'!$A$6:$A$160,A176)</f>
        <v>4099303796</v>
      </c>
      <c r="D176" s="156">
        <f>SUMIFS('Current AR'!$V$6:$V$160,'Current AR'!$A$6:$A$160,A176,'Current AR'!$Q$6:$Q$160,"&lt;=0")</f>
        <v>0</v>
      </c>
      <c r="E176" s="156">
        <f>SUMIFS('Current AR'!$V$6:$V$160,'Current AR'!$A$6:$A$160,A176,'Current AR'!$Q$6:$Q$160,"&gt;0")</f>
        <v>4021632000</v>
      </c>
      <c r="L176" s="156" t="inlineStr">
        <is>
          <t>Sales Rep 3</t>
        </is>
      </c>
      <c r="M176" s="163">
        <f>IFERROR(SUMIFS('Current AR'!$W$6:$W$103,'Current AR'!$J$6:$J$103,L176)/SUMIFS('Current AR'!$T$6:$T$103,'Current AR'!$J$6:$J$103,L176),0)</f>
        <v>76</v>
      </c>
      <c r="P176" t="str">
        <f>IF(D176=0,"",TEXT(IF(D176&gt;=1000000000,D176/1000000000,IF(D176&gt;=1000000,D176/1000000,D176/1000)),IF(MOD(ROUND(IF(D176&gt;=1000000000,D176/1000000000,IF(D176&gt;=1000000,D176/1000000,D176/1000)),2),1)=0,"0","0.00"))&amp;IF(D176&gt;=1000000000," B VND",IF(D176&gt;=1000000," M VND","k")))</f>
        <v/>
      </c>
      <c r="Q176" t="str">
        <f>IF(E176=0,"",TEXT(IF(E176&gt;=1000000000,E176/1000000000,IF(E176&gt;=1000000,E176/1000000,E176/1000)),IF(MOD(ROUND(IF(E176&gt;=1000000000,E176/1000000000,IF(E176&gt;=1000000,E176/1000000,E176/1000)),2),1)=0,"0","0.00"))&amp;IF(E176&gt;=1000000000," B VND",IF(E176&gt;=1000000," M VND","k")))</f>
        <v>3.84B VND</v>
      </c>
      <c r="T176" t="str">
        <f>IF(M176=0,"",TEXT(M176,IF(MOD(ROUND(M176,2),1)=0,"0","0.00"))&amp;" days")</f>
        <v>76 days</v>
      </c>
      <c r="V176" s="155" t="inlineStr">
        <is>
          <t>Client Zeta</t>
        </is>
      </c>
      <c r="W176" s="155" t="inlineStr">
        <is>
          <t>Sales Rep 3</t>
        </is>
      </c>
      <c r="BK176">
        <f>D176+E176</f>
        <v>4021631999.9999995</v>
      </c>
      <c r="BL176" t="str">
        <f>IF(D176=0,"–",IF(ABS(D176)&gt;=1000000000,TEXT(D176/1000000000,"0.00")&amp;"B",IF(ABS(D176)&gt;=1000000,TEXT(D176/1000000,"0.0")&amp;"M",TEXT(D176/1000,"0")&amp;"K")))</f>
        <v>–</v>
      </c>
      <c r="BM176" t="str">
        <f>IF(E176=0,"–",IF(ABS(E176)&gt;=1000000000,TEXT(E176/1000000000,"0.00")&amp;"B",IF(ABS(E176)&gt;=1000000,TEXT(E176/1000000,"0.0")&amp;"M",TEXT(E176/1000,"0")&amp;"K")))</f>
        <v>4.02B</v>
      </c>
      <c r="BN176" t="str">
        <f>IF(AND(D176&gt;0,BL176=""),P176,"")</f>
        <v/>
      </c>
      <c r="BO176" t="str">
        <f>IF(AND(E176&gt;0,BM176=""),Q176,"")</f>
        <v>3.84B VND</v>
      </c>
      <c r="BP176" t="e">
        <f>IF(BN176&lt;&gt;"",BK176+MAX($BK$170:$BK$176)*(0.015),NA())</f>
        <v>#N/A</v>
      </c>
      <c r="BQ176">
        <f>IF(BO176&lt;&gt;"",BK176+MAX($BK$170:$BK$176)*(0.015+IF(BN176&lt;&gt;"",0.106551,0)),NA())</f>
        <v>4607439254.968581</v>
      </c>
      <c r="CA176" t="inlineStr">
        <is>
          <t>Client Gamma</t>
        </is>
      </c>
      <c r="CC176" t="str">
        <f>IF(AND(D176&gt;0,D176&gt;=MAX($B$170:$B$176)*0.12),IF(D176=0,"",IF(ABS(D176)&gt;=1000000000,IF(MOD(ROUND(D176/1000000000,2),1)=0,TEXT(D176/1000000000,"0"),TEXT(D176/1000000000,"0.00"))&amp;"B",IF(ABS(D176)&gt;=1000000,IF(MOD(ROUND(D176/1000000,2),1)=0,TEXT(D176/1000000,"0"),TEXT(D176/1000000,"0.00"))&amp;"M",IF(MOD(ROUND(D176/1000,2),1)=0,TEXT(D176/1000,"0"),TEXT(D176/1000,"0.00"))&amp;"K"))),"")</f>
        <v/>
      </c>
      <c r="CD176" t="str">
        <f>IF(AND(E176&gt;0,E176&gt;=MAX($B$170:$B$176)*0.12),IF(E176=0,"",IF(ABS(E176)&gt;=1000000000,IF(MOD(ROUND(E176/1000000000,2),1)=0,TEXT(E176/1000000000,"0"),TEXT(E176/1000000000,"0.00"))&amp;"B",IF(ABS(E176)&gt;=1000000,IF(MOD(ROUND(E176/1000000,2),1)=0,TEXT(E176/1000000,"0"),TEXT(E176/1000000,"0.00"))&amp;"M",IF(MOD(ROUND(E176/1000,2),1)=0,TEXT(E176/1000,"0"),TEXT(E176/1000,"0.00"))&amp;"K"))),"")</f>
        <v/>
      </c>
      <c r="CE176" t="str">
        <f>IF(AND(D176&gt;0,D176&lt;MAX($B$170:$B$176)*0.12),IF(D176=0,"",IF(ABS(D176)&gt;=1000000000,IF(MOD(ROUND(D176/1000000000,2),1)=0,TEXT(D176/1000000000,"0"),TEXT(D176/1000000000,"0.00"))&amp;"B",IF(ABS(D176)&gt;=1000000,IF(MOD(ROUND(D176/1000000,2),1)=0,TEXT(D176/1000000,"0"),TEXT(D176/1000000,"0.00"))&amp;"M",IF(MOD(ROUND(D176/1000,2),1)=0,TEXT(D176/1000,"0"),TEXT(D176/1000,"0.00"))&amp;"K"))),"")</f>
        <v/>
      </c>
      <c r="CF176" t="str">
        <f>IF(AND(E176&gt;0,E176&lt;MAX($B$170:$B$176)*0.12),IF(E176=0,"",IF(ABS(E176)&gt;=1000000000,IF(MOD(ROUND(E176/1000000000,2),1)=0,TEXT(E176/1000000000,"0"),TEXT(E176/1000000000,"0.00"))&amp;"B",IF(ABS(E176)&gt;=1000000,IF(MOD(ROUND(E176/1000000,2),1)=0,TEXT(E176/1000000,"0"),TEXT(E176/1000000,"0.00"))&amp;"M",IF(MOD(ROUND(E176/1000,2),1)=0,TEXT(E176/1000,"0"),TEXT(E176/1000,"0.00"))&amp;"K"))),"")</f>
        <v>4.02B</v>
      </c>
      <c r="CG176" t="n">
        <f>IF(AND(D176&gt;0,D176&lt;MAX($B$170:$B$176)*0.12),B176+MAX($B$170:$B$176)*0.03,0)</f>
        <v>0</v>
      </c>
      <c r="CH176" t="n">
        <f>IF(AND(E176&gt;0,E176&lt;MAX($B$170:$B$176)*0.12),B176+MAX($B$170:$B$176)*IF(AND(D176&gt;0,D176&lt;MAX($B$170:$B$176)*0.12),0.1,0.03),0)</f>
        <v>5193246510.0</v>
      </c>
    </row>
    <row r="177" spans="22:22">
      <c r="V177" s="155" t="inlineStr">
        <is>
          <t>Client Gamma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O160"/>
  <sheetViews>
    <sheetView showGridLines="0" workbookViewId="0">
      <pane ySplit="5" topLeftCell="A126" activePane="bottomLeft" state="frozen"/>
      <selection pane="bottomLeft" activeCell="E28" sqref="E28"/>
    </sheetView>
  </sheetViews>
  <sheetFormatPr defaultRowHeight="15"/>
  <cols>
    <col min="1" max="1" width="18" customWidth="1"/>
    <col min="2" max="2" width="60" customWidth="1"/>
    <col min="3" max="11" width="18" customWidth="1"/>
    <col min="12" max="13" width="52" customWidth="1"/>
    <col min="14" max="15" width="18" customWidth="1"/>
    <col min="16" max="16" width="42" customWidth="1"/>
    <col min="17" max="23" width="18" customWidth="1"/>
    <col min="25" max="31" width="0" hidden="1" customWidth="1"/>
  </cols>
  <sheetData>
    <row r="1" spans="1:41">
      <c r="A1" s="138" t="inlineStr">
        <is>
          <t>Current-period invoice ledger. Names, identifiers and financial amounts have been changed for publication.</t>
        </is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</row>
    <row r="2" spans="1:41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</row>
    <row r="3" spans="1:41">
      <c r="A3" s="138"/>
      <c r="B3" s="138"/>
      <c r="C3" s="138"/>
      <c r="D3" s="141">
        <v>46300</v>
      </c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</row>
    <row r="4" spans="1:41">
      <c r="A4" s="138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</row>
    <row r="5" spans="1:41" ht="38.1" customHeight="1">
      <c r="A5" s="140" t="inlineStr">
        <is>
          <t>Customer</t>
        </is>
      </c>
      <c r="B5" s="140" t="inlineStr">
        <is>
          <t>Legal Name</t>
        </is>
      </c>
      <c r="C5" s="140" t="inlineStr">
        <is>
          <t>Document Number</t>
        </is>
      </c>
      <c r="D5" s="140" t="inlineStr">
        <is>
          <t>Invoice Number</t>
        </is>
      </c>
      <c r="E5" s="140" t="inlineStr">
        <is>
          <t>Invoice Date</t>
        </is>
      </c>
      <c r="F5" s="140" t="inlineStr">
        <is>
          <t>Due Date</t>
        </is>
      </c>
      <c r="G5" s="140" t="inlineStr">
        <is>
          <t>Invoice Gross Amount</t>
        </is>
      </c>
      <c r="H5" s="140" t="inlineStr">
        <is>
          <t>Receipts Applied</t>
        </is>
      </c>
      <c r="I5" s="140" t="inlineStr">
        <is>
          <t>Outstanding Balance</t>
        </is>
      </c>
      <c r="J5" s="140" t="inlineStr">
        <is>
          <t>Sales Representative</t>
        </is>
      </c>
      <c r="K5" s="140" t="inlineStr">
        <is>
          <t>Business Type</t>
        </is>
      </c>
      <c r="L5" s="140" t="inlineStr">
        <is>
          <t>Project</t>
        </is>
      </c>
      <c r="M5" s="140" t="inlineStr">
        <is>
          <t>Description</t>
        </is>
      </c>
      <c r="N5" s="140" t="inlineStr">
        <is>
          <t>Promised Payment Date</t>
        </is>
      </c>
      <c r="O5" s="140" t="inlineStr">
        <is>
          <t>Last Contact</t>
        </is>
      </c>
      <c r="P5" s="140" t="inlineStr">
        <is>
          <t>Next Action</t>
        </is>
      </c>
      <c r="Q5" s="140" t="inlineStr">
        <is>
          <t>Days Overdue</t>
        </is>
      </c>
      <c r="R5" s="140" t="inlineStr">
        <is>
          <t>Customer / Staff Match</t>
        </is>
      </c>
      <c r="S5" s="140" t="inlineStr">
        <is>
          <t>Selected Balance</t>
        </is>
      </c>
      <c r="T5" s="140" t="inlineStr">
        <is>
          <t>Selected Overdue</t>
        </is>
      </c>
      <c r="U5" s="140" t="inlineStr">
        <is>
          <t>Status Match</t>
        </is>
      </c>
      <c r="V5" s="140" t="inlineStr">
        <is>
          <t>Filtered Balance</t>
        </is>
      </c>
      <c r="W5" s="140" t="inlineStr">
        <is>
          <t>Overdue Days × Balance</t>
        </is>
      </c>
      <c r="X5" s="138"/>
      <c r="Y5" s="138" t="inlineStr">
        <is>
          <t>Stable Document Key</t>
        </is>
      </c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</row>
    <row r="6" spans="1:41">
      <c r="A6" s="138" t="inlineStr">
        <is>
          <t>Client Beta (Heavy Const.)</t>
        </is>
      </c>
      <c r="B6" s="138" t="inlineStr">
        <is>
          <t>CLIENT BETA HEAVY INDUSTRIAL CONSTRUCTION CORP</t>
        </is>
      </c>
      <c r="C6" s="138" t="inlineStr">
        <is>
          <t>AR-00001</t>
        </is>
      </c>
      <c r="D6" s="138" t="inlineStr">
        <is>
          <t>70000001</t>
        </is>
      </c>
      <c r="E6" s="141">
        <v>46262.0</v>
      </c>
      <c r="F6" s="141">
        <v>46292.0</v>
      </c>
      <c r="G6" s="142">
        <v>75501400</v>
      </c>
      <c r="H6" s="142">
        <v>0</v>
      </c>
      <c r="I6" s="142">
        <v>75501400</v>
      </c>
      <c r="J6" s="138" t="inlineStr">
        <is>
          <t>Senior Sales Rep 1</t>
        </is>
      </c>
      <c r="K6" s="138" t="inlineStr">
        <is>
          <t>Trading</t>
        </is>
      </c>
      <c r="L6" s="138" t="inlineStr">
        <is>
          <t>Project 002</t>
        </is>
      </c>
      <c r="M6" s="138" t="inlineStr">
        <is>
          <t>Collection note 001</t>
        </is>
      </c>
      <c r="N6" s="143"/>
      <c r="O6" s="143"/>
      <c r="P6" s="144"/>
      <c r="Q6" s="138">
        <f>IF(ISNUMBER(F6),Dashboard!$D$2-F6,"")</f>
        <v>8.0</v>
      </c>
      <c r="R6" s="138">
        <f>IF(AND(OR(Dashboard!$P$1="All",A6=Dashboard!$P$1),OR(Dashboard!$P$2="All",J6=Dashboard!$P$2)),1,0)</f>
        <v>1</v>
      </c>
      <c r="S6" s="138">
        <f>I6*R6</f>
        <v>75501400</v>
      </c>
      <c r="T6" s="138">
        <f>IF(AND(ISNUMBER(Q6),Q6&gt;0),S6,0)</f>
        <v>75501400</v>
      </c>
      <c r="U6" s="138">
        <f>IF(OR(Dashboard!$P$3="All",AND(Dashboard!$P$3="Not due",Q6&lt;0),AND(Dashboard!$P$3="Due in 10 days",Q6&gt;=-10,Q6&lt;=0),AND(Dashboard!$P$3="Due in 30 days",Q6&gt;=-30,Q6&lt;=0),AND(Dashboard!$P$3="Overdue 1–60 days",Q6&gt;0,Q6&lt;=60),AND(Dashboard!$P$3="Over 60 days",Q6&gt;60),AND(Dashboard!$P$3="All overdue",Q6&gt;0)),1,0)</f>
        <v>1</v>
      </c>
      <c r="V6" s="138">
        <f>S6*U6</f>
        <v>75501400</v>
      </c>
      <c r="W6" s="138">
        <f>IF(Q6&gt;0,T6*Q6,0)</f>
        <v>604011200.0</v>
      </c>
      <c r="X6" s="138">
        <f>IF(V6&gt;0,COUNTIF($V$6:V6,"&gt;0"),"")</f>
        <v>1</v>
      </c>
      <c r="Y6" s="154" t="str">
        <f>C6&amp;"|"&amp;D6</f>
        <v>AR-00001|70000001</v>
      </c>
      <c r="Z6" s="138"/>
      <c r="AA6" s="154" t="inlineStr">
        <is>
          <t>["Demo Company 265", "AR-00001", "70000001", "2026-08-28"]</t>
        </is>
      </c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</row>
    <row r="7" spans="1:41">
      <c r="A7" s="138" t="inlineStr">
        <is>
          <t>Client Beta (Heavy Const.)</t>
        </is>
      </c>
      <c r="B7" s="138" t="inlineStr">
        <is>
          <t>CLIENT BETA HEAVY INDUSTRIAL CONSTRUCTION CORP</t>
        </is>
      </c>
      <c r="C7" s="138" t="inlineStr">
        <is>
          <t>AR-00002</t>
        </is>
      </c>
      <c r="D7" s="138" t="inlineStr">
        <is>
          <t>70000002</t>
        </is>
      </c>
      <c r="E7" s="141">
        <v>46262.0</v>
      </c>
      <c r="F7" s="141">
        <v>46292.0</v>
      </c>
      <c r="G7" s="142">
        <v>920560752</v>
      </c>
      <c r="H7" s="142">
        <v>0</v>
      </c>
      <c r="I7" s="142">
        <v>920560752</v>
      </c>
      <c r="J7" s="138" t="inlineStr">
        <is>
          <t>Senior Sales Rep 1</t>
        </is>
      </c>
      <c r="K7" s="138" t="inlineStr">
        <is>
          <t>Trading</t>
        </is>
      </c>
      <c r="L7" s="138" t="inlineStr">
        <is>
          <t>Project 003</t>
        </is>
      </c>
      <c r="M7" s="138" t="inlineStr">
        <is>
          <t>Collection note 001</t>
        </is>
      </c>
      <c r="N7" s="143"/>
      <c r="O7" s="143"/>
      <c r="P7" s="144"/>
      <c r="Q7" s="138">
        <f>IF(ISNUMBER(F7),Dashboard!$D$2-F7,"")</f>
        <v>8.0</v>
      </c>
      <c r="R7" s="138">
        <f>IF(AND(OR(Dashboard!$P$1="All",A7=Dashboard!$P$1),OR(Dashboard!$P$2="All",J7=Dashboard!$P$2)),1,0)</f>
        <v>1</v>
      </c>
      <c r="S7" s="138">
        <f>I7*R7</f>
        <v>920560752</v>
      </c>
      <c r="T7" s="138">
        <f>IF(AND(ISNUMBER(Q7),Q7&gt;0),S7,0)</f>
        <v>920560752</v>
      </c>
      <c r="U7" s="138">
        <f>IF(OR(Dashboard!$P$3="All",AND(Dashboard!$P$3="Not due",Q7&lt;0),AND(Dashboard!$P$3="Due in 10 days",Q7&gt;=-10,Q7&lt;=0),AND(Dashboard!$P$3="Due in 30 days",Q7&gt;=-30,Q7&lt;=0),AND(Dashboard!$P$3="Overdue 1–60 days",Q7&gt;0,Q7&lt;=60),AND(Dashboard!$P$3="Over 60 days",Q7&gt;60),AND(Dashboard!$P$3="All overdue",Q7&gt;0)),1,0)</f>
        <v>1</v>
      </c>
      <c r="V7" s="138">
        <f>S7*U7</f>
        <v>920560752</v>
      </c>
      <c r="W7" s="138">
        <f>IF(Q7&gt;0,T7*Q7,0)</f>
        <v>7364486016.0</v>
      </c>
      <c r="X7" s="138">
        <f>IF(V7&gt;0,COUNTIF($V$6:V7,"&gt;0"),"")</f>
        <v>2</v>
      </c>
      <c r="Y7" s="154" t="str">
        <f>C7&amp;"|"&amp;D7</f>
        <v>AR-00002|70000002</v>
      </c>
      <c r="Z7" s="138"/>
      <c r="AA7" s="154" t="inlineStr">
        <is>
          <t>["Demo Company 265", "AR-00002", "70000002", "2026-08-28"]</t>
        </is>
      </c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</row>
    <row r="8" spans="1:41">
      <c r="A8" s="138" t="inlineStr">
        <is>
          <t>Client Beta (Heavy Const.)</t>
        </is>
      </c>
      <c r="B8" s="138" t="inlineStr">
        <is>
          <t>CLIENT BETA HEAVY INDUSTRIAL CONSTRUCTION CORP</t>
        </is>
      </c>
      <c r="C8" s="138" t="inlineStr">
        <is>
          <t>AR-00003</t>
        </is>
      </c>
      <c r="D8" s="138" t="inlineStr">
        <is>
          <t>70000003</t>
        </is>
      </c>
      <c r="E8" s="141">
        <v>46262.0</v>
      </c>
      <c r="F8" s="141">
        <v>46292.0</v>
      </c>
      <c r="G8" s="142">
        <v>553941849</v>
      </c>
      <c r="H8" s="142">
        <v>0</v>
      </c>
      <c r="I8" s="142">
        <v>553941849</v>
      </c>
      <c r="J8" s="138" t="inlineStr">
        <is>
          <t>Senior Sales Rep 1</t>
        </is>
      </c>
      <c r="K8" s="138" t="inlineStr">
        <is>
          <t>Trading</t>
        </is>
      </c>
      <c r="L8" s="138" t="inlineStr">
        <is>
          <t>Project 004</t>
        </is>
      </c>
      <c r="M8" s="138" t="inlineStr">
        <is>
          <t>Collection note 001</t>
        </is>
      </c>
      <c r="N8" s="143"/>
      <c r="O8" s="143"/>
      <c r="P8" s="144"/>
      <c r="Q8" s="138">
        <f>IF(ISNUMBER(F8),Dashboard!$D$2-F8,"")</f>
        <v>8.0</v>
      </c>
      <c r="R8" s="138">
        <f>IF(AND(OR(Dashboard!$P$1="All",A8=Dashboard!$P$1),OR(Dashboard!$P$2="All",J8=Dashboard!$P$2)),1,0)</f>
        <v>1</v>
      </c>
      <c r="S8" s="138">
        <f>I8*R8</f>
        <v>553941849</v>
      </c>
      <c r="T8" s="138">
        <f>IF(AND(ISNUMBER(Q8),Q8&gt;0),S8,0)</f>
        <v>553941849</v>
      </c>
      <c r="U8" s="138">
        <f>IF(OR(Dashboard!$P$3="All",AND(Dashboard!$P$3="Not due",Q8&lt;0),AND(Dashboard!$P$3="Due in 10 days",Q8&gt;=-10,Q8&lt;=0),AND(Dashboard!$P$3="Due in 30 days",Q8&gt;=-30,Q8&lt;=0),AND(Dashboard!$P$3="Overdue 1–60 days",Q8&gt;0,Q8&lt;=60),AND(Dashboard!$P$3="Over 60 days",Q8&gt;60),AND(Dashboard!$P$3="All overdue",Q8&gt;0)),1,0)</f>
        <v>1</v>
      </c>
      <c r="V8" s="138">
        <f>S8*U8</f>
        <v>553941849</v>
      </c>
      <c r="W8" s="138">
        <f>IF(Q8&gt;0,T8*Q8,0)</f>
        <v>4431534792.0</v>
      </c>
      <c r="X8" s="138">
        <f>IF(V8&gt;0,COUNTIF($V$6:V8,"&gt;0"),"")</f>
        <v>3</v>
      </c>
      <c r="Y8" s="154" t="str">
        <f>C8&amp;"|"&amp;D8</f>
        <v>AR-00003|70000003</v>
      </c>
      <c r="Z8" s="138"/>
      <c r="AA8" s="154" t="inlineStr">
        <is>
          <t>["Demo Company 265", "AR-00003", "70000003", "2026-08-28"]</t>
        </is>
      </c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</row>
    <row r="9" spans="1:41">
      <c r="A9" s="138" t="inlineStr">
        <is>
          <t>Client Beta (Heavy Const.)</t>
        </is>
      </c>
      <c r="B9" s="138" t="inlineStr">
        <is>
          <t>CLIENT BETA HEAVY INDUSTRIAL CONSTRUCTION CORP</t>
        </is>
      </c>
      <c r="C9" s="138" t="inlineStr">
        <is>
          <t>AR-00004</t>
        </is>
      </c>
      <c r="D9" s="138" t="inlineStr">
        <is>
          <t>70000004</t>
        </is>
      </c>
      <c r="E9" s="141">
        <v>46294.0</v>
      </c>
      <c r="F9" s="141">
        <v>46324.0</v>
      </c>
      <c r="G9" s="142">
        <v>450339000</v>
      </c>
      <c r="H9" s="142">
        <v>0</v>
      </c>
      <c r="I9" s="142">
        <v>450339000</v>
      </c>
      <c r="J9" s="138" t="inlineStr">
        <is>
          <t>Senior Sales Rep 1</t>
        </is>
      </c>
      <c r="K9" s="138" t="inlineStr">
        <is>
          <t>Trading</t>
        </is>
      </c>
      <c r="L9" s="138" t="inlineStr">
        <is>
          <t>Project 005</t>
        </is>
      </c>
      <c r="M9" s="138" t="inlineStr">
        <is>
          <t>Collection note 001</t>
        </is>
      </c>
      <c r="N9" s="143"/>
      <c r="O9" s="143"/>
      <c r="P9" s="144"/>
      <c r="Q9" s="138">
        <f>IF(ISNUMBER(F9),Dashboard!$D$2-F9,"")</f>
        <v>-24.0</v>
      </c>
      <c r="R9" s="138">
        <f>IF(AND(OR(Dashboard!$P$1="All",A9=Dashboard!$P$1),OR(Dashboard!$P$2="All",J9=Dashboard!$P$2)),1,0)</f>
        <v>1</v>
      </c>
      <c r="S9" s="138">
        <f>I9*R9</f>
        <v>450339000</v>
      </c>
      <c r="T9" s="138">
        <f>IF(AND(ISNUMBER(Q9),Q9&gt;0),S9,0)</f>
        <v>0</v>
      </c>
      <c r="U9" s="138">
        <f>IF(OR(Dashboard!$P$3="All",AND(Dashboard!$P$3="Not due",Q9&lt;0),AND(Dashboard!$P$3="Due in 10 days",Q9&gt;=-10,Q9&lt;=0),AND(Dashboard!$P$3="Due in 30 days",Q9&gt;=-30,Q9&lt;=0),AND(Dashboard!$P$3="Overdue 1–60 days",Q9&gt;0,Q9&lt;=60),AND(Dashboard!$P$3="Over 60 days",Q9&gt;60),AND(Dashboard!$P$3="All overdue",Q9&gt;0)),1,0)</f>
        <v>1</v>
      </c>
      <c r="V9" s="138">
        <f>S9*U9</f>
        <v>450339000</v>
      </c>
      <c r="W9" s="138">
        <f>IF(Q9&gt;0,T9*Q9,0)</f>
        <v>0</v>
      </c>
      <c r="X9" s="138">
        <f>IF(V9&gt;0,COUNTIF($V$6:V9,"&gt;0"),"")</f>
        <v>4</v>
      </c>
      <c r="Y9" s="154" t="str">
        <f>C9&amp;"|"&amp;D9</f>
        <v>AR-00004|70000004</v>
      </c>
      <c r="Z9" s="138"/>
      <c r="AA9" s="154" t="inlineStr">
        <is>
          <t>["Demo Company 265", "AR-00004", "70000004", "2026-09-29"]</t>
        </is>
      </c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</row>
    <row r="10" spans="1:41">
      <c r="A10" s="138" t="inlineStr">
        <is>
          <t>Client Delta (Commercial Facade)</t>
        </is>
      </c>
      <c r="B10" s="138" t="inlineStr">
        <is>
          <t>CLIENT DELTA COMMERCIAL FACADES LTD</t>
        </is>
      </c>
      <c r="C10" s="138" t="inlineStr">
        <is>
          <t>AR-00005</t>
        </is>
      </c>
      <c r="D10" s="138" t="inlineStr">
        <is>
          <t>70000005</t>
        </is>
      </c>
      <c r="E10" s="141">
        <v>46289.0</v>
      </c>
      <c r="F10" s="141">
        <v>46349.0</v>
      </c>
      <c r="G10" s="142">
        <v>1821258559</v>
      </c>
      <c r="H10" s="142">
        <v>0</v>
      </c>
      <c r="I10" s="142">
        <v>1821258559</v>
      </c>
      <c r="J10" s="138" t="inlineStr">
        <is>
          <t>Sales Rep 6</t>
        </is>
      </c>
      <c r="K10" s="138" t="inlineStr">
        <is>
          <t>Trading</t>
        </is>
      </c>
      <c r="L10" s="138" t="inlineStr">
        <is>
          <t/>
        </is>
      </c>
      <c r="M10" s="138" t="inlineStr">
        <is>
          <t>Collection note 002</t>
        </is>
      </c>
      <c r="N10" s="143"/>
      <c r="O10" s="143"/>
      <c r="P10" s="144"/>
      <c r="Q10" s="138">
        <f>IF(ISNUMBER(F10),Dashboard!$D$2-F10,"")</f>
        <v>-49.0</v>
      </c>
      <c r="R10" s="138">
        <f>IF(AND(OR(Dashboard!$P$1="All",A10=Dashboard!$P$1),OR(Dashboard!$P$2="All",J10=Dashboard!$P$2)),1,0)</f>
        <v>1</v>
      </c>
      <c r="S10" s="138">
        <f>I10*R10</f>
        <v>1821258559</v>
      </c>
      <c r="T10" s="138">
        <f>IF(AND(ISNUMBER(Q10),Q10&gt;0),S10,0)</f>
        <v>0</v>
      </c>
      <c r="U10" s="138">
        <f>IF(OR(Dashboard!$P$3="All",AND(Dashboard!$P$3="Not due",Q10&lt;0),AND(Dashboard!$P$3="Due in 10 days",Q10&gt;=-10,Q10&lt;=0),AND(Dashboard!$P$3="Due in 30 days",Q10&gt;=-30,Q10&lt;=0),AND(Dashboard!$P$3="Overdue 1–60 days",Q10&gt;0,Q10&lt;=60),AND(Dashboard!$P$3="Over 60 days",Q10&gt;60),AND(Dashboard!$P$3="All overdue",Q10&gt;0)),1,0)</f>
        <v>1</v>
      </c>
      <c r="V10" s="138">
        <f>S10*U10</f>
        <v>1821258559</v>
      </c>
      <c r="W10" s="138">
        <f>IF(Q10&gt;0,T10*Q10,0)</f>
        <v>0</v>
      </c>
      <c r="X10" s="138">
        <f>IF(V10&gt;0,COUNTIF($V$6:V10,"&gt;0"),"")</f>
        <v>5</v>
      </c>
      <c r="Y10" s="154" t="str">
        <f>C10&amp;"|"&amp;D10</f>
        <v>AR-00005|70000005</v>
      </c>
      <c r="Z10" s="138"/>
      <c r="AA10" s="154" t="inlineStr">
        <is>
          <t>["Demo Company 045", "AR-00005", "70000005", "2026-09-24"]</t>
        </is>
      </c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</row>
    <row r="11" spans="1:41">
      <c r="A11" s="138" t="inlineStr">
        <is>
          <t>Client Delta (Commercial Facade)</t>
        </is>
      </c>
      <c r="B11" s="138" t="inlineStr">
        <is>
          <t>CLIENT DELTA COMMERCIAL FACADES LTD</t>
        </is>
      </c>
      <c r="C11" s="138" t="inlineStr">
        <is>
          <t>AR-00006</t>
        </is>
      </c>
      <c r="D11" s="138" t="inlineStr">
        <is>
          <t>70000006</t>
        </is>
      </c>
      <c r="E11" s="141">
        <v>46294.0</v>
      </c>
      <c r="F11" s="141">
        <v>46354.0</v>
      </c>
      <c r="G11" s="142">
        <v>149214834</v>
      </c>
      <c r="H11" s="142">
        <v>0</v>
      </c>
      <c r="I11" s="142">
        <v>149214834</v>
      </c>
      <c r="J11" s="138" t="inlineStr">
        <is>
          <t>Sales Rep 6</t>
        </is>
      </c>
      <c r="K11" s="138" t="inlineStr">
        <is>
          <t>Trading</t>
        </is>
      </c>
      <c r="L11" s="138" t="inlineStr">
        <is>
          <t/>
        </is>
      </c>
      <c r="M11" s="138" t="inlineStr">
        <is>
          <t>Collection note 003</t>
        </is>
      </c>
      <c r="N11" s="143"/>
      <c r="O11" s="143"/>
      <c r="P11" s="144"/>
      <c r="Q11" s="138">
        <f>IF(ISNUMBER(F11),Dashboard!$D$2-F11,"")</f>
        <v>-54.0</v>
      </c>
      <c r="R11" s="138">
        <f>IF(AND(OR(Dashboard!$P$1="All",A11=Dashboard!$P$1),OR(Dashboard!$P$2="All",J11=Dashboard!$P$2)),1,0)</f>
        <v>1</v>
      </c>
      <c r="S11" s="138">
        <f>I11*R11</f>
        <v>149214834</v>
      </c>
      <c r="T11" s="138">
        <f>IF(AND(ISNUMBER(Q11),Q11&gt;0),S11,0)</f>
        <v>0</v>
      </c>
      <c r="U11" s="138">
        <f>IF(OR(Dashboard!$P$3="All",AND(Dashboard!$P$3="Not due",Q11&lt;0),AND(Dashboard!$P$3="Due in 10 days",Q11&gt;=-10,Q11&lt;=0),AND(Dashboard!$P$3="Due in 30 days",Q11&gt;=-30,Q11&lt;=0),AND(Dashboard!$P$3="Overdue 1–60 days",Q11&gt;0,Q11&lt;=60),AND(Dashboard!$P$3="Over 60 days",Q11&gt;60),AND(Dashboard!$P$3="All overdue",Q11&gt;0)),1,0)</f>
        <v>1</v>
      </c>
      <c r="V11" s="138">
        <f>S11*U11</f>
        <v>149214834</v>
      </c>
      <c r="W11" s="138">
        <f>IF(Q11&gt;0,T11*Q11,0)</f>
        <v>0</v>
      </c>
      <c r="X11" s="138">
        <f>IF(V11&gt;0,COUNTIF($V$6:V11,"&gt;0"),"")</f>
        <v>6</v>
      </c>
      <c r="Y11" s="154" t="str">
        <f>C11&amp;"|"&amp;D11</f>
        <v>AR-00006|70000006</v>
      </c>
      <c r="Z11" s="138"/>
      <c r="AA11" s="154" t="inlineStr">
        <is>
          <t>["Demo Company 045", "AR-00006", "70000006", "2026-09-29"]</t>
        </is>
      </c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</row>
    <row r="12" spans="1:41">
      <c r="A12" s="138" t="inlineStr">
        <is>
          <t>Client Delta (Commercial Facade)</t>
        </is>
      </c>
      <c r="B12" s="138" t="inlineStr">
        <is>
          <t>CLIENT DELTA COMMERCIAL FACADES LTD</t>
        </is>
      </c>
      <c r="C12" s="138" t="inlineStr">
        <is>
          <t>AR-00007</t>
        </is>
      </c>
      <c r="D12" s="138" t="inlineStr">
        <is>
          <t>70000007</t>
        </is>
      </c>
      <c r="E12" s="141">
        <v>46294.0</v>
      </c>
      <c r="F12" s="141">
        <v>46354.0</v>
      </c>
      <c r="G12" s="142">
        <v>28421874</v>
      </c>
      <c r="H12" s="142">
        <v>0</v>
      </c>
      <c r="I12" s="142">
        <v>28421874</v>
      </c>
      <c r="J12" s="138" t="inlineStr">
        <is>
          <t>Sales Rep 6</t>
        </is>
      </c>
      <c r="K12" s="138" t="inlineStr">
        <is>
          <t>Trading</t>
        </is>
      </c>
      <c r="L12" s="138" t="inlineStr">
        <is>
          <t/>
        </is>
      </c>
      <c r="M12" s="138" t="inlineStr">
        <is>
          <t>Collection note 003</t>
        </is>
      </c>
      <c r="N12" s="143"/>
      <c r="O12" s="143"/>
      <c r="P12" s="144"/>
      <c r="Q12" s="138">
        <f>IF(ISNUMBER(F12),Dashboard!$D$2-F12,"")</f>
        <v>-54.0</v>
      </c>
      <c r="R12" s="138">
        <f>IF(AND(OR(Dashboard!$P$1="All",A12=Dashboard!$P$1),OR(Dashboard!$P$2="All",J12=Dashboard!$P$2)),1,0)</f>
        <v>1</v>
      </c>
      <c r="S12" s="138">
        <f>I12*R12</f>
        <v>28421874</v>
      </c>
      <c r="T12" s="138">
        <f>IF(AND(ISNUMBER(Q12),Q12&gt;0),S12,0)</f>
        <v>0</v>
      </c>
      <c r="U12" s="138">
        <f>IF(OR(Dashboard!$P$3="All",AND(Dashboard!$P$3="Not due",Q12&lt;0),AND(Dashboard!$P$3="Due in 10 days",Q12&gt;=-10,Q12&lt;=0),AND(Dashboard!$P$3="Due in 30 days",Q12&gt;=-30,Q12&lt;=0),AND(Dashboard!$P$3="Overdue 1–60 days",Q12&gt;0,Q12&lt;=60),AND(Dashboard!$P$3="Over 60 days",Q12&gt;60),AND(Dashboard!$P$3="All overdue",Q12&gt;0)),1,0)</f>
        <v>1</v>
      </c>
      <c r="V12" s="138">
        <f>S12*U12</f>
        <v>28421874</v>
      </c>
      <c r="W12" s="138">
        <f>IF(Q12&gt;0,T12*Q12,0)</f>
        <v>0</v>
      </c>
      <c r="X12" s="138">
        <f>IF(V12&gt;0,COUNTIF($V$6:V12,"&gt;0"),"")</f>
        <v>7</v>
      </c>
      <c r="Y12" s="154" t="str">
        <f>C12&amp;"|"&amp;D12</f>
        <v>AR-00007|70000007</v>
      </c>
      <c r="Z12" s="138"/>
      <c r="AA12" s="154" t="inlineStr">
        <is>
          <t>["Demo Company 045", "AR-00007", "70000007", "2026-09-29"]</t>
        </is>
      </c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</row>
    <row r="13" spans="1:41">
      <c r="A13" s="138" t="inlineStr">
        <is>
          <t>Client Delta (Commercial Facade)</t>
        </is>
      </c>
      <c r="B13" s="138" t="inlineStr">
        <is>
          <t>CLIENT DELTA COMMERCIAL FACADES LTD</t>
        </is>
      </c>
      <c r="C13" s="138" t="inlineStr">
        <is>
          <t>AR-00008</t>
        </is>
      </c>
      <c r="D13" s="138" t="inlineStr">
        <is>
          <t>70000008</t>
        </is>
      </c>
      <c r="E13" s="141">
        <v>46298.0</v>
      </c>
      <c r="F13" s="141">
        <v>46358.0</v>
      </c>
      <c r="G13" s="142">
        <v>284218732</v>
      </c>
      <c r="H13" s="142">
        <v>0</v>
      </c>
      <c r="I13" s="142">
        <v>284218732</v>
      </c>
      <c r="J13" s="138" t="inlineStr">
        <is>
          <t>Sales Rep 6</t>
        </is>
      </c>
      <c r="K13" s="138" t="inlineStr">
        <is>
          <t>Trading</t>
        </is>
      </c>
      <c r="L13" s="138" t="inlineStr">
        <is>
          <t>Project 002</t>
        </is>
      </c>
      <c r="M13" s="138" t="inlineStr">
        <is>
          <t>Collection note 004</t>
        </is>
      </c>
      <c r="N13" s="143"/>
      <c r="O13" s="143"/>
      <c r="P13" s="144"/>
      <c r="Q13" s="138">
        <f>IF(ISNUMBER(F13),Dashboard!$D$2-F13,"")</f>
        <v>-58.0</v>
      </c>
      <c r="R13" s="138">
        <f>IF(AND(OR(Dashboard!$P$1="All",A13=Dashboard!$P$1),OR(Dashboard!$P$2="All",J13=Dashboard!$P$2)),1,0)</f>
        <v>1</v>
      </c>
      <c r="S13" s="138">
        <f>I13*R13</f>
        <v>284218732</v>
      </c>
      <c r="T13" s="138">
        <f>IF(AND(ISNUMBER(Q13),Q13&gt;0),S13,0)</f>
        <v>0</v>
      </c>
      <c r="U13" s="138">
        <f>IF(OR(Dashboard!$P$3="All",AND(Dashboard!$P$3="Not due",Q13&lt;0),AND(Dashboard!$P$3="Due in 10 days",Q13&gt;=-10,Q13&lt;=0),AND(Dashboard!$P$3="Due in 30 days",Q13&gt;=-30,Q13&lt;=0),AND(Dashboard!$P$3="Overdue 1–60 days",Q13&gt;0,Q13&lt;=60),AND(Dashboard!$P$3="Over 60 days",Q13&gt;60),AND(Dashboard!$P$3="All overdue",Q13&gt;0)),1,0)</f>
        <v>1</v>
      </c>
      <c r="V13" s="138">
        <f>S13*U13</f>
        <v>284218732</v>
      </c>
      <c r="W13" s="138">
        <f>IF(Q13&gt;0,T13*Q13,0)</f>
        <v>0</v>
      </c>
      <c r="X13" s="138">
        <f>IF(V13&gt;0,COUNTIF($V$6:V13,"&gt;0"),"")</f>
        <v>8</v>
      </c>
      <c r="Y13" s="154" t="str">
        <f>C13&amp;"|"&amp;D13</f>
        <v>AR-00008|70000008</v>
      </c>
      <c r="Z13" s="138"/>
      <c r="AA13" s="154" t="inlineStr">
        <is>
          <t>["Demo Company 045", "AR-00008", "70000008", "2026-10-03"]</t>
        </is>
      </c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</row>
    <row r="14" spans="1:41">
      <c r="A14" s="138" t="inlineStr">
        <is>
          <t>Client Alpha (Steel EPC)</t>
        </is>
      </c>
      <c r="B14" s="138" t="inlineStr">
        <is>
          <t>CLIENT ALPHA STEEL STRUCTURE CORPORATION</t>
        </is>
      </c>
      <c r="C14" s="138" t="inlineStr">
        <is>
          <t>AR-00009</t>
        </is>
      </c>
      <c r="D14" s="138" t="inlineStr">
        <is>
          <t>70000009</t>
        </is>
      </c>
      <c r="E14" s="141">
        <v>46189.0</v>
      </c>
      <c r="F14" s="141">
        <v>46264.0</v>
      </c>
      <c r="G14" s="142">
        <v>91483402</v>
      </c>
      <c r="H14" s="142">
        <v>0</v>
      </c>
      <c r="I14" s="142">
        <v>91483402</v>
      </c>
      <c r="J14" s="138" t="inlineStr">
        <is>
          <t>Senior Sales Rep 1</t>
        </is>
      </c>
      <c r="K14" s="138" t="inlineStr">
        <is>
          <t>Trading</t>
        </is>
      </c>
      <c r="L14" s="138" t="inlineStr">
        <is>
          <t>Project 003</t>
        </is>
      </c>
      <c r="M14" s="138" t="inlineStr">
        <is>
          <t>Collection note 005</t>
        </is>
      </c>
      <c r="N14" s="143"/>
      <c r="O14" s="143"/>
      <c r="P14" s="144"/>
      <c r="Q14" s="138">
        <f>IF(ISNUMBER(F14),Dashboard!$D$2-F14,"")</f>
        <v>36.0</v>
      </c>
      <c r="R14" s="138">
        <f>IF(AND(OR(Dashboard!$P$1="All",A14=Dashboard!$P$1),OR(Dashboard!$P$2="All",J14=Dashboard!$P$2)),1,0)</f>
        <v>1</v>
      </c>
      <c r="S14" s="138">
        <f>I14*R14</f>
        <v>91483402</v>
      </c>
      <c r="T14" s="138">
        <f>IF(AND(ISNUMBER(Q14),Q14&gt;0),S14,0)</f>
        <v>91483402</v>
      </c>
      <c r="U14" s="138">
        <f>IF(OR(Dashboard!$P$3="All",AND(Dashboard!$P$3="Not due",Q14&lt;0),AND(Dashboard!$P$3="Due in 10 days",Q14&gt;=-10,Q14&lt;=0),AND(Dashboard!$P$3="Due in 30 days",Q14&gt;=-30,Q14&lt;=0),AND(Dashboard!$P$3="Overdue 1–60 days",Q14&gt;0,Q14&lt;=60),AND(Dashboard!$P$3="Over 60 days",Q14&gt;60),AND(Dashboard!$P$3="All overdue",Q14&gt;0)),1,0)</f>
        <v>1</v>
      </c>
      <c r="V14" s="138">
        <f>S14*U14</f>
        <v>91483402</v>
      </c>
      <c r="W14" s="138">
        <f>IF(Q14&gt;0,T14*Q14,0)</f>
        <v>3293402472.0</v>
      </c>
      <c r="X14" s="138">
        <f>IF(V14&gt;0,COUNTIF($V$6:V14,"&gt;0"),"")</f>
        <v>9</v>
      </c>
      <c r="Y14" s="154" t="str">
        <f>C14&amp;"|"&amp;D14</f>
        <v>AR-00009|70000009</v>
      </c>
      <c r="Z14" s="138"/>
      <c r="AA14" s="154" t="inlineStr">
        <is>
          <t>["Demo Company 010", "AR-00009", "70000009", "2026-06-16"]</t>
        </is>
      </c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</row>
    <row r="15" spans="1:41">
      <c r="A15" s="138" t="inlineStr">
        <is>
          <t>Client Alpha (Steel EPC)</t>
        </is>
      </c>
      <c r="B15" s="138" t="inlineStr">
        <is>
          <t>CLIENT ALPHA STEEL STRUCTURE CORPORATION</t>
        </is>
      </c>
      <c r="C15" s="138" t="inlineStr">
        <is>
          <t>AR-00010</t>
        </is>
      </c>
      <c r="D15" s="138" t="inlineStr">
        <is>
          <t>70000010</t>
        </is>
      </c>
      <c r="E15" s="141">
        <v>46191.0</v>
      </c>
      <c r="F15" s="141">
        <v>46266.0</v>
      </c>
      <c r="G15" s="142">
        <v>454201191</v>
      </c>
      <c r="H15" s="142">
        <v>0</v>
      </c>
      <c r="I15" s="142">
        <v>454201191</v>
      </c>
      <c r="J15" s="138" t="inlineStr">
        <is>
          <t>Senior Sales Rep 1</t>
        </is>
      </c>
      <c r="K15" s="138" t="inlineStr">
        <is>
          <t>Trading</t>
        </is>
      </c>
      <c r="L15" s="138" t="inlineStr">
        <is>
          <t>Project 004</t>
        </is>
      </c>
      <c r="M15" s="138" t="inlineStr">
        <is>
          <t>Collection note 006</t>
        </is>
      </c>
      <c r="N15" s="143"/>
      <c r="O15" s="143"/>
      <c r="P15" s="144"/>
      <c r="Q15" s="138">
        <f>IF(ISNUMBER(F15),Dashboard!$D$2-F15,"")</f>
        <v>34.0</v>
      </c>
      <c r="R15" s="138">
        <f>IF(AND(OR(Dashboard!$P$1="All",A15=Dashboard!$P$1),OR(Dashboard!$P$2="All",J15=Dashboard!$P$2)),1,0)</f>
        <v>1</v>
      </c>
      <c r="S15" s="138">
        <f>I15*R15</f>
        <v>454201191</v>
      </c>
      <c r="T15" s="138">
        <f>IF(AND(ISNUMBER(Q15),Q15&gt;0),S15,0)</f>
        <v>454201191</v>
      </c>
      <c r="U15" s="138">
        <f>IF(OR(Dashboard!$P$3="All",AND(Dashboard!$P$3="Not due",Q15&lt;0),AND(Dashboard!$P$3="Due in 10 days",Q15&gt;=-10,Q15&lt;=0),AND(Dashboard!$P$3="Due in 30 days",Q15&gt;=-30,Q15&lt;=0),AND(Dashboard!$P$3="Overdue 1–60 days",Q15&gt;0,Q15&lt;=60),AND(Dashboard!$P$3="Over 60 days",Q15&gt;60),AND(Dashboard!$P$3="All overdue",Q15&gt;0)),1,0)</f>
        <v>1</v>
      </c>
      <c r="V15" s="138">
        <f>S15*U15</f>
        <v>454201191</v>
      </c>
      <c r="W15" s="138">
        <f>IF(Q15&gt;0,T15*Q15,0)</f>
        <v>15442840494.0</v>
      </c>
      <c r="X15" s="138">
        <f>IF(V15&gt;0,COUNTIF($V$6:V15,"&gt;0"),"")</f>
        <v>10</v>
      </c>
      <c r="Y15" s="154" t="str">
        <f>C15&amp;"|"&amp;D15</f>
        <v>AR-00010|70000010</v>
      </c>
      <c r="Z15" s="138"/>
      <c r="AA15" s="154" t="inlineStr">
        <is>
          <t>["Demo Company 010", "AR-00010", "70000010", "2026-06-18"]</t>
        </is>
      </c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</row>
    <row r="16" spans="1:41">
      <c r="A16" s="138" t="inlineStr">
        <is>
          <t>Client Alpha (Steel EPC)</t>
        </is>
      </c>
      <c r="B16" s="138" t="inlineStr">
        <is>
          <t>CLIENT ALPHA STEEL STRUCTURE CORPORATION</t>
        </is>
      </c>
      <c r="C16" s="138" t="inlineStr">
        <is>
          <t>AR-00011</t>
        </is>
      </c>
      <c r="D16" s="138" t="inlineStr">
        <is>
          <t>70000011</t>
        </is>
      </c>
      <c r="E16" s="141">
        <v>46197.0</v>
      </c>
      <c r="F16" s="141">
        <v>46272.0</v>
      </c>
      <c r="G16" s="142">
        <v>114561937</v>
      </c>
      <c r="H16" s="142">
        <v>0</v>
      </c>
      <c r="I16" s="142">
        <v>114561937</v>
      </c>
      <c r="J16" s="138" t="inlineStr">
        <is>
          <t>Senior Sales Rep 1</t>
        </is>
      </c>
      <c r="K16" s="138" t="inlineStr">
        <is>
          <t>Trading</t>
        </is>
      </c>
      <c r="L16" s="138" t="inlineStr">
        <is>
          <t>Project 005</t>
        </is>
      </c>
      <c r="M16" s="138" t="inlineStr">
        <is>
          <t>Collection note 007</t>
        </is>
      </c>
      <c r="N16" s="143"/>
      <c r="O16" s="143"/>
      <c r="P16" s="144"/>
      <c r="Q16" s="138">
        <f>IF(ISNUMBER(F16),Dashboard!$D$2-F16,"")</f>
        <v>28.0</v>
      </c>
      <c r="R16" s="138">
        <f>IF(AND(OR(Dashboard!$P$1="All",A16=Dashboard!$P$1),OR(Dashboard!$P$2="All",J16=Dashboard!$P$2)),1,0)</f>
        <v>1</v>
      </c>
      <c r="S16" s="138">
        <f>I16*R16</f>
        <v>114561937</v>
      </c>
      <c r="T16" s="138">
        <f>IF(AND(ISNUMBER(Q16),Q16&gt;0),S16,0)</f>
        <v>114561937</v>
      </c>
      <c r="U16" s="138">
        <f>IF(OR(Dashboard!$P$3="All",AND(Dashboard!$P$3="Not due",Q16&lt;0),AND(Dashboard!$P$3="Due in 10 days",Q16&gt;=-10,Q16&lt;=0),AND(Dashboard!$P$3="Due in 30 days",Q16&gt;=-30,Q16&lt;=0),AND(Dashboard!$P$3="Overdue 1–60 days",Q16&gt;0,Q16&lt;=60),AND(Dashboard!$P$3="Over 60 days",Q16&gt;60),AND(Dashboard!$P$3="All overdue",Q16&gt;0)),1,0)</f>
        <v>1</v>
      </c>
      <c r="V16" s="138">
        <f>S16*U16</f>
        <v>114561937</v>
      </c>
      <c r="W16" s="138">
        <f>IF(Q16&gt;0,T16*Q16,0)</f>
        <v>3207734236.0</v>
      </c>
      <c r="X16" s="138">
        <f>IF(V16&gt;0,COUNTIF($V$6:V16,"&gt;0"),"")</f>
        <v>11</v>
      </c>
      <c r="Y16" s="154" t="str">
        <f>C16&amp;"|"&amp;D16</f>
        <v>AR-00011|70000011</v>
      </c>
      <c r="Z16" s="138"/>
      <c r="AA16" s="154" t="inlineStr">
        <is>
          <t>["Demo Company 010", "AR-00011", "70000011", "2026-06-24"]</t>
        </is>
      </c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</row>
    <row r="17" spans="1:41">
      <c r="A17" s="138" t="inlineStr">
        <is>
          <t>Client Alpha (Steel EPC)</t>
        </is>
      </c>
      <c r="B17" s="138" t="inlineStr">
        <is>
          <t>CLIENT ALPHA STEEL STRUCTURE CORPORATION</t>
        </is>
      </c>
      <c r="C17" s="138" t="inlineStr">
        <is>
          <t>AR-00012</t>
        </is>
      </c>
      <c r="D17" s="138" t="inlineStr">
        <is>
          <t>70000012</t>
        </is>
      </c>
      <c r="E17" s="141">
        <v>46210.0</v>
      </c>
      <c r="F17" s="141">
        <v>46285.0</v>
      </c>
      <c r="G17" s="142">
        <v>54738470</v>
      </c>
      <c r="H17" s="142">
        <v>0</v>
      </c>
      <c r="I17" s="142">
        <v>54738470</v>
      </c>
      <c r="J17" s="138" t="inlineStr">
        <is>
          <t>Senior Sales Rep 1</t>
        </is>
      </c>
      <c r="K17" s="138" t="inlineStr">
        <is>
          <t>Trading</t>
        </is>
      </c>
      <c r="L17" s="138" t="inlineStr">
        <is>
          <t>Project 006</t>
        </is>
      </c>
      <c r="M17" s="138" t="inlineStr">
        <is>
          <t>Collection note 008</t>
        </is>
      </c>
      <c r="N17" s="143"/>
      <c r="O17" s="143"/>
      <c r="P17" s="144"/>
      <c r="Q17" s="138">
        <f>IF(ISNUMBER(F17),Dashboard!$D$2-F17,"")</f>
        <v>15.0</v>
      </c>
      <c r="R17" s="138">
        <f>IF(AND(OR(Dashboard!$P$1="All",A17=Dashboard!$P$1),OR(Dashboard!$P$2="All",J17=Dashboard!$P$2)),1,0)</f>
        <v>1</v>
      </c>
      <c r="S17" s="138">
        <f>I17*R17</f>
        <v>54738470</v>
      </c>
      <c r="T17" s="138">
        <f>IF(AND(ISNUMBER(Q17),Q17&gt;0),S17,0)</f>
        <v>54738470</v>
      </c>
      <c r="U17" s="138">
        <f>IF(OR(Dashboard!$P$3="All",AND(Dashboard!$P$3="Not due",Q17&lt;0),AND(Dashboard!$P$3="Due in 10 days",Q17&gt;=-10,Q17&lt;=0),AND(Dashboard!$P$3="Due in 30 days",Q17&gt;=-30,Q17&lt;=0),AND(Dashboard!$P$3="Overdue 1–60 days",Q17&gt;0,Q17&lt;=60),AND(Dashboard!$P$3="Over 60 days",Q17&gt;60),AND(Dashboard!$P$3="All overdue",Q17&gt;0)),1,0)</f>
        <v>1</v>
      </c>
      <c r="V17" s="138">
        <f>S17*U17</f>
        <v>54738470</v>
      </c>
      <c r="W17" s="138">
        <f>IF(Q17&gt;0,T17*Q17,0)</f>
        <v>821077050.0</v>
      </c>
      <c r="X17" s="138">
        <f>IF(V17&gt;0,COUNTIF($V$6:V17,"&gt;0"),"")</f>
        <v>12</v>
      </c>
      <c r="Y17" s="154" t="str">
        <f>C17&amp;"|"&amp;D17</f>
        <v>AR-00012|70000012</v>
      </c>
      <c r="Z17" s="138"/>
      <c r="AA17" s="154" t="inlineStr">
        <is>
          <t>["Demo Company 010", "AR-00012", "70000012", "2026-07-07"]</t>
        </is>
      </c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</row>
    <row r="18" spans="1:41">
      <c r="A18" s="138" t="inlineStr">
        <is>
          <t>Client Alpha (Steel EPC)</t>
        </is>
      </c>
      <c r="B18" s="138" t="inlineStr">
        <is>
          <t>CLIENT ALPHA STEEL STRUCTURE CORPORATION</t>
        </is>
      </c>
      <c r="C18" s="138" t="inlineStr">
        <is>
          <t>AR-00013</t>
        </is>
      </c>
      <c r="D18" s="138" t="inlineStr">
        <is>
          <t>70000013</t>
        </is>
      </c>
      <c r="E18" s="141">
        <v>46210.0</v>
      </c>
      <c r="F18" s="141">
        <v>46285.0</v>
      </c>
      <c r="G18" s="142">
        <v>867074591</v>
      </c>
      <c r="H18" s="142">
        <v>0</v>
      </c>
      <c r="I18" s="142">
        <v>867074591</v>
      </c>
      <c r="J18" s="138" t="inlineStr">
        <is>
          <t>Senior Sales Rep 1</t>
        </is>
      </c>
      <c r="K18" s="138" t="inlineStr">
        <is>
          <t>Trading</t>
        </is>
      </c>
      <c r="L18" s="138" t="inlineStr">
        <is>
          <t>Project 007</t>
        </is>
      </c>
      <c r="M18" s="138" t="inlineStr">
        <is>
          <t>Collection note 008</t>
        </is>
      </c>
      <c r="N18" s="143"/>
      <c r="O18" s="143"/>
      <c r="P18" s="144"/>
      <c r="Q18" s="138">
        <f>IF(ISNUMBER(F18),Dashboard!$D$2-F18,"")</f>
        <v>15.0</v>
      </c>
      <c r="R18" s="138">
        <f>IF(AND(OR(Dashboard!$P$1="All",A18=Dashboard!$P$1),OR(Dashboard!$P$2="All",J18=Dashboard!$P$2)),1,0)</f>
        <v>1</v>
      </c>
      <c r="S18" s="138">
        <f>I18*R18</f>
        <v>867074591</v>
      </c>
      <c r="T18" s="138">
        <f>IF(AND(ISNUMBER(Q18),Q18&gt;0),S18,0)</f>
        <v>867074591</v>
      </c>
      <c r="U18" s="138">
        <f>IF(OR(Dashboard!$P$3="All",AND(Dashboard!$P$3="Not due",Q18&lt;0),AND(Dashboard!$P$3="Due in 10 days",Q18&gt;=-10,Q18&lt;=0),AND(Dashboard!$P$3="Due in 30 days",Q18&gt;=-30,Q18&lt;=0),AND(Dashboard!$P$3="Overdue 1–60 days",Q18&gt;0,Q18&lt;=60),AND(Dashboard!$P$3="Over 60 days",Q18&gt;60),AND(Dashboard!$P$3="All overdue",Q18&gt;0)),1,0)</f>
        <v>1</v>
      </c>
      <c r="V18" s="138">
        <f>S18*U18</f>
        <v>867074591</v>
      </c>
      <c r="W18" s="138">
        <f>IF(Q18&gt;0,T18*Q18,0)</f>
        <v>13006118865.0</v>
      </c>
      <c r="X18" s="138">
        <f>IF(V18&gt;0,COUNTIF($V$6:V18,"&gt;0"),"")</f>
        <v>13</v>
      </c>
      <c r="Y18" s="154" t="str">
        <f>C18&amp;"|"&amp;D18</f>
        <v>AR-00013|70000013</v>
      </c>
      <c r="Z18" s="138"/>
      <c r="AA18" s="154" t="inlineStr">
        <is>
          <t>["Demo Company 010", "AR-00013", "70000013", "2026-07-07"]</t>
        </is>
      </c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</row>
    <row r="19" spans="1:41">
      <c r="A19" s="138" t="inlineStr">
        <is>
          <t>Client Alpha (Steel EPC)</t>
        </is>
      </c>
      <c r="B19" s="138" t="inlineStr">
        <is>
          <t>CLIENT ALPHA STEEL STRUCTURE CORPORATION</t>
        </is>
      </c>
      <c r="C19" s="138" t="inlineStr">
        <is>
          <t>AR-00014</t>
        </is>
      </c>
      <c r="D19" s="138" t="inlineStr">
        <is>
          <t>70000014</t>
        </is>
      </c>
      <c r="E19" s="141">
        <v>46210.0</v>
      </c>
      <c r="F19" s="141">
        <v>46285.0</v>
      </c>
      <c r="G19" s="142">
        <v>21434303</v>
      </c>
      <c r="H19" s="142">
        <v>0</v>
      </c>
      <c r="I19" s="142">
        <v>21434303</v>
      </c>
      <c r="J19" s="138" t="inlineStr">
        <is>
          <t>Senior Sales Rep 1</t>
        </is>
      </c>
      <c r="K19" s="138" t="inlineStr">
        <is>
          <t>Trading</t>
        </is>
      </c>
      <c r="L19" s="138" t="inlineStr">
        <is>
          <t>Project 008</t>
        </is>
      </c>
      <c r="M19" s="138" t="inlineStr">
        <is>
          <t>Collection note 008</t>
        </is>
      </c>
      <c r="N19" s="143"/>
      <c r="O19" s="143"/>
      <c r="P19" s="144"/>
      <c r="Q19" s="138">
        <f>IF(ISNUMBER(F19),Dashboard!$D$2-F19,"")</f>
        <v>15.0</v>
      </c>
      <c r="R19" s="138">
        <f>IF(AND(OR(Dashboard!$P$1="All",A19=Dashboard!$P$1),OR(Dashboard!$P$2="All",J19=Dashboard!$P$2)),1,0)</f>
        <v>1</v>
      </c>
      <c r="S19" s="138">
        <f>I19*R19</f>
        <v>21434303</v>
      </c>
      <c r="T19" s="138">
        <f>IF(AND(ISNUMBER(Q19),Q19&gt;0),S19,0)</f>
        <v>21434303</v>
      </c>
      <c r="U19" s="138">
        <f>IF(OR(Dashboard!$P$3="All",AND(Dashboard!$P$3="Not due",Q19&lt;0),AND(Dashboard!$P$3="Due in 10 days",Q19&gt;=-10,Q19&lt;=0),AND(Dashboard!$P$3="Due in 30 days",Q19&gt;=-30,Q19&lt;=0),AND(Dashboard!$P$3="Overdue 1–60 days",Q19&gt;0,Q19&lt;=60),AND(Dashboard!$P$3="Over 60 days",Q19&gt;60),AND(Dashboard!$P$3="All overdue",Q19&gt;0)),1,0)</f>
        <v>1</v>
      </c>
      <c r="V19" s="138">
        <f>S19*U19</f>
        <v>21434303</v>
      </c>
      <c r="W19" s="138">
        <f>IF(Q19&gt;0,T19*Q19,0)</f>
        <v>321514545.0</v>
      </c>
      <c r="X19" s="138">
        <f>IF(V19&gt;0,COUNTIF($V$6:V19,"&gt;0"),"")</f>
        <v>14</v>
      </c>
      <c r="Y19" s="154" t="str">
        <f>C19&amp;"|"&amp;D19</f>
        <v>AR-00014|70000014</v>
      </c>
      <c r="Z19" s="138"/>
      <c r="AA19" s="154" t="inlineStr">
        <is>
          <t>["Demo Company 010", "AR-00014", "70000014", "2026-07-07"]</t>
        </is>
      </c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</row>
    <row r="20" spans="1:41">
      <c r="A20" s="138" t="inlineStr">
        <is>
          <t>Client Alpha (Steel EPC)</t>
        </is>
      </c>
      <c r="B20" s="138" t="inlineStr">
        <is>
          <t>CLIENT ALPHA STEEL STRUCTURE CORPORATION</t>
        </is>
      </c>
      <c r="C20" s="138" t="inlineStr">
        <is>
          <t>AR-00015</t>
        </is>
      </c>
      <c r="D20" s="138" t="inlineStr">
        <is>
          <t>70000015</t>
        </is>
      </c>
      <c r="E20" s="141">
        <v>46218.0</v>
      </c>
      <c r="F20" s="141">
        <v>46293.0</v>
      </c>
      <c r="G20" s="142">
        <v>146356352</v>
      </c>
      <c r="H20" s="142">
        <v>0</v>
      </c>
      <c r="I20" s="142">
        <v>146356352</v>
      </c>
      <c r="J20" s="138" t="inlineStr">
        <is>
          <t>Senior Sales Rep 1</t>
        </is>
      </c>
      <c r="K20" s="138" t="inlineStr">
        <is>
          <t>Trading</t>
        </is>
      </c>
      <c r="L20" s="138" t="inlineStr">
        <is>
          <t>Project 002</t>
        </is>
      </c>
      <c r="M20" s="138" t="inlineStr">
        <is>
          <t>Collection note 009</t>
        </is>
      </c>
      <c r="N20" s="143"/>
      <c r="O20" s="143"/>
      <c r="P20" s="144"/>
      <c r="Q20" s="138">
        <f>IF(ISNUMBER(F20),Dashboard!$D$2-F20,"")</f>
        <v>7.0</v>
      </c>
      <c r="R20" s="138">
        <f>IF(AND(OR(Dashboard!$P$1="All",A20=Dashboard!$P$1),OR(Dashboard!$P$2="All",J20=Dashboard!$P$2)),1,0)</f>
        <v>1</v>
      </c>
      <c r="S20" s="138">
        <f>I20*R20</f>
        <v>146356352</v>
      </c>
      <c r="T20" s="138">
        <f>IF(AND(ISNUMBER(Q20),Q20&gt;0),S20,0)</f>
        <v>146356352</v>
      </c>
      <c r="U20" s="138">
        <f>IF(OR(Dashboard!$P$3="All",AND(Dashboard!$P$3="Not due",Q20&lt;0),AND(Dashboard!$P$3="Due in 10 days",Q20&gt;=-10,Q20&lt;=0),AND(Dashboard!$P$3="Due in 30 days",Q20&gt;=-30,Q20&lt;=0),AND(Dashboard!$P$3="Overdue 1–60 days",Q20&gt;0,Q20&lt;=60),AND(Dashboard!$P$3="Over 60 days",Q20&gt;60),AND(Dashboard!$P$3="All overdue",Q20&gt;0)),1,0)</f>
        <v>1</v>
      </c>
      <c r="V20" s="138">
        <f>S20*U20</f>
        <v>146356352</v>
      </c>
      <c r="W20" s="138">
        <f>IF(Q20&gt;0,T20*Q20,0)</f>
        <v>1024494464.0</v>
      </c>
      <c r="X20" s="138">
        <f>IF(V20&gt;0,COUNTIF($V$6:V20,"&gt;0"),"")</f>
        <v>15</v>
      </c>
      <c r="Y20" s="154" t="str">
        <f>C20&amp;"|"&amp;D20</f>
        <v>AR-00015|70000015</v>
      </c>
      <c r="Z20" s="138"/>
      <c r="AA20" s="154" t="inlineStr">
        <is>
          <t>["Demo Company 010", "AR-00015", "70000015", "2026-07-15"]</t>
        </is>
      </c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</row>
    <row r="21" spans="1:41">
      <c r="A21" s="138" t="inlineStr">
        <is>
          <t>Client Alpha (Steel EPC)</t>
        </is>
      </c>
      <c r="B21" s="138" t="inlineStr">
        <is>
          <t>CLIENT ALPHA STEEL STRUCTURE CORPORATION</t>
        </is>
      </c>
      <c r="C21" s="138" t="inlineStr">
        <is>
          <t>AR-00016</t>
        </is>
      </c>
      <c r="D21" s="138" t="inlineStr">
        <is>
          <t>70000016</t>
        </is>
      </c>
      <c r="E21" s="141">
        <v>46220.0</v>
      </c>
      <c r="F21" s="141">
        <v>46295.0</v>
      </c>
      <c r="G21" s="142">
        <v>203352659</v>
      </c>
      <c r="H21" s="142">
        <v>0</v>
      </c>
      <c r="I21" s="142">
        <v>203352659</v>
      </c>
      <c r="J21" s="138" t="inlineStr">
        <is>
          <t>Senior Sales Rep 1</t>
        </is>
      </c>
      <c r="K21" s="138" t="inlineStr">
        <is>
          <t>Trading</t>
        </is>
      </c>
      <c r="L21" s="138" t="inlineStr">
        <is>
          <t>Project 003</t>
        </is>
      </c>
      <c r="M21" s="138" t="inlineStr">
        <is>
          <t>Collection note 008</t>
        </is>
      </c>
      <c r="N21" s="143"/>
      <c r="O21" s="143"/>
      <c r="P21" s="144"/>
      <c r="Q21" s="138">
        <f>IF(ISNUMBER(F21),Dashboard!$D$2-F21,"")</f>
        <v>5.0</v>
      </c>
      <c r="R21" s="138">
        <f>IF(AND(OR(Dashboard!$P$1="All",A21=Dashboard!$P$1),OR(Dashboard!$P$2="All",J21=Dashboard!$P$2)),1,0)</f>
        <v>1</v>
      </c>
      <c r="S21" s="138">
        <f>I21*R21</f>
        <v>203352659</v>
      </c>
      <c r="T21" s="138">
        <f>IF(AND(ISNUMBER(Q21),Q21&gt;0),S21,0)</f>
        <v>203352659</v>
      </c>
      <c r="U21" s="138">
        <f>IF(OR(Dashboard!$P$3="All",AND(Dashboard!$P$3="Not due",Q21&lt;0),AND(Dashboard!$P$3="Due in 10 days",Q21&gt;=-10,Q21&lt;=0),AND(Dashboard!$P$3="Due in 30 days",Q21&gt;=-30,Q21&lt;=0),AND(Dashboard!$P$3="Overdue 1–60 days",Q21&gt;0,Q21&lt;=60),AND(Dashboard!$P$3="Over 60 days",Q21&gt;60),AND(Dashboard!$P$3="All overdue",Q21&gt;0)),1,0)</f>
        <v>1</v>
      </c>
      <c r="V21" s="138">
        <f>S21*U21</f>
        <v>203352659</v>
      </c>
      <c r="W21" s="138">
        <f>IF(Q21&gt;0,T21*Q21,0)</f>
        <v>1016763295.0</v>
      </c>
      <c r="X21" s="138">
        <f>IF(V21&gt;0,COUNTIF($V$6:V21,"&gt;0"),"")</f>
        <v>16</v>
      </c>
      <c r="Y21" s="154" t="str">
        <f>C21&amp;"|"&amp;D21</f>
        <v>AR-00016|70000016</v>
      </c>
      <c r="Z21" s="138"/>
      <c r="AA21" s="154" t="inlineStr">
        <is>
          <t>["Demo Company 010", "AR-00016", "70000016", "2026-07-17"]</t>
        </is>
      </c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</row>
    <row r="22" spans="1:41">
      <c r="A22" s="138" t="inlineStr">
        <is>
          <t>Client Alpha (Steel EPC)</t>
        </is>
      </c>
      <c r="B22" s="138" t="inlineStr">
        <is>
          <t>CLIENT ALPHA STEEL STRUCTURE CORPORATION</t>
        </is>
      </c>
      <c r="C22" s="138" t="inlineStr">
        <is>
          <t>AR-00017</t>
        </is>
      </c>
      <c r="D22" s="138" t="inlineStr">
        <is>
          <t>70000017</t>
        </is>
      </c>
      <c r="E22" s="141">
        <v>46220.0</v>
      </c>
      <c r="F22" s="141">
        <v>46295.0</v>
      </c>
      <c r="G22" s="142">
        <v>271688134</v>
      </c>
      <c r="H22" s="142">
        <v>0</v>
      </c>
      <c r="I22" s="142">
        <v>271688134</v>
      </c>
      <c r="J22" s="138" t="inlineStr">
        <is>
          <t>Senior Sales Rep 1</t>
        </is>
      </c>
      <c r="K22" s="138" t="inlineStr">
        <is>
          <t>Trading</t>
        </is>
      </c>
      <c r="L22" s="138" t="inlineStr">
        <is>
          <t>Project 004</t>
        </is>
      </c>
      <c r="M22" s="138" t="inlineStr">
        <is>
          <t>Collection note 008</t>
        </is>
      </c>
      <c r="N22" s="143"/>
      <c r="O22" s="143"/>
      <c r="P22" s="144"/>
      <c r="Q22" s="138">
        <f>IF(ISNUMBER(F22),Dashboard!$D$2-F22,"")</f>
        <v>5.0</v>
      </c>
      <c r="R22" s="138">
        <f>IF(AND(OR(Dashboard!$P$1="All",A22=Dashboard!$P$1),OR(Dashboard!$P$2="All",J22=Dashboard!$P$2)),1,0)</f>
        <v>1</v>
      </c>
      <c r="S22" s="138">
        <f>I22*R22</f>
        <v>271688134</v>
      </c>
      <c r="T22" s="138">
        <f>IF(AND(ISNUMBER(Q22),Q22&gt;0),S22,0)</f>
        <v>271688134</v>
      </c>
      <c r="U22" s="138">
        <f>IF(OR(Dashboard!$P$3="All",AND(Dashboard!$P$3="Not due",Q22&lt;0),AND(Dashboard!$P$3="Due in 10 days",Q22&gt;=-10,Q22&lt;=0),AND(Dashboard!$P$3="Due in 30 days",Q22&gt;=-30,Q22&lt;=0),AND(Dashboard!$P$3="Overdue 1–60 days",Q22&gt;0,Q22&lt;=60),AND(Dashboard!$P$3="Over 60 days",Q22&gt;60),AND(Dashboard!$P$3="All overdue",Q22&gt;0)),1,0)</f>
        <v>1</v>
      </c>
      <c r="V22" s="138">
        <f>S22*U22</f>
        <v>271688134</v>
      </c>
      <c r="W22" s="138">
        <f>IF(Q22&gt;0,T22*Q22,0)</f>
        <v>1358440670.0</v>
      </c>
      <c r="X22" s="138">
        <f>IF(V22&gt;0,COUNTIF($V$6:V22,"&gt;0"),"")</f>
        <v>17</v>
      </c>
      <c r="Y22" s="154" t="str">
        <f>C22&amp;"|"&amp;D22</f>
        <v>AR-00017|70000017</v>
      </c>
      <c r="Z22" s="138"/>
      <c r="AA22" s="154" t="inlineStr">
        <is>
          <t>["Demo Company 010", "AR-00017", "70000017", "2026-07-17"]</t>
        </is>
      </c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</row>
    <row r="23" spans="1:41">
      <c r="A23" s="138" t="inlineStr">
        <is>
          <t>Client Alpha (Steel EPC)</t>
        </is>
      </c>
      <c r="B23" s="138" t="inlineStr">
        <is>
          <t>CLIENT ALPHA STEEL STRUCTURE CORPORATION</t>
        </is>
      </c>
      <c r="C23" s="138" t="inlineStr">
        <is>
          <t>AR-00018</t>
        </is>
      </c>
      <c r="D23" s="138" t="inlineStr">
        <is>
          <t>70000018</t>
        </is>
      </c>
      <c r="E23" s="141">
        <v>46220.0</v>
      </c>
      <c r="F23" s="141">
        <v>46295.0</v>
      </c>
      <c r="G23" s="142">
        <v>330520960</v>
      </c>
      <c r="H23" s="142">
        <v>0</v>
      </c>
      <c r="I23" s="142">
        <v>330520960</v>
      </c>
      <c r="J23" s="138" t="inlineStr">
        <is>
          <t>Senior Sales Rep 1</t>
        </is>
      </c>
      <c r="K23" s="138" t="inlineStr">
        <is>
          <t>Trading</t>
        </is>
      </c>
      <c r="L23" s="138" t="inlineStr">
        <is>
          <t>Project 005</t>
        </is>
      </c>
      <c r="M23" s="138" t="inlineStr">
        <is>
          <t>Collection note 008</t>
        </is>
      </c>
      <c r="N23" s="143"/>
      <c r="O23" s="143"/>
      <c r="P23" s="144"/>
      <c r="Q23" s="138">
        <f>IF(ISNUMBER(F23),Dashboard!$D$2-F23,"")</f>
        <v>5.0</v>
      </c>
      <c r="R23" s="138">
        <f>IF(AND(OR(Dashboard!$P$1="All",A23=Dashboard!$P$1),OR(Dashboard!$P$2="All",J23=Dashboard!$P$2)),1,0)</f>
        <v>1</v>
      </c>
      <c r="S23" s="138">
        <f>I23*R23</f>
        <v>330520960</v>
      </c>
      <c r="T23" s="138">
        <f>IF(AND(ISNUMBER(Q23),Q23&gt;0),S23,0)</f>
        <v>330520960</v>
      </c>
      <c r="U23" s="138">
        <f>IF(OR(Dashboard!$P$3="All",AND(Dashboard!$P$3="Not due",Q23&lt;0),AND(Dashboard!$P$3="Due in 10 days",Q23&gt;=-10,Q23&lt;=0),AND(Dashboard!$P$3="Due in 30 days",Q23&gt;=-30,Q23&lt;=0),AND(Dashboard!$P$3="Overdue 1–60 days",Q23&gt;0,Q23&lt;=60),AND(Dashboard!$P$3="Over 60 days",Q23&gt;60),AND(Dashboard!$P$3="All overdue",Q23&gt;0)),1,0)</f>
        <v>1</v>
      </c>
      <c r="V23" s="138">
        <f>S23*U23</f>
        <v>330520960</v>
      </c>
      <c r="W23" s="138">
        <f>IF(Q23&gt;0,T23*Q23,0)</f>
        <v>1652604800.0</v>
      </c>
      <c r="X23" s="138">
        <f>IF(V23&gt;0,COUNTIF($V$6:V23,"&gt;0"),"")</f>
        <v>18</v>
      </c>
      <c r="Y23" s="154" t="str">
        <f>C23&amp;"|"&amp;D23</f>
        <v>AR-00018|70000018</v>
      </c>
      <c r="Z23" s="138"/>
      <c r="AA23" s="154" t="inlineStr">
        <is>
          <t>["Demo Company 010", "AR-00018", "70000018", "2026-07-17"]</t>
        </is>
      </c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</row>
    <row r="24" spans="1:41">
      <c r="A24" s="138" t="inlineStr">
        <is>
          <t>Client Alpha (Steel EPC)</t>
        </is>
      </c>
      <c r="B24" s="138" t="inlineStr">
        <is>
          <t>CLIENT ALPHA STEEL STRUCTURE CORPORATION</t>
        </is>
      </c>
      <c r="C24" s="138" t="inlineStr">
        <is>
          <t>AR-00019</t>
        </is>
      </c>
      <c r="D24" s="138" t="inlineStr">
        <is>
          <t>70000019</t>
        </is>
      </c>
      <c r="E24" s="141">
        <v>46225.0</v>
      </c>
      <c r="F24" s="141">
        <v>46300.0</v>
      </c>
      <c r="G24" s="142">
        <v>36887245</v>
      </c>
      <c r="H24" s="142">
        <v>0</v>
      </c>
      <c r="I24" s="142">
        <v>36887245</v>
      </c>
      <c r="J24" s="138" t="inlineStr">
        <is>
          <t>Senior Sales Rep 1</t>
        </is>
      </c>
      <c r="K24" s="138" t="inlineStr">
        <is>
          <t>Trading</t>
        </is>
      </c>
      <c r="L24" s="138" t="inlineStr">
        <is>
          <t>Project 006</t>
        </is>
      </c>
      <c r="M24" s="138" t="inlineStr">
        <is>
          <t>Collection note 007</t>
        </is>
      </c>
      <c r="N24" s="143"/>
      <c r="O24" s="143"/>
      <c r="P24" s="144"/>
      <c r="Q24" s="138">
        <f>IF(ISNUMBER(F24),Dashboard!$D$2-F24,"")</f>
        <v>0.0</v>
      </c>
      <c r="R24" s="138">
        <f>IF(AND(OR(Dashboard!$P$1="All",A24=Dashboard!$P$1),OR(Dashboard!$P$2="All",J24=Dashboard!$P$2)),1,0)</f>
        <v>1</v>
      </c>
      <c r="S24" s="138">
        <f>I24*R24</f>
        <v>36887245</v>
      </c>
      <c r="T24" s="138">
        <f>IF(AND(ISNUMBER(Q24),Q24&gt;0),S24,0)</f>
        <v>0</v>
      </c>
      <c r="U24" s="138">
        <f>IF(OR(Dashboard!$P$3="All",AND(Dashboard!$P$3="Not due",Q24&lt;0),AND(Dashboard!$P$3="Due in 10 days",Q24&gt;=-10,Q24&lt;=0),AND(Dashboard!$P$3="Due in 30 days",Q24&gt;=-30,Q24&lt;=0),AND(Dashboard!$P$3="Overdue 1–60 days",Q24&gt;0,Q24&lt;=60),AND(Dashboard!$P$3="Over 60 days",Q24&gt;60),AND(Dashboard!$P$3="All overdue",Q24&gt;0)),1,0)</f>
        <v>1</v>
      </c>
      <c r="V24" s="138">
        <f>S24*U24</f>
        <v>36887245</v>
      </c>
      <c r="W24" s="138">
        <f>IF(Q24&gt;0,T24*Q24,0)</f>
        <v>0</v>
      </c>
      <c r="X24" s="138">
        <f>IF(V24&gt;0,COUNTIF($V$6:V24,"&gt;0"),"")</f>
        <v>19</v>
      </c>
      <c r="Y24" s="154" t="str">
        <f>C24&amp;"|"&amp;D24</f>
        <v>AR-00019|70000019</v>
      </c>
      <c r="Z24" s="138"/>
      <c r="AA24" s="154" t="inlineStr">
        <is>
          <t>["Demo Company 010", "AR-00019", "70000019", "2026-07-22"]</t>
        </is>
      </c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</row>
    <row r="25" spans="1:41">
      <c r="A25" s="138" t="inlineStr">
        <is>
          <t>Client Alpha (Steel EPC)</t>
        </is>
      </c>
      <c r="B25" s="138" t="inlineStr">
        <is>
          <t>CLIENT ALPHA STEEL STRUCTURE CORPORATION</t>
        </is>
      </c>
      <c r="C25" s="138" t="inlineStr">
        <is>
          <t>AR-00020</t>
        </is>
      </c>
      <c r="D25" s="138" t="inlineStr">
        <is>
          <t>70000020</t>
        </is>
      </c>
      <c r="E25" s="141">
        <v>46226.0</v>
      </c>
      <c r="F25" s="141">
        <v>46301.0</v>
      </c>
      <c r="G25" s="142">
        <v>614459542</v>
      </c>
      <c r="H25" s="142">
        <v>0</v>
      </c>
      <c r="I25" s="142">
        <v>614459542</v>
      </c>
      <c r="J25" s="138" t="inlineStr">
        <is>
          <t>Senior Sales Rep 1</t>
        </is>
      </c>
      <c r="K25" s="138" t="inlineStr">
        <is>
          <t>Trading</t>
        </is>
      </c>
      <c r="L25" s="138" t="inlineStr">
        <is>
          <t>Project 007</t>
        </is>
      </c>
      <c r="M25" s="138" t="inlineStr">
        <is>
          <t>Collection note 007</t>
        </is>
      </c>
      <c r="N25" s="143"/>
      <c r="O25" s="143"/>
      <c r="P25" s="144"/>
      <c r="Q25" s="138">
        <f>IF(ISNUMBER(F25),Dashboard!$D$2-F25,"")</f>
        <v>-1.0</v>
      </c>
      <c r="R25" s="138">
        <f>IF(AND(OR(Dashboard!$P$1="All",A25=Dashboard!$P$1),OR(Dashboard!$P$2="All",J25=Dashboard!$P$2)),1,0)</f>
        <v>1</v>
      </c>
      <c r="S25" s="138">
        <f>I25*R25</f>
        <v>614459542</v>
      </c>
      <c r="T25" s="138">
        <f>IF(AND(ISNUMBER(Q25),Q25&gt;0),S25,0)</f>
        <v>0</v>
      </c>
      <c r="U25" s="138">
        <f>IF(OR(Dashboard!$P$3="All",AND(Dashboard!$P$3="Not due",Q25&lt;0),AND(Dashboard!$P$3="Due in 10 days",Q25&gt;=-10,Q25&lt;=0),AND(Dashboard!$P$3="Due in 30 days",Q25&gt;=-30,Q25&lt;=0),AND(Dashboard!$P$3="Overdue 1–60 days",Q25&gt;0,Q25&lt;=60),AND(Dashboard!$P$3="Over 60 days",Q25&gt;60),AND(Dashboard!$P$3="All overdue",Q25&gt;0)),1,0)</f>
        <v>1</v>
      </c>
      <c r="V25" s="138">
        <f>S25*U25</f>
        <v>614459542</v>
      </c>
      <c r="W25" s="138">
        <f>IF(Q25&gt;0,T25*Q25,0)</f>
        <v>0</v>
      </c>
      <c r="X25" s="138">
        <f>IF(V25&gt;0,COUNTIF($V$6:V25,"&gt;0"),"")</f>
        <v>20</v>
      </c>
      <c r="Y25" s="154" t="str">
        <f>C25&amp;"|"&amp;D25</f>
        <v>AR-00020|70000020</v>
      </c>
      <c r="Z25" s="138"/>
      <c r="AA25" s="154" t="inlineStr">
        <is>
          <t>["Demo Company 010", "AR-00020", "70000020", "2026-07-23"]</t>
        </is>
      </c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</row>
    <row r="26" spans="1:41">
      <c r="A26" s="138" t="inlineStr">
        <is>
          <t>Client Alpha (Steel EPC)</t>
        </is>
      </c>
      <c r="B26" s="138" t="inlineStr">
        <is>
          <t>CLIENT ALPHA STEEL STRUCTURE CORPORATION</t>
        </is>
      </c>
      <c r="C26" s="138" t="inlineStr">
        <is>
          <t>AR-00021</t>
        </is>
      </c>
      <c r="D26" s="138" t="inlineStr">
        <is>
          <t>70000021</t>
        </is>
      </c>
      <c r="E26" s="141">
        <v>46233.0</v>
      </c>
      <c r="F26" s="141">
        <v>46308.0</v>
      </c>
      <c r="G26" s="142">
        <v>342723235</v>
      </c>
      <c r="H26" s="142">
        <v>0</v>
      </c>
      <c r="I26" s="142">
        <v>342723235</v>
      </c>
      <c r="J26" s="138" t="inlineStr">
        <is>
          <t>Senior Sales Rep 1</t>
        </is>
      </c>
      <c r="K26" s="138" t="inlineStr">
        <is>
          <t>Trading</t>
        </is>
      </c>
      <c r="L26" s="138" t="inlineStr">
        <is>
          <t>Project 008</t>
        </is>
      </c>
      <c r="M26" s="138" t="inlineStr">
        <is>
          <t>Collection note 009</t>
        </is>
      </c>
      <c r="N26" s="143"/>
      <c r="O26" s="143"/>
      <c r="P26" s="144"/>
      <c r="Q26" s="138">
        <f>IF(ISNUMBER(F26),Dashboard!$D$2-F26,"")</f>
        <v>-8.0</v>
      </c>
      <c r="R26" s="138">
        <f>IF(AND(OR(Dashboard!$P$1="All",A26=Dashboard!$P$1),OR(Dashboard!$P$2="All",J26=Dashboard!$P$2)),1,0)</f>
        <v>1</v>
      </c>
      <c r="S26" s="138">
        <f>I26*R26</f>
        <v>342723235</v>
      </c>
      <c r="T26" s="138">
        <f>IF(AND(ISNUMBER(Q26),Q26&gt;0),S26,0)</f>
        <v>0</v>
      </c>
      <c r="U26" s="138">
        <f>IF(OR(Dashboard!$P$3="All",AND(Dashboard!$P$3="Not due",Q26&lt;0),AND(Dashboard!$P$3="Due in 10 days",Q26&gt;=-10,Q26&lt;=0),AND(Dashboard!$P$3="Due in 30 days",Q26&gt;=-30,Q26&lt;=0),AND(Dashboard!$P$3="Overdue 1–60 days",Q26&gt;0,Q26&lt;=60),AND(Dashboard!$P$3="Over 60 days",Q26&gt;60),AND(Dashboard!$P$3="All overdue",Q26&gt;0)),1,0)</f>
        <v>1</v>
      </c>
      <c r="V26" s="138">
        <f>S26*U26</f>
        <v>342723235</v>
      </c>
      <c r="W26" s="138">
        <f>IF(Q26&gt;0,T26*Q26,0)</f>
        <v>0</v>
      </c>
      <c r="X26" s="138">
        <f>IF(V26&gt;0,COUNTIF($V$6:V26,"&gt;0"),"")</f>
        <v>21</v>
      </c>
      <c r="Y26" s="154" t="str">
        <f>C26&amp;"|"&amp;D26</f>
        <v>AR-00021|70000021</v>
      </c>
      <c r="Z26" s="138"/>
      <c r="AA26" s="154" t="inlineStr">
        <is>
          <t>["Demo Company 010", "AR-00021", "70000021", "2026-07-30"]</t>
        </is>
      </c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</row>
    <row r="27" spans="1:41">
      <c r="A27" s="138" t="inlineStr">
        <is>
          <t>Client Alpha (Steel EPC)</t>
        </is>
      </c>
      <c r="B27" s="138" t="inlineStr">
        <is>
          <t>CLIENT ALPHA STEEL STRUCTURE CORPORATION</t>
        </is>
      </c>
      <c r="C27" s="138" t="inlineStr">
        <is>
          <t>AR-00022</t>
        </is>
      </c>
      <c r="D27" s="138" t="inlineStr">
        <is>
          <t>70000022</t>
        </is>
      </c>
      <c r="E27" s="141">
        <v>46233.0</v>
      </c>
      <c r="F27" s="141">
        <v>46308.0</v>
      </c>
      <c r="G27" s="142">
        <v>171361617</v>
      </c>
      <c r="H27" s="142">
        <v>0</v>
      </c>
      <c r="I27" s="142">
        <v>171361617</v>
      </c>
      <c r="J27" s="138" t="inlineStr">
        <is>
          <t>Senior Sales Rep 1</t>
        </is>
      </c>
      <c r="K27" s="138" t="inlineStr">
        <is>
          <t>Trading</t>
        </is>
      </c>
      <c r="L27" s="138" t="inlineStr">
        <is>
          <t>Project 002</t>
        </is>
      </c>
      <c r="M27" s="138" t="inlineStr">
        <is>
          <t>Collection note 009</t>
        </is>
      </c>
      <c r="N27" s="143"/>
      <c r="O27" s="143"/>
      <c r="P27" s="144"/>
      <c r="Q27" s="138">
        <f>IF(ISNUMBER(F27),Dashboard!$D$2-F27,"")</f>
        <v>-8.0</v>
      </c>
      <c r="R27" s="138">
        <f>IF(AND(OR(Dashboard!$P$1="All",A27=Dashboard!$P$1),OR(Dashboard!$P$2="All",J27=Dashboard!$P$2)),1,0)</f>
        <v>1</v>
      </c>
      <c r="S27" s="138">
        <f>I27*R27</f>
        <v>171361617</v>
      </c>
      <c r="T27" s="138">
        <f>IF(AND(ISNUMBER(Q27),Q27&gt;0),S27,0)</f>
        <v>0</v>
      </c>
      <c r="U27" s="138">
        <f>IF(OR(Dashboard!$P$3="All",AND(Dashboard!$P$3="Not due",Q27&lt;0),AND(Dashboard!$P$3="Due in 10 days",Q27&gt;=-10,Q27&lt;=0),AND(Dashboard!$P$3="Due in 30 days",Q27&gt;=-30,Q27&lt;=0),AND(Dashboard!$P$3="Overdue 1–60 days",Q27&gt;0,Q27&lt;=60),AND(Dashboard!$P$3="Over 60 days",Q27&gt;60),AND(Dashboard!$P$3="All overdue",Q27&gt;0)),1,0)</f>
        <v>1</v>
      </c>
      <c r="V27" s="138">
        <f>S27*U27</f>
        <v>171361617</v>
      </c>
      <c r="W27" s="138">
        <f>IF(Q27&gt;0,T27*Q27,0)</f>
        <v>0</v>
      </c>
      <c r="X27" s="138">
        <f>IF(V27&gt;0,COUNTIF($V$6:V27,"&gt;0"),"")</f>
        <v>22</v>
      </c>
      <c r="Y27" s="154" t="str">
        <f>C27&amp;"|"&amp;D27</f>
        <v>AR-00022|70000022</v>
      </c>
      <c r="Z27" s="138"/>
      <c r="AA27" s="154" t="inlineStr">
        <is>
          <t>["Demo Company 010", "AR-00022", "70000022", "2026-07-30"]</t>
        </is>
      </c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</row>
    <row r="28" spans="1:41">
      <c r="A28" s="138" t="inlineStr">
        <is>
          <t>Client Alpha (Steel EPC)</t>
        </is>
      </c>
      <c r="B28" s="138" t="inlineStr">
        <is>
          <t>CLIENT ALPHA STEEL STRUCTURE CORPORATION</t>
        </is>
      </c>
      <c r="C28" s="138" t="inlineStr">
        <is>
          <t>AR-00023</t>
        </is>
      </c>
      <c r="D28" s="138" t="inlineStr">
        <is>
          <t>70000023</t>
        </is>
      </c>
      <c r="E28" s="141">
        <v>46233.0</v>
      </c>
      <c r="F28" s="141">
        <v>46308.0</v>
      </c>
      <c r="G28" s="142">
        <v>62935389</v>
      </c>
      <c r="H28" s="142">
        <v>0</v>
      </c>
      <c r="I28" s="142">
        <v>62935389</v>
      </c>
      <c r="J28" s="138" t="inlineStr">
        <is>
          <t>Senior Sales Rep 1</t>
        </is>
      </c>
      <c r="K28" s="138" t="inlineStr">
        <is>
          <t>Trading</t>
        </is>
      </c>
      <c r="L28" s="138" t="inlineStr">
        <is>
          <t>Project 003</t>
        </is>
      </c>
      <c r="M28" s="138" t="inlineStr">
        <is>
          <t>Collection note 009</t>
        </is>
      </c>
      <c r="N28" s="143"/>
      <c r="O28" s="143"/>
      <c r="P28" s="144"/>
      <c r="Q28" s="138">
        <f>IF(ISNUMBER(F28),Dashboard!$D$2-F28,"")</f>
        <v>-8.0</v>
      </c>
      <c r="R28" s="138">
        <f>IF(AND(OR(Dashboard!$P$1="All",A28=Dashboard!$P$1),OR(Dashboard!$P$2="All",J28=Dashboard!$P$2)),1,0)</f>
        <v>1</v>
      </c>
      <c r="S28" s="138">
        <f>I28*R28</f>
        <v>62935389</v>
      </c>
      <c r="T28" s="138">
        <f>IF(AND(ISNUMBER(Q28),Q28&gt;0),S28,0)</f>
        <v>0</v>
      </c>
      <c r="U28" s="138">
        <f>IF(OR(Dashboard!$P$3="All",AND(Dashboard!$P$3="Not due",Q28&lt;0),AND(Dashboard!$P$3="Due in 10 days",Q28&gt;=-10,Q28&lt;=0),AND(Dashboard!$P$3="Due in 30 days",Q28&gt;=-30,Q28&lt;=0),AND(Dashboard!$P$3="Overdue 1–60 days",Q28&gt;0,Q28&lt;=60),AND(Dashboard!$P$3="Over 60 days",Q28&gt;60),AND(Dashboard!$P$3="All overdue",Q28&gt;0)),1,0)</f>
        <v>1</v>
      </c>
      <c r="V28" s="138">
        <f>S28*U28</f>
        <v>62935389</v>
      </c>
      <c r="W28" s="138">
        <f>IF(Q28&gt;0,T28*Q28,0)</f>
        <v>0</v>
      </c>
      <c r="X28" s="138">
        <f>IF(V28&gt;0,COUNTIF($V$6:V28,"&gt;0"),"")</f>
        <v>23</v>
      </c>
      <c r="Y28" s="154" t="str">
        <f>C28&amp;"|"&amp;D28</f>
        <v>AR-00023|70000023</v>
      </c>
      <c r="Z28" s="138"/>
      <c r="AA28" s="154" t="inlineStr">
        <is>
          <t>["Demo Company 010", "AR-00023", "70000023", "2026-07-30"]</t>
        </is>
      </c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</row>
    <row r="29" spans="1:41">
      <c r="A29" s="138" t="inlineStr">
        <is>
          <t>Client Alpha (Steel EPC)</t>
        </is>
      </c>
      <c r="B29" s="138" t="inlineStr">
        <is>
          <t>CLIENT ALPHA STEEL STRUCTURE CORPORATION</t>
        </is>
      </c>
      <c r="C29" s="138" t="inlineStr">
        <is>
          <t>AR-00024</t>
        </is>
      </c>
      <c r="D29" s="138" t="inlineStr">
        <is>
          <t>70000024</t>
        </is>
      </c>
      <c r="E29" s="141">
        <v>46233.0</v>
      </c>
      <c r="F29" s="141">
        <v>46308.0</v>
      </c>
      <c r="G29" s="142">
        <v>482373517</v>
      </c>
      <c r="H29" s="142">
        <v>0</v>
      </c>
      <c r="I29" s="142">
        <v>482373517</v>
      </c>
      <c r="J29" s="138" t="inlineStr">
        <is>
          <t>Senior Sales Rep 1</t>
        </is>
      </c>
      <c r="K29" s="138" t="inlineStr">
        <is>
          <t>Trading</t>
        </is>
      </c>
      <c r="L29" s="138" t="inlineStr">
        <is>
          <t>Project 004</t>
        </is>
      </c>
      <c r="M29" s="138" t="inlineStr">
        <is>
          <t>Collection note 009</t>
        </is>
      </c>
      <c r="N29" s="143"/>
      <c r="O29" s="143"/>
      <c r="P29" s="144"/>
      <c r="Q29" s="138">
        <f>IF(ISNUMBER(F29),Dashboard!$D$2-F29,"")</f>
        <v>-8.0</v>
      </c>
      <c r="R29" s="138">
        <f>IF(AND(OR(Dashboard!$P$1="All",A29=Dashboard!$P$1),OR(Dashboard!$P$2="All",J29=Dashboard!$P$2)),1,0)</f>
        <v>1</v>
      </c>
      <c r="S29" s="138">
        <f>I29*R29</f>
        <v>482373517</v>
      </c>
      <c r="T29" s="138">
        <f>IF(AND(ISNUMBER(Q29),Q29&gt;0),S29,0)</f>
        <v>0</v>
      </c>
      <c r="U29" s="138">
        <f>IF(OR(Dashboard!$P$3="All",AND(Dashboard!$P$3="Not due",Q29&lt;0),AND(Dashboard!$P$3="Due in 10 days",Q29&gt;=-10,Q29&lt;=0),AND(Dashboard!$P$3="Due in 30 days",Q29&gt;=-30,Q29&lt;=0),AND(Dashboard!$P$3="Overdue 1–60 days",Q29&gt;0,Q29&lt;=60),AND(Dashboard!$P$3="Over 60 days",Q29&gt;60),AND(Dashboard!$P$3="All overdue",Q29&gt;0)),1,0)</f>
        <v>1</v>
      </c>
      <c r="V29" s="138">
        <f>S29*U29</f>
        <v>482373517</v>
      </c>
      <c r="W29" s="138">
        <f>IF(Q29&gt;0,T29*Q29,0)</f>
        <v>0</v>
      </c>
      <c r="X29" s="138">
        <f>IF(V29&gt;0,COUNTIF($V$6:V29,"&gt;0"),"")</f>
        <v>24</v>
      </c>
      <c r="Y29" s="154" t="str">
        <f>C29&amp;"|"&amp;D29</f>
        <v>AR-00024|70000024</v>
      </c>
      <c r="Z29" s="138"/>
      <c r="AA29" s="154" t="inlineStr">
        <is>
          <t>["Demo Company 010", "AR-00024", "70000024", "2026-07-30"]</t>
        </is>
      </c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</row>
    <row r="30" spans="1:41">
      <c r="A30" s="138" t="inlineStr">
        <is>
          <t>Client Alpha (Steel EPC)</t>
        </is>
      </c>
      <c r="B30" s="138" t="inlineStr">
        <is>
          <t>CLIENT ALPHA STEEL STRUCTURE CORPORATION</t>
        </is>
      </c>
      <c r="C30" s="138" t="inlineStr">
        <is>
          <t>AR-00025</t>
        </is>
      </c>
      <c r="D30" s="138" t="inlineStr">
        <is>
          <t>70000025</t>
        </is>
      </c>
      <c r="E30" s="141">
        <v>46233.0</v>
      </c>
      <c r="F30" s="141">
        <v>46308.0</v>
      </c>
      <c r="G30" s="142">
        <v>73836514</v>
      </c>
      <c r="H30" s="142">
        <v>0</v>
      </c>
      <c r="I30" s="142">
        <v>73836514</v>
      </c>
      <c r="J30" s="138" t="inlineStr">
        <is>
          <t>Senior Sales Rep 1</t>
        </is>
      </c>
      <c r="K30" s="138" t="inlineStr">
        <is>
          <t>Trading</t>
        </is>
      </c>
      <c r="L30" s="138" t="inlineStr">
        <is>
          <t>Project 005</t>
        </is>
      </c>
      <c r="M30" s="138" t="inlineStr">
        <is>
          <t>Collection note 009</t>
        </is>
      </c>
      <c r="N30" s="143"/>
      <c r="O30" s="143"/>
      <c r="P30" s="144"/>
      <c r="Q30" s="138">
        <f>IF(ISNUMBER(F30),Dashboard!$D$2-F30,"")</f>
        <v>-8.0</v>
      </c>
      <c r="R30" s="138">
        <f>IF(AND(OR(Dashboard!$P$1="All",A30=Dashboard!$P$1),OR(Dashboard!$P$2="All",J30=Dashboard!$P$2)),1,0)</f>
        <v>1</v>
      </c>
      <c r="S30" s="138">
        <f>I30*R30</f>
        <v>73836514</v>
      </c>
      <c r="T30" s="138">
        <f>IF(AND(ISNUMBER(Q30),Q30&gt;0),S30,0)</f>
        <v>0</v>
      </c>
      <c r="U30" s="138">
        <f>IF(OR(Dashboard!$P$3="All",AND(Dashboard!$P$3="Not due",Q30&lt;0),AND(Dashboard!$P$3="Due in 10 days",Q30&gt;=-10,Q30&lt;=0),AND(Dashboard!$P$3="Due in 30 days",Q30&gt;=-30,Q30&lt;=0),AND(Dashboard!$P$3="Overdue 1–60 days",Q30&gt;0,Q30&lt;=60),AND(Dashboard!$P$3="Over 60 days",Q30&gt;60),AND(Dashboard!$P$3="All overdue",Q30&gt;0)),1,0)</f>
        <v>1</v>
      </c>
      <c r="V30" s="138">
        <f>S30*U30</f>
        <v>73836514</v>
      </c>
      <c r="W30" s="138">
        <f>IF(Q30&gt;0,T30*Q30,0)</f>
        <v>0</v>
      </c>
      <c r="X30" s="138">
        <f>IF(V30&gt;0,COUNTIF($V$6:V30,"&gt;0"),"")</f>
        <v>25</v>
      </c>
      <c r="Y30" s="154" t="str">
        <f>C30&amp;"|"&amp;D30</f>
        <v>AR-00025|70000025</v>
      </c>
      <c r="Z30" s="138"/>
      <c r="AA30" s="154" t="inlineStr">
        <is>
          <t>["Demo Company 010", "AR-00025", "70000025", "2026-07-30"]</t>
        </is>
      </c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</row>
    <row r="31" spans="1:41">
      <c r="A31" s="138" t="inlineStr">
        <is>
          <t>Client Alpha (Steel EPC)</t>
        </is>
      </c>
      <c r="B31" s="138" t="inlineStr">
        <is>
          <t>CLIENT ALPHA STEEL STRUCTURE CORPORATION</t>
        </is>
      </c>
      <c r="C31" s="138" t="inlineStr">
        <is>
          <t>AR-00026</t>
        </is>
      </c>
      <c r="D31" s="138" t="inlineStr">
        <is>
          <t>70000026</t>
        </is>
      </c>
      <c r="E31" s="141">
        <v>46233.0</v>
      </c>
      <c r="F31" s="141">
        <v>46308.0</v>
      </c>
      <c r="G31" s="142">
        <v>143336228</v>
      </c>
      <c r="H31" s="142">
        <v>0</v>
      </c>
      <c r="I31" s="142">
        <v>143336228</v>
      </c>
      <c r="J31" s="138" t="inlineStr">
        <is>
          <t>Senior Sales Rep 1</t>
        </is>
      </c>
      <c r="K31" s="138" t="inlineStr">
        <is>
          <t>Trading</t>
        </is>
      </c>
      <c r="L31" s="138" t="inlineStr">
        <is>
          <t>Project 006</t>
        </is>
      </c>
      <c r="M31" s="138" t="inlineStr">
        <is>
          <t>Collection note 009</t>
        </is>
      </c>
      <c r="N31" s="143"/>
      <c r="O31" s="143"/>
      <c r="P31" s="144"/>
      <c r="Q31" s="138">
        <f>IF(ISNUMBER(F31),Dashboard!$D$2-F31,"")</f>
        <v>-8.0</v>
      </c>
      <c r="R31" s="138">
        <f>IF(AND(OR(Dashboard!$P$1="All",A31=Dashboard!$P$1),OR(Dashboard!$P$2="All",J31=Dashboard!$P$2)),1,0)</f>
        <v>1</v>
      </c>
      <c r="S31" s="138">
        <f>I31*R31</f>
        <v>143336228</v>
      </c>
      <c r="T31" s="138">
        <f>IF(AND(ISNUMBER(Q31),Q31&gt;0),S31,0)</f>
        <v>0</v>
      </c>
      <c r="U31" s="138">
        <f>IF(OR(Dashboard!$P$3="All",AND(Dashboard!$P$3="Not due",Q31&lt;0),AND(Dashboard!$P$3="Due in 10 days",Q31&gt;=-10,Q31&lt;=0),AND(Dashboard!$P$3="Due in 30 days",Q31&gt;=-30,Q31&lt;=0),AND(Dashboard!$P$3="Overdue 1–60 days",Q31&gt;0,Q31&lt;=60),AND(Dashboard!$P$3="Over 60 days",Q31&gt;60),AND(Dashboard!$P$3="All overdue",Q31&gt;0)),1,0)</f>
        <v>1</v>
      </c>
      <c r="V31" s="138">
        <f>S31*U31</f>
        <v>143336228</v>
      </c>
      <c r="W31" s="138">
        <f>IF(Q31&gt;0,T31*Q31,0)</f>
        <v>0</v>
      </c>
      <c r="X31" s="138">
        <f>IF(V31&gt;0,COUNTIF($V$6:V31,"&gt;0"),"")</f>
        <v>26</v>
      </c>
      <c r="Y31" s="154" t="str">
        <f>C31&amp;"|"&amp;D31</f>
        <v>AR-00026|70000026</v>
      </c>
      <c r="Z31" s="138"/>
      <c r="AA31" s="154" t="inlineStr">
        <is>
          <t>["Demo Company 010", "AR-00026", "70000026", "2026-07-30"]</t>
        </is>
      </c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</row>
    <row r="32" spans="1:41">
      <c r="A32" s="138" t="inlineStr">
        <is>
          <t>Client Alpha (Steel EPC)</t>
        </is>
      </c>
      <c r="B32" s="138" t="inlineStr">
        <is>
          <t>CLIENT ALPHA STEEL STRUCTURE CORPORATION</t>
        </is>
      </c>
      <c r="C32" s="138" t="inlineStr">
        <is>
          <t>AR-00027</t>
        </is>
      </c>
      <c r="D32" s="138" t="inlineStr">
        <is>
          <t>70000027</t>
        </is>
      </c>
      <c r="E32" s="141">
        <v>46233.0</v>
      </c>
      <c r="F32" s="141">
        <v>46308.0</v>
      </c>
      <c r="G32" s="142">
        <v>61980937</v>
      </c>
      <c r="H32" s="142">
        <v>0</v>
      </c>
      <c r="I32" s="142">
        <v>61980937</v>
      </c>
      <c r="J32" s="138" t="inlineStr">
        <is>
          <t>Senior Sales Rep 2</t>
        </is>
      </c>
      <c r="K32" s="138" t="inlineStr">
        <is>
          <t>Trading</t>
        </is>
      </c>
      <c r="L32" s="138" t="inlineStr">
        <is>
          <t>Project 007</t>
        </is>
      </c>
      <c r="M32" s="138" t="inlineStr">
        <is>
          <t>Collection note 010</t>
        </is>
      </c>
      <c r="N32" s="143"/>
      <c r="O32" s="143"/>
      <c r="P32" s="144"/>
      <c r="Q32" s="138">
        <f>IF(ISNUMBER(F32),Dashboard!$D$2-F32,"")</f>
        <v>-8.0</v>
      </c>
      <c r="R32" s="138">
        <f>IF(AND(OR(Dashboard!$P$1="All",A32=Dashboard!$P$1),OR(Dashboard!$P$2="All",J32=Dashboard!$P$2)),1,0)</f>
        <v>1</v>
      </c>
      <c r="S32" s="138">
        <f>I32*R32</f>
        <v>61980937</v>
      </c>
      <c r="T32" s="138">
        <f>IF(AND(ISNUMBER(Q32),Q32&gt;0),S32,0)</f>
        <v>0</v>
      </c>
      <c r="U32" s="138">
        <f>IF(OR(Dashboard!$P$3="All",AND(Dashboard!$P$3="Not due",Q32&lt;0),AND(Dashboard!$P$3="Due in 10 days",Q32&gt;=-10,Q32&lt;=0),AND(Dashboard!$P$3="Due in 30 days",Q32&gt;=-30,Q32&lt;=0),AND(Dashboard!$P$3="Overdue 1–60 days",Q32&gt;0,Q32&lt;=60),AND(Dashboard!$P$3="Over 60 days",Q32&gt;60),AND(Dashboard!$P$3="All overdue",Q32&gt;0)),1,0)</f>
        <v>1</v>
      </c>
      <c r="V32" s="138">
        <f>S32*U32</f>
        <v>61980937</v>
      </c>
      <c r="W32" s="138">
        <f>IF(Q32&gt;0,T32*Q32,0)</f>
        <v>0</v>
      </c>
      <c r="X32" s="138">
        <f>IF(V32&gt;0,COUNTIF($V$6:V32,"&gt;0"),"")</f>
        <v>27</v>
      </c>
      <c r="Y32" s="154" t="str">
        <f>C32&amp;"|"&amp;D32</f>
        <v>AR-00027|70000027</v>
      </c>
      <c r="Z32" s="138"/>
      <c r="AA32" s="154" t="inlineStr">
        <is>
          <t>["Demo Company 010", "AR-00027", "70000027", "2026-07-30"]</t>
        </is>
      </c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</row>
    <row r="33" spans="1:41">
      <c r="A33" s="138" t="inlineStr">
        <is>
          <t>Client Alpha (Steel EPC)</t>
        </is>
      </c>
      <c r="B33" s="138" t="inlineStr">
        <is>
          <t>CLIENT ALPHA STEEL STRUCTURE CORPORATION</t>
        </is>
      </c>
      <c r="C33" s="138" t="inlineStr">
        <is>
          <t>AR-00028</t>
        </is>
      </c>
      <c r="D33" s="138" t="inlineStr">
        <is>
          <t>70000028</t>
        </is>
      </c>
      <c r="E33" s="141">
        <v>46234.0</v>
      </c>
      <c r="F33" s="141">
        <v>46309.0</v>
      </c>
      <c r="G33" s="142">
        <v>556669524</v>
      </c>
      <c r="H33" s="142">
        <v>0</v>
      </c>
      <c r="I33" s="142">
        <v>556669524</v>
      </c>
      <c r="J33" s="138" t="inlineStr">
        <is>
          <t>Senior Sales Rep 1</t>
        </is>
      </c>
      <c r="K33" s="138" t="inlineStr">
        <is>
          <t>Trading</t>
        </is>
      </c>
      <c r="L33" s="138" t="inlineStr">
        <is>
          <t>Project 008</t>
        </is>
      </c>
      <c r="M33" s="138" t="inlineStr">
        <is>
          <t>Collection note 007</t>
        </is>
      </c>
      <c r="N33" s="143"/>
      <c r="O33" s="143"/>
      <c r="P33" s="144"/>
      <c r="Q33" s="138">
        <f>IF(ISNUMBER(F33),Dashboard!$D$2-F33,"")</f>
        <v>-9.0</v>
      </c>
      <c r="R33" s="138">
        <f>IF(AND(OR(Dashboard!$P$1="All",A33=Dashboard!$P$1),OR(Dashboard!$P$2="All",J33=Dashboard!$P$2)),1,0)</f>
        <v>1</v>
      </c>
      <c r="S33" s="138">
        <f>I33*R33</f>
        <v>556669524</v>
      </c>
      <c r="T33" s="138">
        <f>IF(AND(ISNUMBER(Q33),Q33&gt;0),S33,0)</f>
        <v>0</v>
      </c>
      <c r="U33" s="138">
        <f>IF(OR(Dashboard!$P$3="All",AND(Dashboard!$P$3="Not due",Q33&lt;0),AND(Dashboard!$P$3="Due in 10 days",Q33&gt;=-10,Q33&lt;=0),AND(Dashboard!$P$3="Due in 30 days",Q33&gt;=-30,Q33&lt;=0),AND(Dashboard!$P$3="Overdue 1–60 days",Q33&gt;0,Q33&lt;=60),AND(Dashboard!$P$3="Over 60 days",Q33&gt;60),AND(Dashboard!$P$3="All overdue",Q33&gt;0)),1,0)</f>
        <v>1</v>
      </c>
      <c r="V33" s="138">
        <f>S33*U33</f>
        <v>556669524</v>
      </c>
      <c r="W33" s="138">
        <f>IF(Q33&gt;0,T33*Q33,0)</f>
        <v>0</v>
      </c>
      <c r="X33" s="138">
        <f>IF(V33&gt;0,COUNTIF($V$6:V33,"&gt;0"),"")</f>
        <v>28</v>
      </c>
      <c r="Y33" s="154" t="str">
        <f>C33&amp;"|"&amp;D33</f>
        <v>AR-00028|70000028</v>
      </c>
      <c r="Z33" s="138"/>
      <c r="AA33" s="154" t="inlineStr">
        <is>
          <t>["Demo Company 010", "AR-00028", "70000028", "2026-07-31"]</t>
        </is>
      </c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</row>
    <row r="34" spans="1:41">
      <c r="A34" s="138" t="inlineStr">
        <is>
          <t>Client Alpha (Steel EPC)</t>
        </is>
      </c>
      <c r="B34" s="138" t="inlineStr">
        <is>
          <t>CLIENT ALPHA STEEL STRUCTURE CORPORATION</t>
        </is>
      </c>
      <c r="C34" s="138" t="inlineStr">
        <is>
          <t>AR-00029</t>
        </is>
      </c>
      <c r="D34" s="138" t="inlineStr">
        <is>
          <t>70000029</t>
        </is>
      </c>
      <c r="E34" s="141">
        <v>46234.0</v>
      </c>
      <c r="F34" s="141">
        <v>46309.0</v>
      </c>
      <c r="G34" s="142">
        <v>368872456</v>
      </c>
      <c r="H34" s="142">
        <v>0</v>
      </c>
      <c r="I34" s="142">
        <v>368872456</v>
      </c>
      <c r="J34" s="138" t="inlineStr">
        <is>
          <t>Senior Sales Rep 1</t>
        </is>
      </c>
      <c r="K34" s="138" t="inlineStr">
        <is>
          <t>Trading</t>
        </is>
      </c>
      <c r="L34" s="138" t="inlineStr">
        <is>
          <t>Project 002</t>
        </is>
      </c>
      <c r="M34" s="138" t="inlineStr">
        <is>
          <t>Collection note 007</t>
        </is>
      </c>
      <c r="N34" s="143"/>
      <c r="O34" s="143"/>
      <c r="P34" s="144"/>
      <c r="Q34" s="138">
        <f>IF(ISNUMBER(F34),Dashboard!$D$2-F34,"")</f>
        <v>-9.0</v>
      </c>
      <c r="R34" s="138">
        <f>IF(AND(OR(Dashboard!$P$1="All",A34=Dashboard!$P$1),OR(Dashboard!$P$2="All",J34=Dashboard!$P$2)),1,0)</f>
        <v>1</v>
      </c>
      <c r="S34" s="138">
        <f>I34*R34</f>
        <v>368872456</v>
      </c>
      <c r="T34" s="138">
        <f>IF(AND(ISNUMBER(Q34),Q34&gt;0),S34,0)</f>
        <v>0</v>
      </c>
      <c r="U34" s="138">
        <f>IF(OR(Dashboard!$P$3="All",AND(Dashboard!$P$3="Not due",Q34&lt;0),AND(Dashboard!$P$3="Due in 10 days",Q34&gt;=-10,Q34&lt;=0),AND(Dashboard!$P$3="Due in 30 days",Q34&gt;=-30,Q34&lt;=0),AND(Dashboard!$P$3="Overdue 1–60 days",Q34&gt;0,Q34&lt;=60),AND(Dashboard!$P$3="Over 60 days",Q34&gt;60),AND(Dashboard!$P$3="All overdue",Q34&gt;0)),1,0)</f>
        <v>1</v>
      </c>
      <c r="V34" s="138">
        <f>S34*U34</f>
        <v>368872456</v>
      </c>
      <c r="W34" s="138">
        <f>IF(Q34&gt;0,T34*Q34,0)</f>
        <v>0</v>
      </c>
      <c r="X34" s="138">
        <f>IF(V34&gt;0,COUNTIF($V$6:V34,"&gt;0"),"")</f>
        <v>29</v>
      </c>
      <c r="Y34" s="154" t="str">
        <f>C34&amp;"|"&amp;D34</f>
        <v>AR-00029|70000029</v>
      </c>
      <c r="Z34" s="138"/>
      <c r="AA34" s="154" t="inlineStr">
        <is>
          <t>["Demo Company 010", "AR-00029", "70000029", "2026-07-31"]</t>
        </is>
      </c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</row>
    <row r="35" spans="1:41">
      <c r="A35" s="138" t="inlineStr">
        <is>
          <t>Client Alpha (Steel EPC)</t>
        </is>
      </c>
      <c r="B35" s="138" t="inlineStr">
        <is>
          <t>CLIENT ALPHA STEEL STRUCTURE CORPORATION</t>
        </is>
      </c>
      <c r="C35" s="138" t="inlineStr">
        <is>
          <t>AR-00030</t>
        </is>
      </c>
      <c r="D35" s="138" t="inlineStr">
        <is>
          <t>70000030</t>
        </is>
      </c>
      <c r="E35" s="141">
        <v>46253.0</v>
      </c>
      <c r="F35" s="141">
        <v>46328.0</v>
      </c>
      <c r="G35" s="142">
        <v>148513402</v>
      </c>
      <c r="H35" s="142">
        <v>0</v>
      </c>
      <c r="I35" s="142">
        <v>148513402</v>
      </c>
      <c r="J35" s="138" t="inlineStr">
        <is>
          <t>Senior Sales Rep 1</t>
        </is>
      </c>
      <c r="K35" s="138" t="inlineStr">
        <is>
          <t>Trading</t>
        </is>
      </c>
      <c r="L35" s="138" t="inlineStr">
        <is>
          <t>Project 003</t>
        </is>
      </c>
      <c r="M35" s="138" t="inlineStr">
        <is>
          <t>Collection note 009</t>
        </is>
      </c>
      <c r="N35" s="143"/>
      <c r="O35" s="143"/>
      <c r="P35" s="144"/>
      <c r="Q35" s="138">
        <f>IF(ISNUMBER(F35),Dashboard!$D$2-F35,"")</f>
        <v>-28.0</v>
      </c>
      <c r="R35" s="138">
        <f>IF(AND(OR(Dashboard!$P$1="All",A35=Dashboard!$P$1),OR(Dashboard!$P$2="All",J35=Dashboard!$P$2)),1,0)</f>
        <v>1</v>
      </c>
      <c r="S35" s="138">
        <f>I35*R35</f>
        <v>148513402</v>
      </c>
      <c r="T35" s="138">
        <f>IF(AND(ISNUMBER(Q35),Q35&gt;0),S35,0)</f>
        <v>0</v>
      </c>
      <c r="U35" s="138">
        <f>IF(OR(Dashboard!$P$3="All",AND(Dashboard!$P$3="Not due",Q35&lt;0),AND(Dashboard!$P$3="Due in 10 days",Q35&gt;=-10,Q35&lt;=0),AND(Dashboard!$P$3="Due in 30 days",Q35&gt;=-30,Q35&lt;=0),AND(Dashboard!$P$3="Overdue 1–60 days",Q35&gt;0,Q35&lt;=60),AND(Dashboard!$P$3="Over 60 days",Q35&gt;60),AND(Dashboard!$P$3="All overdue",Q35&gt;0)),1,0)</f>
        <v>1</v>
      </c>
      <c r="V35" s="138">
        <f>S35*U35</f>
        <v>148513402</v>
      </c>
      <c r="W35" s="138">
        <f>IF(Q35&gt;0,T35*Q35,0)</f>
        <v>0</v>
      </c>
      <c r="X35" s="138">
        <f>IF(V35&gt;0,COUNTIF($V$6:V35,"&gt;0"),"")</f>
        <v>30</v>
      </c>
      <c r="Y35" s="154" t="str">
        <f>C35&amp;"|"&amp;D35</f>
        <v>AR-00030|70000030</v>
      </c>
      <c r="Z35" s="138"/>
      <c r="AA35" s="154" t="inlineStr">
        <is>
          <t>["Demo Company 010", "AR-00030", "70000030", "2026-08-19"]</t>
        </is>
      </c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</row>
    <row r="36" spans="1:41">
      <c r="A36" s="138" t="inlineStr">
        <is>
          <t>Client Alpha (Steel EPC)</t>
        </is>
      </c>
      <c r="B36" s="138" t="inlineStr">
        <is>
          <t>CLIENT ALPHA STEEL STRUCTURE CORPORATION</t>
        </is>
      </c>
      <c r="C36" s="138" t="inlineStr">
        <is>
          <t>AR-00031</t>
        </is>
      </c>
      <c r="D36" s="138" t="inlineStr">
        <is>
          <t>70000031</t>
        </is>
      </c>
      <c r="E36" s="141">
        <v>46253.0</v>
      </c>
      <c r="F36" s="141">
        <v>46328.0</v>
      </c>
      <c r="G36" s="142">
        <v>215626419</v>
      </c>
      <c r="H36" s="142">
        <v>0</v>
      </c>
      <c r="I36" s="142">
        <v>215626419</v>
      </c>
      <c r="J36" s="138" t="inlineStr">
        <is>
          <t>Senior Sales Rep 1</t>
        </is>
      </c>
      <c r="K36" s="138" t="inlineStr">
        <is>
          <t>Trading</t>
        </is>
      </c>
      <c r="L36" s="138" t="inlineStr">
        <is>
          <t>Project 004</t>
        </is>
      </c>
      <c r="M36" s="138" t="inlineStr">
        <is>
          <t>Collection note 009</t>
        </is>
      </c>
      <c r="N36" s="143"/>
      <c r="O36" s="143"/>
      <c r="P36" s="144"/>
      <c r="Q36" s="138">
        <f>IF(ISNUMBER(F36),Dashboard!$D$2-F36,"")</f>
        <v>-28.0</v>
      </c>
      <c r="R36" s="138">
        <f>IF(AND(OR(Dashboard!$P$1="All",A36=Dashboard!$P$1),OR(Dashboard!$P$2="All",J36=Dashboard!$P$2)),1,0)</f>
        <v>1</v>
      </c>
      <c r="S36" s="138">
        <f>I36*R36</f>
        <v>215626419</v>
      </c>
      <c r="T36" s="138">
        <f>IF(AND(ISNUMBER(Q36),Q36&gt;0),S36,0)</f>
        <v>0</v>
      </c>
      <c r="U36" s="138">
        <f>IF(OR(Dashboard!$P$3="All",AND(Dashboard!$P$3="Not due",Q36&lt;0),AND(Dashboard!$P$3="Due in 10 days",Q36&gt;=-10,Q36&lt;=0),AND(Dashboard!$P$3="Due in 30 days",Q36&gt;=-30,Q36&lt;=0),AND(Dashboard!$P$3="Overdue 1–60 days",Q36&gt;0,Q36&lt;=60),AND(Dashboard!$P$3="Over 60 days",Q36&gt;60),AND(Dashboard!$P$3="All overdue",Q36&gt;0)),1,0)</f>
        <v>1</v>
      </c>
      <c r="V36" s="138">
        <f>S36*U36</f>
        <v>215626419</v>
      </c>
      <c r="W36" s="138">
        <f>IF(Q36&gt;0,T36*Q36,0)</f>
        <v>0</v>
      </c>
      <c r="X36" s="138">
        <f>IF(V36&gt;0,COUNTIF($V$6:V36,"&gt;0"),"")</f>
        <v>31</v>
      </c>
      <c r="Y36" s="154" t="str">
        <f>C36&amp;"|"&amp;D36</f>
        <v>AR-00031|70000031</v>
      </c>
      <c r="Z36" s="138"/>
      <c r="AA36" s="154" t="inlineStr">
        <is>
          <t>["Demo Company 010", "AR-00031", "70000031", "2026-08-19"]</t>
        </is>
      </c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</row>
    <row r="37" spans="1:41">
      <c r="A37" s="138" t="inlineStr">
        <is>
          <t>Client Alpha (Steel EPC)</t>
        </is>
      </c>
      <c r="B37" s="138" t="inlineStr">
        <is>
          <t>CLIENT ALPHA STEEL STRUCTURE CORPORATION</t>
        </is>
      </c>
      <c r="C37" s="138" t="inlineStr">
        <is>
          <t>AR-00032</t>
        </is>
      </c>
      <c r="D37" s="138" t="inlineStr">
        <is>
          <t>70000032</t>
        </is>
      </c>
      <c r="E37" s="141">
        <v>46253.0</v>
      </c>
      <c r="F37" s="141">
        <v>46328.0</v>
      </c>
      <c r="G37" s="142">
        <v>149021089</v>
      </c>
      <c r="H37" s="142">
        <v>0</v>
      </c>
      <c r="I37" s="142">
        <v>149021089</v>
      </c>
      <c r="J37" s="138" t="inlineStr">
        <is>
          <t>Senior Sales Rep 1</t>
        </is>
      </c>
      <c r="K37" s="138" t="inlineStr">
        <is>
          <t>Trading</t>
        </is>
      </c>
      <c r="L37" s="138" t="inlineStr">
        <is>
          <t>Project 005</t>
        </is>
      </c>
      <c r="M37" s="138" t="inlineStr">
        <is>
          <t>Collection note 009</t>
        </is>
      </c>
      <c r="N37" s="143"/>
      <c r="O37" s="143"/>
      <c r="P37" s="144"/>
      <c r="Q37" s="138">
        <f>IF(ISNUMBER(F37),Dashboard!$D$2-F37,"")</f>
        <v>-28.0</v>
      </c>
      <c r="R37" s="138">
        <f>IF(AND(OR(Dashboard!$P$1="All",A37=Dashboard!$P$1),OR(Dashboard!$P$2="All",J37=Dashboard!$P$2)),1,0)</f>
        <v>1</v>
      </c>
      <c r="S37" s="138">
        <f>I37*R37</f>
        <v>149021089</v>
      </c>
      <c r="T37" s="138">
        <f>IF(AND(ISNUMBER(Q37),Q37&gt;0),S37,0)</f>
        <v>0</v>
      </c>
      <c r="U37" s="138">
        <f>IF(OR(Dashboard!$P$3="All",AND(Dashboard!$P$3="Not due",Q37&lt;0),AND(Dashboard!$P$3="Due in 10 days",Q37&gt;=-10,Q37&lt;=0),AND(Dashboard!$P$3="Due in 30 days",Q37&gt;=-30,Q37&lt;=0),AND(Dashboard!$P$3="Overdue 1–60 days",Q37&gt;0,Q37&lt;=60),AND(Dashboard!$P$3="Over 60 days",Q37&gt;60),AND(Dashboard!$P$3="All overdue",Q37&gt;0)),1,0)</f>
        <v>1</v>
      </c>
      <c r="V37" s="138">
        <f>S37*U37</f>
        <v>149021089</v>
      </c>
      <c r="W37" s="138">
        <f>IF(Q37&gt;0,T37*Q37,0)</f>
        <v>0</v>
      </c>
      <c r="X37" s="138">
        <f>IF(V37&gt;0,COUNTIF($V$6:V37,"&gt;0"),"")</f>
        <v>32</v>
      </c>
      <c r="Y37" s="154" t="str">
        <f>C37&amp;"|"&amp;D37</f>
        <v>AR-00032|70000032</v>
      </c>
      <c r="Z37" s="138"/>
      <c r="AA37" s="154" t="inlineStr">
        <is>
          <t>["Demo Company 010", "AR-00032", "70000032", "2026-08-19"]</t>
        </is>
      </c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</row>
    <row r="38" spans="1:41">
      <c r="A38" s="138" t="inlineStr">
        <is>
          <t>Client Alpha (Steel EPC)</t>
        </is>
      </c>
      <c r="B38" s="138" t="inlineStr">
        <is>
          <t>CLIENT ALPHA STEEL STRUCTURE CORPORATION</t>
        </is>
      </c>
      <c r="C38" s="138" t="inlineStr">
        <is>
          <t>AR-00033</t>
        </is>
      </c>
      <c r="D38" s="138" t="inlineStr">
        <is>
          <t>70000033</t>
        </is>
      </c>
      <c r="E38" s="141">
        <v>46255.0</v>
      </c>
      <c r="F38" s="141">
        <v>46330.0</v>
      </c>
      <c r="G38" s="142">
        <v>235280248</v>
      </c>
      <c r="H38" s="142">
        <v>0</v>
      </c>
      <c r="I38" s="142">
        <v>235280248</v>
      </c>
      <c r="J38" s="138" t="inlineStr">
        <is>
          <t>Senior Sales Rep 1</t>
        </is>
      </c>
      <c r="K38" s="138" t="inlineStr">
        <is>
          <t>Trading</t>
        </is>
      </c>
      <c r="L38" s="138" t="inlineStr">
        <is>
          <t>Project 006</t>
        </is>
      </c>
      <c r="M38" s="138" t="inlineStr">
        <is>
          <t>Collection note 011</t>
        </is>
      </c>
      <c r="N38" s="143"/>
      <c r="O38" s="143"/>
      <c r="P38" s="144"/>
      <c r="Q38" s="138">
        <f>IF(ISNUMBER(F38),Dashboard!$D$2-F38,"")</f>
        <v>-30.0</v>
      </c>
      <c r="R38" s="138">
        <f>IF(AND(OR(Dashboard!$P$1="All",A38=Dashboard!$P$1),OR(Dashboard!$P$2="All",J38=Dashboard!$P$2)),1,0)</f>
        <v>1</v>
      </c>
      <c r="S38" s="138">
        <f>I38*R38</f>
        <v>235280248</v>
      </c>
      <c r="T38" s="138">
        <f>IF(AND(ISNUMBER(Q38),Q38&gt;0),S38,0)</f>
        <v>0</v>
      </c>
      <c r="U38" s="138">
        <f>IF(OR(Dashboard!$P$3="All",AND(Dashboard!$P$3="Not due",Q38&lt;0),AND(Dashboard!$P$3="Due in 10 days",Q38&gt;=-10,Q38&lt;=0),AND(Dashboard!$P$3="Due in 30 days",Q38&gt;=-30,Q38&lt;=0),AND(Dashboard!$P$3="Overdue 1–60 days",Q38&gt;0,Q38&lt;=60),AND(Dashboard!$P$3="Over 60 days",Q38&gt;60),AND(Dashboard!$P$3="All overdue",Q38&gt;0)),1,0)</f>
        <v>1</v>
      </c>
      <c r="V38" s="138">
        <f>S38*U38</f>
        <v>235280248</v>
      </c>
      <c r="W38" s="138">
        <f>IF(Q38&gt;0,T38*Q38,0)</f>
        <v>0</v>
      </c>
      <c r="X38" s="138">
        <f>IF(V38&gt;0,COUNTIF($V$6:V38,"&gt;0"),"")</f>
        <v>33</v>
      </c>
      <c r="Y38" s="154" t="str">
        <f>C38&amp;"|"&amp;D38</f>
        <v>AR-00033|70000033</v>
      </c>
      <c r="Z38" s="138"/>
      <c r="AA38" s="154" t="inlineStr">
        <is>
          <t>["Demo Company 010", "AR-00033", "70000033", "2026-08-21"]</t>
        </is>
      </c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</row>
    <row r="39" spans="1:41">
      <c r="A39" s="138" t="inlineStr">
        <is>
          <t>Client Alpha (Steel EPC)</t>
        </is>
      </c>
      <c r="B39" s="138" t="inlineStr">
        <is>
          <t>CLIENT ALPHA STEEL STRUCTURE CORPORATION</t>
        </is>
      </c>
      <c r="C39" s="138" t="inlineStr">
        <is>
          <t>AR-00034</t>
        </is>
      </c>
      <c r="D39" s="138" t="inlineStr">
        <is>
          <t>70000034</t>
        </is>
      </c>
      <c r="E39" s="141">
        <v>46255.0</v>
      </c>
      <c r="F39" s="141">
        <v>46330.0</v>
      </c>
      <c r="G39" s="142">
        <v>138462330</v>
      </c>
      <c r="H39" s="142">
        <v>0</v>
      </c>
      <c r="I39" s="142">
        <v>138462330</v>
      </c>
      <c r="J39" s="138" t="inlineStr">
        <is>
          <t>Senior Sales Rep 1</t>
        </is>
      </c>
      <c r="K39" s="138" t="inlineStr">
        <is>
          <t>Trading</t>
        </is>
      </c>
      <c r="L39" s="138" t="inlineStr">
        <is>
          <t>Project 007</t>
        </is>
      </c>
      <c r="M39" s="138" t="inlineStr">
        <is>
          <t>Collection note 009</t>
        </is>
      </c>
      <c r="N39" s="143"/>
      <c r="O39" s="143"/>
      <c r="P39" s="144"/>
      <c r="Q39" s="138">
        <f>IF(ISNUMBER(F39),Dashboard!$D$2-F39,"")</f>
        <v>-30.0</v>
      </c>
      <c r="R39" s="138">
        <f>IF(AND(OR(Dashboard!$P$1="All",A39=Dashboard!$P$1),OR(Dashboard!$P$2="All",J39=Dashboard!$P$2)),1,0)</f>
        <v>1</v>
      </c>
      <c r="S39" s="138">
        <f>I39*R39</f>
        <v>138462330</v>
      </c>
      <c r="T39" s="138">
        <f>IF(AND(ISNUMBER(Q39),Q39&gt;0),S39,0)</f>
        <v>0</v>
      </c>
      <c r="U39" s="138">
        <f>IF(OR(Dashboard!$P$3="All",AND(Dashboard!$P$3="Not due",Q39&lt;0),AND(Dashboard!$P$3="Due in 10 days",Q39&gt;=-10,Q39&lt;=0),AND(Dashboard!$P$3="Due in 30 days",Q39&gt;=-30,Q39&lt;=0),AND(Dashboard!$P$3="Overdue 1–60 days",Q39&gt;0,Q39&lt;=60),AND(Dashboard!$P$3="Over 60 days",Q39&gt;60),AND(Dashboard!$P$3="All overdue",Q39&gt;0)),1,0)</f>
        <v>1</v>
      </c>
      <c r="V39" s="138">
        <f>S39*U39</f>
        <v>138462330</v>
      </c>
      <c r="W39" s="138">
        <f>IF(Q39&gt;0,T39*Q39,0)</f>
        <v>0</v>
      </c>
      <c r="X39" s="138">
        <f>IF(V39&gt;0,COUNTIF($V$6:V39,"&gt;0"),"")</f>
        <v>34</v>
      </c>
      <c r="Y39" s="154" t="str">
        <f>C39&amp;"|"&amp;D39</f>
        <v>AR-00034|70000034</v>
      </c>
      <c r="Z39" s="138"/>
      <c r="AA39" s="154" t="inlineStr">
        <is>
          <t>["Demo Company 010", "AR-00034", "70000034", "2026-08-21"]</t>
        </is>
      </c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</row>
    <row r="40" spans="1:41">
      <c r="A40" s="138" t="inlineStr">
        <is>
          <t>Client Alpha (Steel EPC)</t>
        </is>
      </c>
      <c r="B40" s="138" t="inlineStr">
        <is>
          <t>CLIENT ALPHA STEEL STRUCTURE CORPORATION</t>
        </is>
      </c>
      <c r="C40" s="138" t="inlineStr">
        <is>
          <t>AR-00035</t>
        </is>
      </c>
      <c r="D40" s="138" t="inlineStr">
        <is>
          <t>70000035</t>
        </is>
      </c>
      <c r="E40" s="141">
        <v>46255.0</v>
      </c>
      <c r="F40" s="141">
        <v>46330.0</v>
      </c>
      <c r="G40" s="142">
        <v>45301417</v>
      </c>
      <c r="H40" s="142">
        <v>0</v>
      </c>
      <c r="I40" s="142">
        <v>45301417</v>
      </c>
      <c r="J40" s="138" t="inlineStr">
        <is>
          <t>Senior Sales Rep 1</t>
        </is>
      </c>
      <c r="K40" s="138" t="inlineStr">
        <is>
          <t>Trading</t>
        </is>
      </c>
      <c r="L40" s="138" t="inlineStr">
        <is>
          <t>Project 008</t>
        </is>
      </c>
      <c r="M40" s="138" t="inlineStr">
        <is>
          <t>Collection note 011</t>
        </is>
      </c>
      <c r="N40" s="143"/>
      <c r="O40" s="143"/>
      <c r="P40" s="144"/>
      <c r="Q40" s="138">
        <f>IF(ISNUMBER(F40),Dashboard!$D$2-F40,"")</f>
        <v>-30.0</v>
      </c>
      <c r="R40" s="138">
        <f>IF(AND(OR(Dashboard!$P$1="All",A40=Dashboard!$P$1),OR(Dashboard!$P$2="All",J40=Dashboard!$P$2)),1,0)</f>
        <v>1</v>
      </c>
      <c r="S40" s="138">
        <f>I40*R40</f>
        <v>45301417</v>
      </c>
      <c r="T40" s="138">
        <f>IF(AND(ISNUMBER(Q40),Q40&gt;0),S40,0)</f>
        <v>0</v>
      </c>
      <c r="U40" s="138">
        <f>IF(OR(Dashboard!$P$3="All",AND(Dashboard!$P$3="Not due",Q40&lt;0),AND(Dashboard!$P$3="Due in 10 days",Q40&gt;=-10,Q40&lt;=0),AND(Dashboard!$P$3="Due in 30 days",Q40&gt;=-30,Q40&lt;=0),AND(Dashboard!$P$3="Overdue 1–60 days",Q40&gt;0,Q40&lt;=60),AND(Dashboard!$P$3="Over 60 days",Q40&gt;60),AND(Dashboard!$P$3="All overdue",Q40&gt;0)),1,0)</f>
        <v>1</v>
      </c>
      <c r="V40" s="138">
        <f>S40*U40</f>
        <v>45301417</v>
      </c>
      <c r="W40" s="138">
        <f>IF(Q40&gt;0,T40*Q40,0)</f>
        <v>0</v>
      </c>
      <c r="X40" s="138">
        <f>IF(V40&gt;0,COUNTIF($V$6:V40,"&gt;0"),"")</f>
        <v>35</v>
      </c>
      <c r="Y40" s="154" t="str">
        <f>C40&amp;"|"&amp;D40</f>
        <v>AR-00035|70000035</v>
      </c>
      <c r="Z40" s="138"/>
      <c r="AA40" s="154" t="inlineStr">
        <is>
          <t>["Demo Company 010", "AR-00035", "70000035", "2026-08-21"]</t>
        </is>
      </c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</row>
    <row r="41" spans="1:41">
      <c r="A41" s="138" t="inlineStr">
        <is>
          <t>Client Alpha (Steel EPC)</t>
        </is>
      </c>
      <c r="B41" s="138" t="inlineStr">
        <is>
          <t>CLIENT ALPHA STEEL STRUCTURE CORPORATION</t>
        </is>
      </c>
      <c r="C41" s="138" t="inlineStr">
        <is>
          <t>AR-00036</t>
        </is>
      </c>
      <c r="D41" s="138" t="inlineStr">
        <is>
          <t>70000036</t>
        </is>
      </c>
      <c r="E41" s="141">
        <v>46259.0</v>
      </c>
      <c r="F41" s="141">
        <v>46334.0</v>
      </c>
      <c r="G41" s="142">
        <v>37167751</v>
      </c>
      <c r="H41" s="142">
        <v>0</v>
      </c>
      <c r="I41" s="142">
        <v>37167751</v>
      </c>
      <c r="J41" s="138" t="inlineStr">
        <is>
          <t>Senior Sales Rep 2</t>
        </is>
      </c>
      <c r="K41" s="138" t="inlineStr">
        <is>
          <t>Trading</t>
        </is>
      </c>
      <c r="L41" s="138" t="inlineStr">
        <is>
          <t>Project 002</t>
        </is>
      </c>
      <c r="M41" s="138" t="inlineStr">
        <is>
          <t>Collection note 010</t>
        </is>
      </c>
      <c r="N41" s="143"/>
      <c r="O41" s="143"/>
      <c r="P41" s="144"/>
      <c r="Q41" s="138">
        <f>IF(ISNUMBER(F41),Dashboard!$D$2-F41,"")</f>
        <v>-34.0</v>
      </c>
      <c r="R41" s="138">
        <f>IF(AND(OR(Dashboard!$P$1="All",A41=Dashboard!$P$1),OR(Dashboard!$P$2="All",J41=Dashboard!$P$2)),1,0)</f>
        <v>1</v>
      </c>
      <c r="S41" s="138">
        <f>I41*R41</f>
        <v>37167751</v>
      </c>
      <c r="T41" s="138">
        <f>IF(AND(ISNUMBER(Q41),Q41&gt;0),S41,0)</f>
        <v>0</v>
      </c>
      <c r="U41" s="138">
        <f>IF(OR(Dashboard!$P$3="All",AND(Dashboard!$P$3="Not due",Q41&lt;0),AND(Dashboard!$P$3="Due in 10 days",Q41&gt;=-10,Q41&lt;=0),AND(Dashboard!$P$3="Due in 30 days",Q41&gt;=-30,Q41&lt;=0),AND(Dashboard!$P$3="Overdue 1–60 days",Q41&gt;0,Q41&lt;=60),AND(Dashboard!$P$3="Over 60 days",Q41&gt;60),AND(Dashboard!$P$3="All overdue",Q41&gt;0)),1,0)</f>
        <v>1</v>
      </c>
      <c r="V41" s="138">
        <f>S41*U41</f>
        <v>37167751</v>
      </c>
      <c r="W41" s="138">
        <f>IF(Q41&gt;0,T41*Q41,0)</f>
        <v>0</v>
      </c>
      <c r="X41" s="138">
        <f>IF(V41&gt;0,COUNTIF($V$6:V41,"&gt;0"),"")</f>
        <v>36</v>
      </c>
      <c r="Y41" s="154" t="str">
        <f>C41&amp;"|"&amp;D41</f>
        <v>AR-00036|70000036</v>
      </c>
      <c r="Z41" s="138"/>
      <c r="AA41" s="154" t="inlineStr">
        <is>
          <t>["Demo Company 010", "AR-00036", "70000036", "2026-08-25"]</t>
        </is>
      </c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</row>
    <row r="42" spans="1:41">
      <c r="A42" s="138" t="inlineStr">
        <is>
          <t>Client Alpha (Steel EPC)</t>
        </is>
      </c>
      <c r="B42" s="138" t="inlineStr">
        <is>
          <t>CLIENT ALPHA STEEL STRUCTURE CORPORATION</t>
        </is>
      </c>
      <c r="C42" s="138" t="inlineStr">
        <is>
          <t>AR-00037</t>
        </is>
      </c>
      <c r="D42" s="138" t="inlineStr">
        <is>
          <t>70000037</t>
        </is>
      </c>
      <c r="E42" s="141">
        <v>46259.0</v>
      </c>
      <c r="F42" s="141">
        <v>46334.0</v>
      </c>
      <c r="G42" s="142">
        <v>527864905</v>
      </c>
      <c r="H42" s="142">
        <v>0</v>
      </c>
      <c r="I42" s="142">
        <v>527864905</v>
      </c>
      <c r="J42" s="138" t="inlineStr">
        <is>
          <t>Senior Sales Rep 1</t>
        </is>
      </c>
      <c r="K42" s="138" t="inlineStr">
        <is>
          <t>Trading</t>
        </is>
      </c>
      <c r="L42" s="138" t="inlineStr">
        <is>
          <t>Project 003</t>
        </is>
      </c>
      <c r="M42" s="138" t="inlineStr">
        <is>
          <t>Collection note 007</t>
        </is>
      </c>
      <c r="N42" s="143"/>
      <c r="O42" s="143"/>
      <c r="P42" s="144"/>
      <c r="Q42" s="138">
        <f>IF(ISNUMBER(F42),Dashboard!$D$2-F42,"")</f>
        <v>-34.0</v>
      </c>
      <c r="R42" s="138">
        <f>IF(AND(OR(Dashboard!$P$1="All",A42=Dashboard!$P$1),OR(Dashboard!$P$2="All",J42=Dashboard!$P$2)),1,0)</f>
        <v>1</v>
      </c>
      <c r="S42" s="138">
        <f>I42*R42</f>
        <v>527864905</v>
      </c>
      <c r="T42" s="138">
        <f>IF(AND(ISNUMBER(Q42),Q42&gt;0),S42,0)</f>
        <v>0</v>
      </c>
      <c r="U42" s="138">
        <f>IF(OR(Dashboard!$P$3="All",AND(Dashboard!$P$3="Not due",Q42&lt;0),AND(Dashboard!$P$3="Due in 10 days",Q42&gt;=-10,Q42&lt;=0),AND(Dashboard!$P$3="Due in 30 days",Q42&gt;=-30,Q42&lt;=0),AND(Dashboard!$P$3="Overdue 1–60 days",Q42&gt;0,Q42&lt;=60),AND(Dashboard!$P$3="Over 60 days",Q42&gt;60),AND(Dashboard!$P$3="All overdue",Q42&gt;0)),1,0)</f>
        <v>1</v>
      </c>
      <c r="V42" s="138">
        <f>S42*U42</f>
        <v>527864905</v>
      </c>
      <c r="W42" s="138">
        <f>IF(Q42&gt;0,T42*Q42,0)</f>
        <v>0</v>
      </c>
      <c r="X42" s="138">
        <f>IF(V42&gt;0,COUNTIF($V$6:V42,"&gt;0"),"")</f>
        <v>37</v>
      </c>
      <c r="Y42" s="154" t="str">
        <f>C42&amp;"|"&amp;D42</f>
        <v>AR-00037|70000037</v>
      </c>
      <c r="Z42" s="138"/>
      <c r="AA42" s="154" t="inlineStr">
        <is>
          <t>["Demo Company 010", "AR-00037", "70000037", "2026-08-25"]</t>
        </is>
      </c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</row>
    <row r="43" spans="1:41">
      <c r="A43" s="138" t="inlineStr">
        <is>
          <t>Client Alpha (Steel EPC)</t>
        </is>
      </c>
      <c r="B43" s="138" t="inlineStr">
        <is>
          <t>CLIENT ALPHA STEEL STRUCTURE CORPORATION</t>
        </is>
      </c>
      <c r="C43" s="138" t="inlineStr">
        <is>
          <t>AR-00038</t>
        </is>
      </c>
      <c r="D43" s="138" t="inlineStr">
        <is>
          <t>70000038</t>
        </is>
      </c>
      <c r="E43" s="141">
        <v>46262.0</v>
      </c>
      <c r="F43" s="141">
        <v>46337.0</v>
      </c>
      <c r="G43" s="142">
        <v>196740292</v>
      </c>
      <c r="H43" s="142">
        <v>0</v>
      </c>
      <c r="I43" s="142">
        <v>196740292</v>
      </c>
      <c r="J43" s="138" t="inlineStr">
        <is>
          <t>Senior Sales Rep 1</t>
        </is>
      </c>
      <c r="K43" s="138" t="inlineStr">
        <is>
          <t>Trading</t>
        </is>
      </c>
      <c r="L43" s="138" t="inlineStr">
        <is>
          <t>Project 004</t>
        </is>
      </c>
      <c r="M43" s="138" t="inlineStr">
        <is>
          <t>Collection note 007</t>
        </is>
      </c>
      <c r="N43" s="143"/>
      <c r="O43" s="143"/>
      <c r="P43" s="144"/>
      <c r="Q43" s="138">
        <f>IF(ISNUMBER(F43),Dashboard!$D$2-F43,"")</f>
        <v>-37.0</v>
      </c>
      <c r="R43" s="138">
        <f>IF(AND(OR(Dashboard!$P$1="All",A43=Dashboard!$P$1),OR(Dashboard!$P$2="All",J43=Dashboard!$P$2)),1,0)</f>
        <v>1</v>
      </c>
      <c r="S43" s="138">
        <f>I43*R43</f>
        <v>196740292</v>
      </c>
      <c r="T43" s="138">
        <f>IF(AND(ISNUMBER(Q43),Q43&gt;0),S43,0)</f>
        <v>0</v>
      </c>
      <c r="U43" s="138">
        <f>IF(OR(Dashboard!$P$3="All",AND(Dashboard!$P$3="Not due",Q43&lt;0),AND(Dashboard!$P$3="Due in 10 days",Q43&gt;=-10,Q43&lt;=0),AND(Dashboard!$P$3="Due in 30 days",Q43&gt;=-30,Q43&lt;=0),AND(Dashboard!$P$3="Overdue 1–60 days",Q43&gt;0,Q43&lt;=60),AND(Dashboard!$P$3="Over 60 days",Q43&gt;60),AND(Dashboard!$P$3="All overdue",Q43&gt;0)),1,0)</f>
        <v>1</v>
      </c>
      <c r="V43" s="138">
        <f>S43*U43</f>
        <v>196740292</v>
      </c>
      <c r="W43" s="138">
        <f>IF(Q43&gt;0,T43*Q43,0)</f>
        <v>0</v>
      </c>
      <c r="X43" s="138">
        <f>IF(V43&gt;0,COUNTIF($V$6:V43,"&gt;0"),"")</f>
        <v>38</v>
      </c>
      <c r="Y43" s="154" t="str">
        <f>C43&amp;"|"&amp;D43</f>
        <v>AR-00038|70000038</v>
      </c>
      <c r="Z43" s="138"/>
      <c r="AA43" s="154" t="inlineStr">
        <is>
          <t>["Demo Company 010", "AR-00038", "70000038", "2026-08-28"]</t>
        </is>
      </c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</row>
    <row r="44" spans="1:41">
      <c r="A44" s="138" t="inlineStr">
        <is>
          <t>Client Alpha (Steel EPC)</t>
        </is>
      </c>
      <c r="B44" s="138" t="inlineStr">
        <is>
          <t>CLIENT ALPHA STEEL STRUCTURE CORPORATION</t>
        </is>
      </c>
      <c r="C44" s="138" t="inlineStr">
        <is>
          <t>AR-00039</t>
        </is>
      </c>
      <c r="D44" s="138" t="inlineStr">
        <is>
          <t>70000039</t>
        </is>
      </c>
      <c r="E44" s="141">
        <v>46262.0</v>
      </c>
      <c r="F44" s="141">
        <v>46337.0</v>
      </c>
      <c r="G44" s="142">
        <v>654539207</v>
      </c>
      <c r="H44" s="142">
        <v>0</v>
      </c>
      <c r="I44" s="142">
        <v>654539207</v>
      </c>
      <c r="J44" s="138" t="inlineStr">
        <is>
          <t>Senior Sales Rep 1</t>
        </is>
      </c>
      <c r="K44" s="138" t="inlineStr">
        <is>
          <t>Trading</t>
        </is>
      </c>
      <c r="L44" s="138" t="inlineStr">
        <is>
          <t>Project 005</t>
        </is>
      </c>
      <c r="M44" s="138" t="inlineStr">
        <is>
          <t>Collection note 011</t>
        </is>
      </c>
      <c r="N44" s="143"/>
      <c r="O44" s="143"/>
      <c r="P44" s="144"/>
      <c r="Q44" s="138">
        <f>IF(ISNUMBER(F44),Dashboard!$D$2-F44,"")</f>
        <v>-37.0</v>
      </c>
      <c r="R44" s="138">
        <f>IF(AND(OR(Dashboard!$P$1="All",A44=Dashboard!$P$1),OR(Dashboard!$P$2="All",J44=Dashboard!$P$2)),1,0)</f>
        <v>1</v>
      </c>
      <c r="S44" s="138">
        <f>I44*R44</f>
        <v>654539207</v>
      </c>
      <c r="T44" s="138">
        <f>IF(AND(ISNUMBER(Q44),Q44&gt;0),S44,0)</f>
        <v>0</v>
      </c>
      <c r="U44" s="138">
        <f>IF(OR(Dashboard!$P$3="All",AND(Dashboard!$P$3="Not due",Q44&lt;0),AND(Dashboard!$P$3="Due in 10 days",Q44&gt;=-10,Q44&lt;=0),AND(Dashboard!$P$3="Due in 30 days",Q44&gt;=-30,Q44&lt;=0),AND(Dashboard!$P$3="Overdue 1–60 days",Q44&gt;0,Q44&lt;=60),AND(Dashboard!$P$3="Over 60 days",Q44&gt;60),AND(Dashboard!$P$3="All overdue",Q44&gt;0)),1,0)</f>
        <v>1</v>
      </c>
      <c r="V44" s="138">
        <f>S44*U44</f>
        <v>654539207</v>
      </c>
      <c r="W44" s="138">
        <f>IF(Q44&gt;0,T44*Q44,0)</f>
        <v>0</v>
      </c>
      <c r="X44" s="138">
        <f>IF(V44&gt;0,COUNTIF($V$6:V44,"&gt;0"),"")</f>
        <v>39</v>
      </c>
      <c r="Y44" s="154" t="str">
        <f>C44&amp;"|"&amp;D44</f>
        <v>AR-00039|70000039</v>
      </c>
      <c r="Z44" s="138"/>
      <c r="AA44" s="154" t="inlineStr">
        <is>
          <t>["Demo Company 010", "AR-00039", "70000039", "2026-08-28"]</t>
        </is>
      </c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</row>
    <row r="45" spans="1:41">
      <c r="A45" s="138" t="inlineStr">
        <is>
          <t>Client Alpha (Steel EPC)</t>
        </is>
      </c>
      <c r="B45" s="138" t="inlineStr">
        <is>
          <t>CLIENT ALPHA STEEL STRUCTURE CORPORATION</t>
        </is>
      </c>
      <c r="C45" s="138" t="inlineStr">
        <is>
          <t>AR-00040</t>
        </is>
      </c>
      <c r="D45" s="138" t="inlineStr">
        <is>
          <t>70000040</t>
        </is>
      </c>
      <c r="E45" s="141">
        <v>46262.0</v>
      </c>
      <c r="F45" s="141">
        <v>46337.0</v>
      </c>
      <c r="G45" s="142">
        <v>163482217</v>
      </c>
      <c r="H45" s="142">
        <v>0</v>
      </c>
      <c r="I45" s="142">
        <v>163482217</v>
      </c>
      <c r="J45" s="138" t="inlineStr">
        <is>
          <t>Senior Sales Rep 1</t>
        </is>
      </c>
      <c r="K45" s="138" t="inlineStr">
        <is>
          <t>Trading</t>
        </is>
      </c>
      <c r="L45" s="138" t="inlineStr">
        <is>
          <t>Project 006</t>
        </is>
      </c>
      <c r="M45" s="138" t="inlineStr">
        <is>
          <t>Collection note 011</t>
        </is>
      </c>
      <c r="N45" s="143"/>
      <c r="O45" s="143"/>
      <c r="P45" s="144"/>
      <c r="Q45" s="138">
        <f>IF(ISNUMBER(F45),Dashboard!$D$2-F45,"")</f>
        <v>-37.0</v>
      </c>
      <c r="R45" s="138">
        <f>IF(AND(OR(Dashboard!$P$1="All",A45=Dashboard!$P$1),OR(Dashboard!$P$2="All",J45=Dashboard!$P$2)),1,0)</f>
        <v>1</v>
      </c>
      <c r="S45" s="138">
        <f>I45*R45</f>
        <v>163482217</v>
      </c>
      <c r="T45" s="138">
        <f>IF(AND(ISNUMBER(Q45),Q45&gt;0),S45,0)</f>
        <v>0</v>
      </c>
      <c r="U45" s="138">
        <f>IF(OR(Dashboard!$P$3="All",AND(Dashboard!$P$3="Not due",Q45&lt;0),AND(Dashboard!$P$3="Due in 10 days",Q45&gt;=-10,Q45&lt;=0),AND(Dashboard!$P$3="Due in 30 days",Q45&gt;=-30,Q45&lt;=0),AND(Dashboard!$P$3="Overdue 1–60 days",Q45&gt;0,Q45&lt;=60),AND(Dashboard!$P$3="Over 60 days",Q45&gt;60),AND(Dashboard!$P$3="All overdue",Q45&gt;0)),1,0)</f>
        <v>1</v>
      </c>
      <c r="V45" s="138">
        <f>S45*U45</f>
        <v>163482217</v>
      </c>
      <c r="W45" s="138">
        <f>IF(Q45&gt;0,T45*Q45,0)</f>
        <v>0</v>
      </c>
      <c r="X45" s="138">
        <f>IF(V45&gt;0,COUNTIF($V$6:V45,"&gt;0"),"")</f>
        <v>40</v>
      </c>
      <c r="Y45" s="154" t="str">
        <f>C45&amp;"|"&amp;D45</f>
        <v>AR-00040|70000040</v>
      </c>
      <c r="Z45" s="138"/>
      <c r="AA45" s="154" t="inlineStr">
        <is>
          <t>["Demo Company 010", "AR-00040", "70000040", "2026-08-28"]</t>
        </is>
      </c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</row>
    <row r="46" spans="1:41">
      <c r="A46" s="138" t="inlineStr">
        <is>
          <t>Client Alpha (Steel EPC)</t>
        </is>
      </c>
      <c r="B46" s="138" t="inlineStr">
        <is>
          <t>CLIENT ALPHA STEEL STRUCTURE CORPORATION</t>
        </is>
      </c>
      <c r="C46" s="138" t="inlineStr">
        <is>
          <t>AR-00041</t>
        </is>
      </c>
      <c r="D46" s="138" t="inlineStr">
        <is>
          <t>70000041</t>
        </is>
      </c>
      <c r="E46" s="141">
        <v>46262.0</v>
      </c>
      <c r="F46" s="141">
        <v>46337.0</v>
      </c>
      <c r="G46" s="142">
        <v>629722120</v>
      </c>
      <c r="H46" s="142">
        <v>0</v>
      </c>
      <c r="I46" s="142">
        <v>629722120</v>
      </c>
      <c r="J46" s="138" t="inlineStr">
        <is>
          <t>Senior Sales Rep 2</t>
        </is>
      </c>
      <c r="K46" s="138" t="inlineStr">
        <is>
          <t>Trading</t>
        </is>
      </c>
      <c r="L46" s="138" t="inlineStr">
        <is>
          <t>Project 007</t>
        </is>
      </c>
      <c r="M46" s="138" t="inlineStr">
        <is>
          <t>Collection note 012</t>
        </is>
      </c>
      <c r="N46" s="143"/>
      <c r="O46" s="143"/>
      <c r="P46" s="144"/>
      <c r="Q46" s="138">
        <f>IF(ISNUMBER(F46),Dashboard!$D$2-F46,"")</f>
        <v>-37.0</v>
      </c>
      <c r="R46" s="138">
        <f>IF(AND(OR(Dashboard!$P$1="All",A46=Dashboard!$P$1),OR(Dashboard!$P$2="All",J46=Dashboard!$P$2)),1,0)</f>
        <v>1</v>
      </c>
      <c r="S46" s="138">
        <f>I46*R46</f>
        <v>629722120</v>
      </c>
      <c r="T46" s="138">
        <f>IF(AND(ISNUMBER(Q46),Q46&gt;0),S46,0)</f>
        <v>0</v>
      </c>
      <c r="U46" s="138">
        <f>IF(OR(Dashboard!$P$3="All",AND(Dashboard!$P$3="Not due",Q46&lt;0),AND(Dashboard!$P$3="Due in 10 days",Q46&gt;=-10,Q46&lt;=0),AND(Dashboard!$P$3="Due in 30 days",Q46&gt;=-30,Q46&lt;=0),AND(Dashboard!$P$3="Overdue 1–60 days",Q46&gt;0,Q46&lt;=60),AND(Dashboard!$P$3="Over 60 days",Q46&gt;60),AND(Dashboard!$P$3="All overdue",Q46&gt;0)),1,0)</f>
        <v>1</v>
      </c>
      <c r="V46" s="138">
        <f>S46*U46</f>
        <v>629722120</v>
      </c>
      <c r="W46" s="138">
        <f>IF(Q46&gt;0,T46*Q46,0)</f>
        <v>0</v>
      </c>
      <c r="X46" s="138">
        <f>IF(V46&gt;0,COUNTIF($V$6:V46,"&gt;0"),"")</f>
        <v>41</v>
      </c>
      <c r="Y46" s="154" t="str">
        <f>C46&amp;"|"&amp;D46</f>
        <v>AR-00041|70000041</v>
      </c>
      <c r="Z46" s="138"/>
      <c r="AA46" s="154" t="inlineStr">
        <is>
          <t>["Demo Company 010", "AR-00041", "70000041", "2026-08-28"]</t>
        </is>
      </c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</row>
    <row r="47" spans="1:41">
      <c r="A47" s="138" t="inlineStr">
        <is>
          <t>Client Alpha (Steel EPC)</t>
        </is>
      </c>
      <c r="B47" s="138" t="inlineStr">
        <is>
          <t>CLIENT ALPHA STEEL STRUCTURE CORPORATION</t>
        </is>
      </c>
      <c r="C47" s="138" t="inlineStr">
        <is>
          <t>AR-00042</t>
        </is>
      </c>
      <c r="D47" s="138" t="inlineStr">
        <is>
          <t>70000042</t>
        </is>
      </c>
      <c r="E47" s="141">
        <v>46262.0</v>
      </c>
      <c r="F47" s="141">
        <v>46337.0</v>
      </c>
      <c r="G47" s="142">
        <v>5942279792</v>
      </c>
      <c r="H47" s="142">
        <v>0</v>
      </c>
      <c r="I47" s="142">
        <v>5942279792</v>
      </c>
      <c r="J47" s="138" t="inlineStr">
        <is>
          <t>Senior Sales Rep 2</t>
        </is>
      </c>
      <c r="K47" s="138" t="inlineStr">
        <is>
          <t>Trading</t>
        </is>
      </c>
      <c r="L47" s="138" t="inlineStr">
        <is>
          <t>Project 008</t>
        </is>
      </c>
      <c r="M47" s="138" t="inlineStr">
        <is>
          <t>Collection note 012</t>
        </is>
      </c>
      <c r="N47" s="143"/>
      <c r="O47" s="143"/>
      <c r="P47" s="144"/>
      <c r="Q47" s="138">
        <f>IF(ISNUMBER(F47),Dashboard!$D$2-F47,"")</f>
        <v>-37.0</v>
      </c>
      <c r="R47" s="138">
        <f>IF(AND(OR(Dashboard!$P$1="All",A47=Dashboard!$P$1),OR(Dashboard!$P$2="All",J47=Dashboard!$P$2)),1,0)</f>
        <v>1</v>
      </c>
      <c r="S47" s="138">
        <f>I47*R47</f>
        <v>5942279792</v>
      </c>
      <c r="T47" s="138">
        <f>IF(AND(ISNUMBER(Q47),Q47&gt;0),S47,0)</f>
        <v>0</v>
      </c>
      <c r="U47" s="138">
        <f>IF(OR(Dashboard!$P$3="All",AND(Dashboard!$P$3="Not due",Q47&lt;0),AND(Dashboard!$P$3="Due in 10 days",Q47&gt;=-10,Q47&lt;=0),AND(Dashboard!$P$3="Due in 30 days",Q47&gt;=-30,Q47&lt;=0),AND(Dashboard!$P$3="Overdue 1–60 days",Q47&gt;0,Q47&lt;=60),AND(Dashboard!$P$3="Over 60 days",Q47&gt;60),AND(Dashboard!$P$3="All overdue",Q47&gt;0)),1,0)</f>
        <v>1</v>
      </c>
      <c r="V47" s="138">
        <f>S47*U47</f>
        <v>5942279792</v>
      </c>
      <c r="W47" s="138">
        <f>IF(Q47&gt;0,T47*Q47,0)</f>
        <v>0</v>
      </c>
      <c r="X47" s="138">
        <f>IF(V47&gt;0,COUNTIF($V$6:V47,"&gt;0"),"")</f>
        <v>42</v>
      </c>
      <c r="Y47" s="154" t="str">
        <f>C47&amp;"|"&amp;D47</f>
        <v>AR-00042|70000042</v>
      </c>
      <c r="Z47" s="138"/>
      <c r="AA47" s="154" t="inlineStr">
        <is>
          <t>["Demo Company 010", "AR-00042", "70000042", "2026-08-28"]</t>
        </is>
      </c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</row>
    <row r="48" spans="1:41">
      <c r="A48" s="138" t="inlineStr">
        <is>
          <t>Client Alpha (Steel EPC)</t>
        </is>
      </c>
      <c r="B48" s="138" t="inlineStr">
        <is>
          <t>CLIENT ALPHA STEEL STRUCTURE CORPORATION</t>
        </is>
      </c>
      <c r="C48" s="138" t="inlineStr">
        <is>
          <t>AR-00043</t>
        </is>
      </c>
      <c r="D48" s="138" t="inlineStr">
        <is>
          <t>70000043</t>
        </is>
      </c>
      <c r="E48" s="141">
        <v>46268.0</v>
      </c>
      <c r="F48" s="141">
        <v>46343.0</v>
      </c>
      <c r="G48" s="142">
        <v>15415975</v>
      </c>
      <c r="H48" s="142">
        <v>0</v>
      </c>
      <c r="I48" s="142">
        <v>15415975</v>
      </c>
      <c r="J48" s="138" t="inlineStr">
        <is>
          <t>Senior Sales Rep 1</t>
        </is>
      </c>
      <c r="K48" s="138" t="inlineStr">
        <is>
          <t>Trading</t>
        </is>
      </c>
      <c r="L48" s="138" t="inlineStr">
        <is>
          <t>Project 002</t>
        </is>
      </c>
      <c r="M48" s="138" t="inlineStr">
        <is>
          <t>Collection note 009</t>
        </is>
      </c>
      <c r="N48" s="143"/>
      <c r="O48" s="143"/>
      <c r="P48" s="144"/>
      <c r="Q48" s="138">
        <f>IF(ISNUMBER(F48),Dashboard!$D$2-F48,"")</f>
        <v>-43.0</v>
      </c>
      <c r="R48" s="138">
        <f>IF(AND(OR(Dashboard!$P$1="All",A48=Dashboard!$P$1),OR(Dashboard!$P$2="All",J48=Dashboard!$P$2)),1,0)</f>
        <v>1</v>
      </c>
      <c r="S48" s="138">
        <f>I48*R48</f>
        <v>15415975</v>
      </c>
      <c r="T48" s="138">
        <f>IF(AND(ISNUMBER(Q48),Q48&gt;0),S48,0)</f>
        <v>0</v>
      </c>
      <c r="U48" s="138">
        <f>IF(OR(Dashboard!$P$3="All",AND(Dashboard!$P$3="Not due",Q48&lt;0),AND(Dashboard!$P$3="Due in 10 days",Q48&gt;=-10,Q48&lt;=0),AND(Dashboard!$P$3="Due in 30 days",Q48&gt;=-30,Q48&lt;=0),AND(Dashboard!$P$3="Overdue 1–60 days",Q48&gt;0,Q48&lt;=60),AND(Dashboard!$P$3="Over 60 days",Q48&gt;60),AND(Dashboard!$P$3="All overdue",Q48&gt;0)),1,0)</f>
        <v>1</v>
      </c>
      <c r="V48" s="138">
        <f>S48*U48</f>
        <v>15415975</v>
      </c>
      <c r="W48" s="138">
        <f>IF(Q48&gt;0,T48*Q48,0)</f>
        <v>0</v>
      </c>
      <c r="X48" s="138">
        <f>IF(V48&gt;0,COUNTIF($V$6:V48,"&gt;0"),"")</f>
        <v>43</v>
      </c>
      <c r="Y48" s="154" t="str">
        <f>C48&amp;"|"&amp;D48</f>
        <v>AR-00043|70000043</v>
      </c>
      <c r="Z48" s="138"/>
      <c r="AA48" s="154" t="inlineStr">
        <is>
          <t>["Demo Company 010", "AR-00043", "70000043", "2026-09-03"]</t>
        </is>
      </c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</row>
    <row r="49" spans="1:41">
      <c r="A49" s="138" t="inlineStr">
        <is>
          <t>Client Alpha (Steel EPC)</t>
        </is>
      </c>
      <c r="B49" s="138" t="inlineStr">
        <is>
          <t>CLIENT ALPHA STEEL STRUCTURE CORPORATION</t>
        </is>
      </c>
      <c r="C49" s="138" t="inlineStr">
        <is>
          <t>AR-00044</t>
        </is>
      </c>
      <c r="D49" s="138" t="inlineStr">
        <is>
          <t>70000044</t>
        </is>
      </c>
      <c r="E49" s="141">
        <v>46268.0</v>
      </c>
      <c r="F49" s="141">
        <v>46343.0</v>
      </c>
      <c r="G49" s="142">
        <v>102773165</v>
      </c>
      <c r="H49" s="142">
        <v>0</v>
      </c>
      <c r="I49" s="142">
        <v>102773165</v>
      </c>
      <c r="J49" s="138" t="inlineStr">
        <is>
          <t>Senior Sales Rep 1</t>
        </is>
      </c>
      <c r="K49" s="138" t="inlineStr">
        <is>
          <t>Trading</t>
        </is>
      </c>
      <c r="L49" s="138" t="inlineStr">
        <is>
          <t>Project 003</t>
        </is>
      </c>
      <c r="M49" s="138" t="inlineStr">
        <is>
          <t>Collection note 009</t>
        </is>
      </c>
      <c r="N49" s="143"/>
      <c r="O49" s="143"/>
      <c r="P49" s="144"/>
      <c r="Q49" s="138">
        <f>IF(ISNUMBER(F49),Dashboard!$D$2-F49,"")</f>
        <v>-43.0</v>
      </c>
      <c r="R49" s="138">
        <f>IF(AND(OR(Dashboard!$P$1="All",A49=Dashboard!$P$1),OR(Dashboard!$P$2="All",J49=Dashboard!$P$2)),1,0)</f>
        <v>1</v>
      </c>
      <c r="S49" s="138">
        <f>I49*R49</f>
        <v>102773165</v>
      </c>
      <c r="T49" s="138">
        <f>IF(AND(ISNUMBER(Q49),Q49&gt;0),S49,0)</f>
        <v>0</v>
      </c>
      <c r="U49" s="138">
        <f>IF(OR(Dashboard!$P$3="All",AND(Dashboard!$P$3="Not due",Q49&lt;0),AND(Dashboard!$P$3="Due in 10 days",Q49&gt;=-10,Q49&lt;=0),AND(Dashboard!$P$3="Due in 30 days",Q49&gt;=-30,Q49&lt;=0),AND(Dashboard!$P$3="Overdue 1–60 days",Q49&gt;0,Q49&lt;=60),AND(Dashboard!$P$3="Over 60 days",Q49&gt;60),AND(Dashboard!$P$3="All overdue",Q49&gt;0)),1,0)</f>
        <v>1</v>
      </c>
      <c r="V49" s="138">
        <f>S49*U49</f>
        <v>102773165</v>
      </c>
      <c r="W49" s="138">
        <f>IF(Q49&gt;0,T49*Q49,0)</f>
        <v>0</v>
      </c>
      <c r="X49" s="138">
        <f>IF(V49&gt;0,COUNTIF($V$6:V49,"&gt;0"),"")</f>
        <v>44</v>
      </c>
      <c r="Y49" s="154" t="str">
        <f>C49&amp;"|"&amp;D49</f>
        <v>AR-00044|70000044</v>
      </c>
      <c r="Z49" s="138"/>
      <c r="AA49" s="154" t="inlineStr">
        <is>
          <t>["Demo Company 010", "AR-00044", "70000044", "2026-09-03"]</t>
        </is>
      </c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</row>
    <row r="50" spans="1:41">
      <c r="A50" s="138" t="inlineStr">
        <is>
          <t>Client Alpha (Steel EPC)</t>
        </is>
      </c>
      <c r="B50" s="138" t="inlineStr">
        <is>
          <t>CLIENT ALPHA STEEL STRUCTURE CORPORATION</t>
        </is>
      </c>
      <c r="C50" s="138" t="inlineStr">
        <is>
          <t>AR-00045</t>
        </is>
      </c>
      <c r="D50" s="138" t="inlineStr">
        <is>
          <t>70000045</t>
        </is>
      </c>
      <c r="E50" s="141">
        <v>46268.0</v>
      </c>
      <c r="F50" s="141">
        <v>46343.0</v>
      </c>
      <c r="G50" s="142">
        <v>309368638</v>
      </c>
      <c r="H50" s="142">
        <v>0</v>
      </c>
      <c r="I50" s="142">
        <v>309368638</v>
      </c>
      <c r="J50" s="138" t="inlineStr">
        <is>
          <t>Senior Sales Rep 1</t>
        </is>
      </c>
      <c r="K50" s="138" t="inlineStr">
        <is>
          <t>Trading</t>
        </is>
      </c>
      <c r="L50" s="138" t="inlineStr">
        <is>
          <t>Project 004</t>
        </is>
      </c>
      <c r="M50" s="138" t="inlineStr">
        <is>
          <t>Collection note 009</t>
        </is>
      </c>
      <c r="N50" s="143"/>
      <c r="O50" s="143"/>
      <c r="P50" s="144"/>
      <c r="Q50" s="138">
        <f>IF(ISNUMBER(F50),Dashboard!$D$2-F50,"")</f>
        <v>-43.0</v>
      </c>
      <c r="R50" s="138">
        <f>IF(AND(OR(Dashboard!$P$1="All",A50=Dashboard!$P$1),OR(Dashboard!$P$2="All",J50=Dashboard!$P$2)),1,0)</f>
        <v>1</v>
      </c>
      <c r="S50" s="138">
        <f>I50*R50</f>
        <v>309368638</v>
      </c>
      <c r="T50" s="138">
        <f>IF(AND(ISNUMBER(Q50),Q50&gt;0),S50,0)</f>
        <v>0</v>
      </c>
      <c r="U50" s="138">
        <f>IF(OR(Dashboard!$P$3="All",AND(Dashboard!$P$3="Not due",Q50&lt;0),AND(Dashboard!$P$3="Due in 10 days",Q50&gt;=-10,Q50&lt;=0),AND(Dashboard!$P$3="Due in 30 days",Q50&gt;=-30,Q50&lt;=0),AND(Dashboard!$P$3="Overdue 1–60 days",Q50&gt;0,Q50&lt;=60),AND(Dashboard!$P$3="Over 60 days",Q50&gt;60),AND(Dashboard!$P$3="All overdue",Q50&gt;0)),1,0)</f>
        <v>1</v>
      </c>
      <c r="V50" s="138">
        <f>S50*U50</f>
        <v>309368638</v>
      </c>
      <c r="W50" s="138">
        <f>IF(Q50&gt;0,T50*Q50,0)</f>
        <v>0</v>
      </c>
      <c r="X50" s="138">
        <f>IF(V50&gt;0,COUNTIF($V$6:V50,"&gt;0"),"")</f>
        <v>45</v>
      </c>
      <c r="Y50" s="154" t="str">
        <f>C50&amp;"|"&amp;D50</f>
        <v>AR-00045|70000045</v>
      </c>
      <c r="Z50" s="138"/>
      <c r="AA50" s="154" t="inlineStr">
        <is>
          <t>["Demo Company 010", "AR-00045", "70000045", "2026-09-03"]</t>
        </is>
      </c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</row>
    <row r="51" spans="1:41">
      <c r="A51" s="138" t="inlineStr">
        <is>
          <t>Client Alpha (Steel EPC)</t>
        </is>
      </c>
      <c r="B51" s="138" t="inlineStr">
        <is>
          <t>CLIENT ALPHA STEEL STRUCTURE CORPORATION</t>
        </is>
      </c>
      <c r="C51" s="138" t="inlineStr">
        <is>
          <t>AR-00046</t>
        </is>
      </c>
      <c r="D51" s="138" t="inlineStr">
        <is>
          <t>70000046</t>
        </is>
      </c>
      <c r="E51" s="141">
        <v>46268.0</v>
      </c>
      <c r="F51" s="141">
        <v>46343.0</v>
      </c>
      <c r="G51" s="142">
        <v>284395952</v>
      </c>
      <c r="H51" s="142">
        <v>0</v>
      </c>
      <c r="I51" s="142">
        <v>284395952</v>
      </c>
      <c r="J51" s="138" t="inlineStr">
        <is>
          <t>Senior Sales Rep 1</t>
        </is>
      </c>
      <c r="K51" s="138" t="inlineStr">
        <is>
          <t>Trading</t>
        </is>
      </c>
      <c r="L51" s="138" t="inlineStr">
        <is>
          <t>Project 005</t>
        </is>
      </c>
      <c r="M51" s="138" t="inlineStr">
        <is>
          <t>Collection note 011</t>
        </is>
      </c>
      <c r="N51" s="143"/>
      <c r="O51" s="143"/>
      <c r="P51" s="144"/>
      <c r="Q51" s="138">
        <f>IF(ISNUMBER(F51),Dashboard!$D$2-F51,"")</f>
        <v>-43.0</v>
      </c>
      <c r="R51" s="138">
        <f>IF(AND(OR(Dashboard!$P$1="All",A51=Dashboard!$P$1),OR(Dashboard!$P$2="All",J51=Dashboard!$P$2)),1,0)</f>
        <v>1</v>
      </c>
      <c r="S51" s="138">
        <f>I51*R51</f>
        <v>284395952</v>
      </c>
      <c r="T51" s="138">
        <f>IF(AND(ISNUMBER(Q51),Q51&gt;0),S51,0)</f>
        <v>0</v>
      </c>
      <c r="U51" s="138">
        <f>IF(OR(Dashboard!$P$3="All",AND(Dashboard!$P$3="Not due",Q51&lt;0),AND(Dashboard!$P$3="Due in 10 days",Q51&gt;=-10,Q51&lt;=0),AND(Dashboard!$P$3="Due in 30 days",Q51&gt;=-30,Q51&lt;=0),AND(Dashboard!$P$3="Overdue 1–60 days",Q51&gt;0,Q51&lt;=60),AND(Dashboard!$P$3="Over 60 days",Q51&gt;60),AND(Dashboard!$P$3="All overdue",Q51&gt;0)),1,0)</f>
        <v>1</v>
      </c>
      <c r="V51" s="138">
        <f>S51*U51</f>
        <v>284395952</v>
      </c>
      <c r="W51" s="138">
        <f>IF(Q51&gt;0,T51*Q51,0)</f>
        <v>0</v>
      </c>
      <c r="X51" s="138">
        <f>IF(V51&gt;0,COUNTIF($V$6:V51,"&gt;0"),"")</f>
        <v>46</v>
      </c>
      <c r="Y51" s="154" t="str">
        <f>C51&amp;"|"&amp;D51</f>
        <v>AR-00046|70000046</v>
      </c>
      <c r="Z51" s="138"/>
      <c r="AA51" s="154" t="inlineStr">
        <is>
          <t>["Demo Company 010", "AR-00046", "70000046", "2026-09-03"]</t>
        </is>
      </c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</row>
    <row r="52" spans="1:41">
      <c r="A52" s="138" t="inlineStr">
        <is>
          <t>Client Alpha (Steel EPC)</t>
        </is>
      </c>
      <c r="B52" s="138" t="inlineStr">
        <is>
          <t>CLIENT ALPHA STEEL STRUCTURE CORPORATION</t>
        </is>
      </c>
      <c r="C52" s="138" t="inlineStr">
        <is>
          <t>AR-00047</t>
        </is>
      </c>
      <c r="D52" s="138" t="inlineStr">
        <is>
          <t>70000047</t>
        </is>
      </c>
      <c r="E52" s="141">
        <v>46268.0</v>
      </c>
      <c r="F52" s="141">
        <v>46343.0</v>
      </c>
      <c r="G52" s="142">
        <v>125327029</v>
      </c>
      <c r="H52" s="142">
        <v>0</v>
      </c>
      <c r="I52" s="142">
        <v>125327029</v>
      </c>
      <c r="J52" s="138" t="inlineStr">
        <is>
          <t>Senior Sales Rep 1</t>
        </is>
      </c>
      <c r="K52" s="138" t="inlineStr">
        <is>
          <t>Trading</t>
        </is>
      </c>
      <c r="L52" s="138" t="inlineStr">
        <is>
          <t>Project 006</t>
        </is>
      </c>
      <c r="M52" s="138" t="inlineStr">
        <is>
          <t>Collection note 011</t>
        </is>
      </c>
      <c r="N52" s="143"/>
      <c r="O52" s="143"/>
      <c r="P52" s="144"/>
      <c r="Q52" s="138">
        <f>IF(ISNUMBER(F52),Dashboard!$D$2-F52,"")</f>
        <v>-43.0</v>
      </c>
      <c r="R52" s="138">
        <f>IF(AND(OR(Dashboard!$P$1="All",A52=Dashboard!$P$1),OR(Dashboard!$P$2="All",J52=Dashboard!$P$2)),1,0)</f>
        <v>1</v>
      </c>
      <c r="S52" s="138">
        <f>I52*R52</f>
        <v>125327029</v>
      </c>
      <c r="T52" s="138">
        <f>IF(AND(ISNUMBER(Q52),Q52&gt;0),S52,0)</f>
        <v>0</v>
      </c>
      <c r="U52" s="138">
        <f>IF(OR(Dashboard!$P$3="All",AND(Dashboard!$P$3="Not due",Q52&lt;0),AND(Dashboard!$P$3="Due in 10 days",Q52&gt;=-10,Q52&lt;=0),AND(Dashboard!$P$3="Due in 30 days",Q52&gt;=-30,Q52&lt;=0),AND(Dashboard!$P$3="Overdue 1–60 days",Q52&gt;0,Q52&lt;=60),AND(Dashboard!$P$3="Over 60 days",Q52&gt;60),AND(Dashboard!$P$3="All overdue",Q52&gt;0)),1,0)</f>
        <v>1</v>
      </c>
      <c r="V52" s="138">
        <f>S52*U52</f>
        <v>125327029</v>
      </c>
      <c r="W52" s="138">
        <f>IF(Q52&gt;0,T52*Q52,0)</f>
        <v>0</v>
      </c>
      <c r="X52" s="138">
        <f>IF(V52&gt;0,COUNTIF($V$6:V52,"&gt;0"),"")</f>
        <v>47</v>
      </c>
      <c r="Y52" s="154" t="str">
        <f>C52&amp;"|"&amp;D52</f>
        <v>AR-00047|70000047</v>
      </c>
      <c r="Z52" s="138"/>
      <c r="AA52" s="154" t="inlineStr">
        <is>
          <t>["Demo Company 010", "AR-00047", "70000047", "2026-09-03"]</t>
        </is>
      </c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</row>
    <row r="53" spans="1:41">
      <c r="A53" s="138" t="inlineStr">
        <is>
          <t>Client Alpha (Steel EPC)</t>
        </is>
      </c>
      <c r="B53" s="138" t="inlineStr">
        <is>
          <t>CLIENT ALPHA STEEL STRUCTURE CORPORATION</t>
        </is>
      </c>
      <c r="C53" s="138" t="inlineStr">
        <is>
          <t>AR-00048</t>
        </is>
      </c>
      <c r="D53" s="138" t="inlineStr">
        <is>
          <t>70000048</t>
        </is>
      </c>
      <c r="E53" s="141">
        <v>46268.0</v>
      </c>
      <c r="F53" s="141">
        <v>46343.0</v>
      </c>
      <c r="G53" s="142">
        <v>92353587</v>
      </c>
      <c r="H53" s="142">
        <v>0</v>
      </c>
      <c r="I53" s="142">
        <v>92353587</v>
      </c>
      <c r="J53" s="138" t="inlineStr">
        <is>
          <t>Senior Sales Rep 1</t>
        </is>
      </c>
      <c r="K53" s="138" t="inlineStr">
        <is>
          <t>Trading</t>
        </is>
      </c>
      <c r="L53" s="138" t="inlineStr">
        <is>
          <t>Project 007</t>
        </is>
      </c>
      <c r="M53" s="138" t="inlineStr">
        <is>
          <t>Collection note 011</t>
        </is>
      </c>
      <c r="N53" s="143"/>
      <c r="O53" s="143"/>
      <c r="P53" s="144"/>
      <c r="Q53" s="138">
        <f>IF(ISNUMBER(F53),Dashboard!$D$2-F53,"")</f>
        <v>-43.0</v>
      </c>
      <c r="R53" s="138">
        <f>IF(AND(OR(Dashboard!$P$1="All",A53=Dashboard!$P$1),OR(Dashboard!$P$2="All",J53=Dashboard!$P$2)),1,0)</f>
        <v>1</v>
      </c>
      <c r="S53" s="138">
        <f>I53*R53</f>
        <v>92353587</v>
      </c>
      <c r="T53" s="138">
        <f>IF(AND(ISNUMBER(Q53),Q53&gt;0),S53,0)</f>
        <v>0</v>
      </c>
      <c r="U53" s="138">
        <f>IF(OR(Dashboard!$P$3="All",AND(Dashboard!$P$3="Not due",Q53&lt;0),AND(Dashboard!$P$3="Due in 10 days",Q53&gt;=-10,Q53&lt;=0),AND(Dashboard!$P$3="Due in 30 days",Q53&gt;=-30,Q53&lt;=0),AND(Dashboard!$P$3="Overdue 1–60 days",Q53&gt;0,Q53&lt;=60),AND(Dashboard!$P$3="Over 60 days",Q53&gt;60),AND(Dashboard!$P$3="All overdue",Q53&gt;0)),1,0)</f>
        <v>1</v>
      </c>
      <c r="V53" s="138">
        <f>S53*U53</f>
        <v>92353587</v>
      </c>
      <c r="W53" s="138">
        <f>IF(Q53&gt;0,T53*Q53,0)</f>
        <v>0</v>
      </c>
      <c r="X53" s="138">
        <f>IF(V53&gt;0,COUNTIF($V$6:V53,"&gt;0"),"")</f>
        <v>48</v>
      </c>
      <c r="Y53" s="154" t="str">
        <f>C53&amp;"|"&amp;D53</f>
        <v>AR-00048|70000048</v>
      </c>
      <c r="Z53" s="138"/>
      <c r="AA53" s="154" t="inlineStr">
        <is>
          <t>["Demo Company 010", "AR-00048", "70000048", "2026-09-03"]</t>
        </is>
      </c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</row>
    <row r="54" spans="1:41">
      <c r="A54" s="138" t="inlineStr">
        <is>
          <t>Client Alpha (Steel EPC)</t>
        </is>
      </c>
      <c r="B54" s="138" t="inlineStr">
        <is>
          <t>CLIENT ALPHA STEEL STRUCTURE CORPORATION</t>
        </is>
      </c>
      <c r="C54" s="138" t="inlineStr">
        <is>
          <t>AR-00049</t>
        </is>
      </c>
      <c r="D54" s="138" t="inlineStr">
        <is>
          <t>70000049</t>
        </is>
      </c>
      <c r="E54" s="141">
        <v>46268.0</v>
      </c>
      <c r="F54" s="141">
        <v>46343.0</v>
      </c>
      <c r="G54" s="142">
        <v>37176092</v>
      </c>
      <c r="H54" s="142">
        <v>0</v>
      </c>
      <c r="I54" s="142">
        <v>37176092</v>
      </c>
      <c r="J54" s="138" t="inlineStr">
        <is>
          <t>Senior Sales Rep 1</t>
        </is>
      </c>
      <c r="K54" s="138" t="inlineStr">
        <is>
          <t>Trading</t>
        </is>
      </c>
      <c r="L54" s="138" t="inlineStr">
        <is>
          <t>Project 008</t>
        </is>
      </c>
      <c r="M54" s="138" t="inlineStr">
        <is>
          <t>Collection note 009</t>
        </is>
      </c>
      <c r="N54" s="143"/>
      <c r="O54" s="143"/>
      <c r="P54" s="144"/>
      <c r="Q54" s="138">
        <f>IF(ISNUMBER(F54),Dashboard!$D$2-F54,"")</f>
        <v>-43.0</v>
      </c>
      <c r="R54" s="138">
        <f>IF(AND(OR(Dashboard!$P$1="All",A54=Dashboard!$P$1),OR(Dashboard!$P$2="All",J54=Dashboard!$P$2)),1,0)</f>
        <v>1</v>
      </c>
      <c r="S54" s="138">
        <f>I54*R54</f>
        <v>37176092</v>
      </c>
      <c r="T54" s="138">
        <f>IF(AND(ISNUMBER(Q54),Q54&gt;0),S54,0)</f>
        <v>0</v>
      </c>
      <c r="U54" s="138">
        <f>IF(OR(Dashboard!$P$3="All",AND(Dashboard!$P$3="Not due",Q54&lt;0),AND(Dashboard!$P$3="Due in 10 days",Q54&gt;=-10,Q54&lt;=0),AND(Dashboard!$P$3="Due in 30 days",Q54&gt;=-30,Q54&lt;=0),AND(Dashboard!$P$3="Overdue 1–60 days",Q54&gt;0,Q54&lt;=60),AND(Dashboard!$P$3="Over 60 days",Q54&gt;60),AND(Dashboard!$P$3="All overdue",Q54&gt;0)),1,0)</f>
        <v>1</v>
      </c>
      <c r="V54" s="138">
        <f>S54*U54</f>
        <v>37176092</v>
      </c>
      <c r="W54" s="138">
        <f>IF(Q54&gt;0,T54*Q54,0)</f>
        <v>0</v>
      </c>
      <c r="X54" s="138">
        <f>IF(V54&gt;0,COUNTIF($V$6:V54,"&gt;0"),"")</f>
        <v>49</v>
      </c>
      <c r="Y54" s="154" t="str">
        <f>C54&amp;"|"&amp;D54</f>
        <v>AR-00049|70000049</v>
      </c>
      <c r="Z54" s="138"/>
      <c r="AA54" s="154" t="inlineStr">
        <is>
          <t>["Demo Company 010", "AR-00049", "70000049", "2026-09-03"]</t>
        </is>
      </c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</row>
    <row r="55" spans="1:41">
      <c r="A55" s="138" t="inlineStr">
        <is>
          <t>Client Alpha (Steel EPC)</t>
        </is>
      </c>
      <c r="B55" s="138" t="inlineStr">
        <is>
          <t>CLIENT ALPHA STEEL STRUCTURE CORPORATION</t>
        </is>
      </c>
      <c r="C55" s="138" t="inlineStr">
        <is>
          <t>AR-00050</t>
        </is>
      </c>
      <c r="D55" s="138" t="inlineStr">
        <is>
          <t>70000050</t>
        </is>
      </c>
      <c r="E55" s="141">
        <v>46268.0</v>
      </c>
      <c r="F55" s="141">
        <v>46343.0</v>
      </c>
      <c r="G55" s="142">
        <v>25890827</v>
      </c>
      <c r="H55" s="142">
        <v>0</v>
      </c>
      <c r="I55" s="142">
        <v>25890827</v>
      </c>
      <c r="J55" s="138" t="inlineStr">
        <is>
          <t>Senior Sales Rep 1</t>
        </is>
      </c>
      <c r="K55" s="138" t="inlineStr">
        <is>
          <t>Trading</t>
        </is>
      </c>
      <c r="L55" s="138" t="inlineStr">
        <is>
          <t>Project 002</t>
        </is>
      </c>
      <c r="M55" s="138" t="inlineStr">
        <is>
          <t>Collection note 009</t>
        </is>
      </c>
      <c r="N55" s="143"/>
      <c r="O55" s="143"/>
      <c r="P55" s="144"/>
      <c r="Q55" s="138">
        <f>IF(ISNUMBER(F55),Dashboard!$D$2-F55,"")</f>
        <v>-43.0</v>
      </c>
      <c r="R55" s="138">
        <f>IF(AND(OR(Dashboard!$P$1="All",A55=Dashboard!$P$1),OR(Dashboard!$P$2="All",J55=Dashboard!$P$2)),1,0)</f>
        <v>1</v>
      </c>
      <c r="S55" s="138">
        <f>I55*R55</f>
        <v>25890827</v>
      </c>
      <c r="T55" s="138">
        <f>IF(AND(ISNUMBER(Q55),Q55&gt;0),S55,0)</f>
        <v>0</v>
      </c>
      <c r="U55" s="138">
        <f>IF(OR(Dashboard!$P$3="All",AND(Dashboard!$P$3="Not due",Q55&lt;0),AND(Dashboard!$P$3="Due in 10 days",Q55&gt;=-10,Q55&lt;=0),AND(Dashboard!$P$3="Due in 30 days",Q55&gt;=-30,Q55&lt;=0),AND(Dashboard!$P$3="Overdue 1–60 days",Q55&gt;0,Q55&lt;=60),AND(Dashboard!$P$3="Over 60 days",Q55&gt;60),AND(Dashboard!$P$3="All overdue",Q55&gt;0)),1,0)</f>
        <v>1</v>
      </c>
      <c r="V55" s="138">
        <f>S55*U55</f>
        <v>25890827</v>
      </c>
      <c r="W55" s="138">
        <f>IF(Q55&gt;0,T55*Q55,0)</f>
        <v>0</v>
      </c>
      <c r="X55" s="138">
        <f>IF(V55&gt;0,COUNTIF($V$6:V55,"&gt;0"),"")</f>
        <v>50</v>
      </c>
      <c r="Y55" s="154" t="str">
        <f>C55&amp;"|"&amp;D55</f>
        <v>AR-00050|70000050</v>
      </c>
      <c r="Z55" s="138"/>
      <c r="AA55" s="154" t="inlineStr">
        <is>
          <t>["Demo Company 010", "AR-00050", "70000050", "2026-09-03"]</t>
        </is>
      </c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</row>
    <row r="56" spans="1:41">
      <c r="A56" s="138" t="inlineStr">
        <is>
          <t>Client Alpha (Steel EPC)</t>
        </is>
      </c>
      <c r="B56" s="138" t="inlineStr">
        <is>
          <t>CLIENT ALPHA STEEL STRUCTURE CORPORATION</t>
        </is>
      </c>
      <c r="C56" s="138" t="inlineStr">
        <is>
          <t>AR-00051</t>
        </is>
      </c>
      <c r="D56" s="138" t="inlineStr">
        <is>
          <t>70000051</t>
        </is>
      </c>
      <c r="E56" s="141">
        <v>46268.0</v>
      </c>
      <c r="F56" s="141">
        <v>46343.0</v>
      </c>
      <c r="G56" s="142">
        <v>426104518</v>
      </c>
      <c r="H56" s="142">
        <v>0</v>
      </c>
      <c r="I56" s="142">
        <v>426104518</v>
      </c>
      <c r="J56" s="138" t="inlineStr">
        <is>
          <t>Senior Sales Rep 1</t>
        </is>
      </c>
      <c r="K56" s="138" t="inlineStr">
        <is>
          <t>Trading</t>
        </is>
      </c>
      <c r="L56" s="138" t="inlineStr">
        <is>
          <t>Project 003</t>
        </is>
      </c>
      <c r="M56" s="138" t="inlineStr">
        <is>
          <t>Collection note 011</t>
        </is>
      </c>
      <c r="N56" s="143"/>
      <c r="O56" s="143"/>
      <c r="P56" s="144"/>
      <c r="Q56" s="138">
        <f>IF(ISNUMBER(F56),Dashboard!$D$2-F56,"")</f>
        <v>-43.0</v>
      </c>
      <c r="R56" s="138">
        <f>IF(AND(OR(Dashboard!$P$1="All",A56=Dashboard!$P$1),OR(Dashboard!$P$2="All",J56=Dashboard!$P$2)),1,0)</f>
        <v>1</v>
      </c>
      <c r="S56" s="138">
        <f>I56*R56</f>
        <v>426104518</v>
      </c>
      <c r="T56" s="138">
        <f>IF(AND(ISNUMBER(Q56),Q56&gt;0),S56,0)</f>
        <v>0</v>
      </c>
      <c r="U56" s="138">
        <f>IF(OR(Dashboard!$P$3="All",AND(Dashboard!$P$3="Not due",Q56&lt;0),AND(Dashboard!$P$3="Due in 10 days",Q56&gt;=-10,Q56&lt;=0),AND(Dashboard!$P$3="Due in 30 days",Q56&gt;=-30,Q56&lt;=0),AND(Dashboard!$P$3="Overdue 1–60 days",Q56&gt;0,Q56&lt;=60),AND(Dashboard!$P$3="Over 60 days",Q56&gt;60),AND(Dashboard!$P$3="All overdue",Q56&gt;0)),1,0)</f>
        <v>1</v>
      </c>
      <c r="V56" s="138">
        <f>S56*U56</f>
        <v>426104518</v>
      </c>
      <c r="W56" s="138">
        <f>IF(Q56&gt;0,T56*Q56,0)</f>
        <v>0</v>
      </c>
      <c r="X56" s="138">
        <f>IF(V56&gt;0,COUNTIF($V$6:V56,"&gt;0"),"")</f>
        <v>51</v>
      </c>
      <c r="Y56" s="154" t="str">
        <f>C56&amp;"|"&amp;D56</f>
        <v>AR-00051|70000051</v>
      </c>
      <c r="Z56" s="138"/>
      <c r="AA56" s="154" t="inlineStr">
        <is>
          <t>["Demo Company 010", "AR-00051", "70000051", "2026-09-03"]</t>
        </is>
      </c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</row>
    <row r="57" spans="1:41">
      <c r="A57" s="138" t="inlineStr">
        <is>
          <t>Client Alpha (Steel EPC)</t>
        </is>
      </c>
      <c r="B57" s="138" t="inlineStr">
        <is>
          <t>CLIENT ALPHA STEEL STRUCTURE CORPORATION</t>
        </is>
      </c>
      <c r="C57" s="138" t="inlineStr">
        <is>
          <t>AR-00052</t>
        </is>
      </c>
      <c r="D57" s="138" t="inlineStr">
        <is>
          <t>70000052</t>
        </is>
      </c>
      <c r="E57" s="141">
        <v>46268.0</v>
      </c>
      <c r="F57" s="141">
        <v>46343.0</v>
      </c>
      <c r="G57" s="142">
        <v>109600817</v>
      </c>
      <c r="H57" s="142">
        <v>0</v>
      </c>
      <c r="I57" s="142">
        <v>109600817</v>
      </c>
      <c r="J57" s="138" t="inlineStr">
        <is>
          <t>Senior Sales Rep 1</t>
        </is>
      </c>
      <c r="K57" s="138" t="inlineStr">
        <is>
          <t>Trading</t>
        </is>
      </c>
      <c r="L57" s="138" t="inlineStr">
        <is>
          <t>Project 004</t>
        </is>
      </c>
      <c r="M57" s="138" t="inlineStr">
        <is>
          <t>Collection note 011</t>
        </is>
      </c>
      <c r="N57" s="143"/>
      <c r="O57" s="143"/>
      <c r="P57" s="144"/>
      <c r="Q57" s="138">
        <f>IF(ISNUMBER(F57),Dashboard!$D$2-F57,"")</f>
        <v>-43.0</v>
      </c>
      <c r="R57" s="138">
        <f>IF(AND(OR(Dashboard!$P$1="All",A57=Dashboard!$P$1),OR(Dashboard!$P$2="All",J57=Dashboard!$P$2)),1,0)</f>
        <v>1</v>
      </c>
      <c r="S57" s="138">
        <f>I57*R57</f>
        <v>109600817</v>
      </c>
      <c r="T57" s="138">
        <f>IF(AND(ISNUMBER(Q57),Q57&gt;0),S57,0)</f>
        <v>0</v>
      </c>
      <c r="U57" s="138">
        <f>IF(OR(Dashboard!$P$3="All",AND(Dashboard!$P$3="Not due",Q57&lt;0),AND(Dashboard!$P$3="Due in 10 days",Q57&gt;=-10,Q57&lt;=0),AND(Dashboard!$P$3="Due in 30 days",Q57&gt;=-30,Q57&lt;=0),AND(Dashboard!$P$3="Overdue 1–60 days",Q57&gt;0,Q57&lt;=60),AND(Dashboard!$P$3="Over 60 days",Q57&gt;60),AND(Dashboard!$P$3="All overdue",Q57&gt;0)),1,0)</f>
        <v>1</v>
      </c>
      <c r="V57" s="138">
        <f>S57*U57</f>
        <v>109600817</v>
      </c>
      <c r="W57" s="138">
        <f>IF(Q57&gt;0,T57*Q57,0)</f>
        <v>0</v>
      </c>
      <c r="X57" s="138">
        <f>IF(V57&gt;0,COUNTIF($V$6:V57,"&gt;0"),"")</f>
        <v>52</v>
      </c>
      <c r="Y57" s="154" t="str">
        <f>C57&amp;"|"&amp;D57</f>
        <v>AR-00052|70000052</v>
      </c>
      <c r="Z57" s="138"/>
      <c r="AA57" s="154" t="inlineStr">
        <is>
          <t>["Demo Company 010", "AR-00052", "70000052", "2026-09-03"]</t>
        </is>
      </c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</row>
    <row r="58" spans="1:41">
      <c r="A58" s="138" t="inlineStr">
        <is>
          <t>Client Alpha (Steel EPC)</t>
        </is>
      </c>
      <c r="B58" s="138" t="inlineStr">
        <is>
          <t>CLIENT ALPHA STEEL STRUCTURE CORPORATION</t>
        </is>
      </c>
      <c r="C58" s="138" t="inlineStr">
        <is>
          <t>AR-00053</t>
        </is>
      </c>
      <c r="D58" s="138" t="inlineStr">
        <is>
          <t>70000053</t>
        </is>
      </c>
      <c r="E58" s="141">
        <v>46268.0</v>
      </c>
      <c r="F58" s="141">
        <v>46343.0</v>
      </c>
      <c r="G58" s="142">
        <v>202485730</v>
      </c>
      <c r="H58" s="142">
        <v>0</v>
      </c>
      <c r="I58" s="142">
        <v>202485730</v>
      </c>
      <c r="J58" s="138" t="inlineStr">
        <is>
          <t>Senior Sales Rep 1</t>
        </is>
      </c>
      <c r="K58" s="138" t="inlineStr">
        <is>
          <t>Trading</t>
        </is>
      </c>
      <c r="L58" s="138" t="inlineStr">
        <is>
          <t>Project 005</t>
        </is>
      </c>
      <c r="M58" s="138" t="inlineStr">
        <is>
          <t>Collection note 011</t>
        </is>
      </c>
      <c r="N58" s="143"/>
      <c r="O58" s="143"/>
      <c r="P58" s="144"/>
      <c r="Q58" s="138">
        <f>IF(ISNUMBER(F58),Dashboard!$D$2-F58,"")</f>
        <v>-43.0</v>
      </c>
      <c r="R58" s="138">
        <f>IF(AND(OR(Dashboard!$P$1="All",A58=Dashboard!$P$1),OR(Dashboard!$P$2="All",J58=Dashboard!$P$2)),1,0)</f>
        <v>1</v>
      </c>
      <c r="S58" s="138">
        <f>I58*R58</f>
        <v>202485730</v>
      </c>
      <c r="T58" s="138">
        <f>IF(AND(ISNUMBER(Q58),Q58&gt;0),S58,0)</f>
        <v>0</v>
      </c>
      <c r="U58" s="138">
        <f>IF(OR(Dashboard!$P$3="All",AND(Dashboard!$P$3="Not due",Q58&lt;0),AND(Dashboard!$P$3="Due in 10 days",Q58&gt;=-10,Q58&lt;=0),AND(Dashboard!$P$3="Due in 30 days",Q58&gt;=-30,Q58&lt;=0),AND(Dashboard!$P$3="Overdue 1–60 days",Q58&gt;0,Q58&lt;=60),AND(Dashboard!$P$3="Over 60 days",Q58&gt;60),AND(Dashboard!$P$3="All overdue",Q58&gt;0)),1,0)</f>
        <v>1</v>
      </c>
      <c r="V58" s="138">
        <f>S58*U58</f>
        <v>202485730</v>
      </c>
      <c r="W58" s="138">
        <f>IF(Q58&gt;0,T58*Q58,0)</f>
        <v>0</v>
      </c>
      <c r="X58" s="138">
        <f>IF(V58&gt;0,COUNTIF($V$6:V58,"&gt;0"),"")</f>
        <v>53</v>
      </c>
      <c r="Y58" s="154" t="str">
        <f>C58&amp;"|"&amp;D58</f>
        <v>AR-00053|70000053</v>
      </c>
      <c r="Z58" s="138"/>
      <c r="AA58" s="154" t="inlineStr">
        <is>
          <t>["Demo Company 010", "AR-00053", "70000053", "2026-09-03"]</t>
        </is>
      </c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</row>
    <row r="59" spans="1:41">
      <c r="A59" s="138" t="inlineStr">
        <is>
          <t>Client Alpha (Steel EPC)</t>
        </is>
      </c>
      <c r="B59" s="138" t="inlineStr">
        <is>
          <t>CLIENT ALPHA STEEL STRUCTURE CORPORATION</t>
        </is>
      </c>
      <c r="C59" s="138" t="inlineStr">
        <is>
          <t>AR-00054</t>
        </is>
      </c>
      <c r="D59" s="138" t="inlineStr">
        <is>
          <t>70000054</t>
        </is>
      </c>
      <c r="E59" s="141">
        <v>46268.0</v>
      </c>
      <c r="F59" s="141">
        <v>46343.0</v>
      </c>
      <c r="G59" s="142">
        <v>569174844</v>
      </c>
      <c r="H59" s="142">
        <v>0</v>
      </c>
      <c r="I59" s="142">
        <v>569174844</v>
      </c>
      <c r="J59" s="138" t="inlineStr">
        <is>
          <t>Senior Sales Rep 1</t>
        </is>
      </c>
      <c r="K59" s="138" t="inlineStr">
        <is>
          <t>Trading</t>
        </is>
      </c>
      <c r="L59" s="138" t="inlineStr">
        <is>
          <t>Project 006</t>
        </is>
      </c>
      <c r="M59" s="138" t="inlineStr">
        <is>
          <t>Collection note 011</t>
        </is>
      </c>
      <c r="N59" s="143"/>
      <c r="O59" s="143"/>
      <c r="P59" s="144"/>
      <c r="Q59" s="138">
        <f>IF(ISNUMBER(F59),Dashboard!$D$2-F59,"")</f>
        <v>-43.0</v>
      </c>
      <c r="R59" s="138">
        <f>IF(AND(OR(Dashboard!$P$1="All",A59=Dashboard!$P$1),OR(Dashboard!$P$2="All",J59=Dashboard!$P$2)),1,0)</f>
        <v>1</v>
      </c>
      <c r="S59" s="138">
        <f>I59*R59</f>
        <v>569174844</v>
      </c>
      <c r="T59" s="138">
        <f>IF(AND(ISNUMBER(Q59),Q59&gt;0),S59,0)</f>
        <v>0</v>
      </c>
      <c r="U59" s="138">
        <f>IF(OR(Dashboard!$P$3="All",AND(Dashboard!$P$3="Not due",Q59&lt;0),AND(Dashboard!$P$3="Due in 10 days",Q59&gt;=-10,Q59&lt;=0),AND(Dashboard!$P$3="Due in 30 days",Q59&gt;=-30,Q59&lt;=0),AND(Dashboard!$P$3="Overdue 1–60 days",Q59&gt;0,Q59&lt;=60),AND(Dashboard!$P$3="Over 60 days",Q59&gt;60),AND(Dashboard!$P$3="All overdue",Q59&gt;0)),1,0)</f>
        <v>1</v>
      </c>
      <c r="V59" s="138">
        <f>S59*U59</f>
        <v>569174844</v>
      </c>
      <c r="W59" s="138">
        <f>IF(Q59&gt;0,T59*Q59,0)</f>
        <v>0</v>
      </c>
      <c r="X59" s="138">
        <f>IF(V59&gt;0,COUNTIF($V$6:V59,"&gt;0"),"")</f>
        <v>54</v>
      </c>
      <c r="Y59" s="154" t="str">
        <f>C59&amp;"|"&amp;D59</f>
        <v>AR-00054|70000054</v>
      </c>
      <c r="Z59" s="138"/>
      <c r="AA59" s="154" t="inlineStr">
        <is>
          <t>["Demo Company 010", "AR-00054", "70000054", "2026-09-03"]</t>
        </is>
      </c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</row>
    <row r="60" spans="1:41">
      <c r="A60" s="138" t="inlineStr">
        <is>
          <t>Client Alpha (Steel EPC)</t>
        </is>
      </c>
      <c r="B60" s="138" t="inlineStr">
        <is>
          <t>CLIENT ALPHA STEEL STRUCTURE CORPORATION</t>
        </is>
      </c>
      <c r="C60" s="138" t="inlineStr">
        <is>
          <t>AR-00055</t>
        </is>
      </c>
      <c r="D60" s="138" t="inlineStr">
        <is>
          <t>70000055</t>
        </is>
      </c>
      <c r="E60" s="141">
        <v>46268.0</v>
      </c>
      <c r="F60" s="141">
        <v>46343.0</v>
      </c>
      <c r="G60" s="142">
        <v>161878365</v>
      </c>
      <c r="H60" s="142">
        <v>0</v>
      </c>
      <c r="I60" s="142">
        <v>161878365</v>
      </c>
      <c r="J60" s="138" t="inlineStr">
        <is>
          <t>Senior Sales Rep 1</t>
        </is>
      </c>
      <c r="K60" s="138" t="inlineStr">
        <is>
          <t>Trading</t>
        </is>
      </c>
      <c r="L60" s="138" t="inlineStr">
        <is>
          <t>Project 007</t>
        </is>
      </c>
      <c r="M60" s="138" t="inlineStr">
        <is>
          <t>Collection note 011</t>
        </is>
      </c>
      <c r="N60" s="143"/>
      <c r="O60" s="143"/>
      <c r="P60" s="144"/>
      <c r="Q60" s="138">
        <f>IF(ISNUMBER(F60),Dashboard!$D$2-F60,"")</f>
        <v>-43.0</v>
      </c>
      <c r="R60" s="138">
        <f>IF(AND(OR(Dashboard!$P$1="All",A60=Dashboard!$P$1),OR(Dashboard!$P$2="All",J60=Dashboard!$P$2)),1,0)</f>
        <v>1</v>
      </c>
      <c r="S60" s="138">
        <f>I60*R60</f>
        <v>161878365</v>
      </c>
      <c r="T60" s="138">
        <f>IF(AND(ISNUMBER(Q60),Q60&gt;0),S60,0)</f>
        <v>0</v>
      </c>
      <c r="U60" s="138">
        <f>IF(OR(Dashboard!$P$3="All",AND(Dashboard!$P$3="Not due",Q60&lt;0),AND(Dashboard!$P$3="Due in 10 days",Q60&gt;=-10,Q60&lt;=0),AND(Dashboard!$P$3="Due in 30 days",Q60&gt;=-30,Q60&lt;=0),AND(Dashboard!$P$3="Overdue 1–60 days",Q60&gt;0,Q60&lt;=60),AND(Dashboard!$P$3="Over 60 days",Q60&gt;60),AND(Dashboard!$P$3="All overdue",Q60&gt;0)),1,0)</f>
        <v>1</v>
      </c>
      <c r="V60" s="138">
        <f>S60*U60</f>
        <v>161878365</v>
      </c>
      <c r="W60" s="138">
        <f>IF(Q60&gt;0,T60*Q60,0)</f>
        <v>0</v>
      </c>
      <c r="X60" s="138">
        <f>IF(V60&gt;0,COUNTIF($V$6:V60,"&gt;0"),"")</f>
        <v>55</v>
      </c>
      <c r="Y60" s="154" t="str">
        <f>C60&amp;"|"&amp;D60</f>
        <v>AR-00055|70000055</v>
      </c>
      <c r="Z60" s="138"/>
      <c r="AA60" s="154" t="inlineStr">
        <is>
          <t>["Demo Company 010", "AR-00055", "70000055", "2026-09-03"]</t>
        </is>
      </c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</row>
    <row r="61" spans="1:41">
      <c r="A61" s="138" t="inlineStr">
        <is>
          <t>Client Alpha (Steel EPC)</t>
        </is>
      </c>
      <c r="B61" s="138" t="inlineStr">
        <is>
          <t>CLIENT ALPHA STEEL STRUCTURE CORPORATION</t>
        </is>
      </c>
      <c r="C61" s="138" t="inlineStr">
        <is>
          <t>AR-00056</t>
        </is>
      </c>
      <c r="D61" s="138" t="inlineStr">
        <is>
          <t>70000056</t>
        </is>
      </c>
      <c r="E61" s="141">
        <v>46268.0</v>
      </c>
      <c r="F61" s="141">
        <v>46343.0</v>
      </c>
      <c r="G61" s="142">
        <v>568476254</v>
      </c>
      <c r="H61" s="142">
        <v>0</v>
      </c>
      <c r="I61" s="142">
        <v>568476254</v>
      </c>
      <c r="J61" s="138" t="inlineStr">
        <is>
          <t>Senior Sales Rep 1</t>
        </is>
      </c>
      <c r="K61" s="138" t="inlineStr">
        <is>
          <t>Trading</t>
        </is>
      </c>
      <c r="L61" s="138" t="inlineStr">
        <is>
          <t>Project 008</t>
        </is>
      </c>
      <c r="M61" s="138" t="inlineStr">
        <is>
          <t>Collection note 011</t>
        </is>
      </c>
      <c r="N61" s="143"/>
      <c r="O61" s="143"/>
      <c r="P61" s="144"/>
      <c r="Q61" s="138">
        <f>IF(ISNUMBER(F61),Dashboard!$D$2-F61,"")</f>
        <v>-43.0</v>
      </c>
      <c r="R61" s="138">
        <f>IF(AND(OR(Dashboard!$P$1="All",A61=Dashboard!$P$1),OR(Dashboard!$P$2="All",J61=Dashboard!$P$2)),1,0)</f>
        <v>1</v>
      </c>
      <c r="S61" s="138">
        <f>I61*R61</f>
        <v>568476254</v>
      </c>
      <c r="T61" s="138">
        <f>IF(AND(ISNUMBER(Q61),Q61&gt;0),S61,0)</f>
        <v>0</v>
      </c>
      <c r="U61" s="138">
        <f>IF(OR(Dashboard!$P$3="All",AND(Dashboard!$P$3="Not due",Q61&lt;0),AND(Dashboard!$P$3="Due in 10 days",Q61&gt;=-10,Q61&lt;=0),AND(Dashboard!$P$3="Due in 30 days",Q61&gt;=-30,Q61&lt;=0),AND(Dashboard!$P$3="Overdue 1–60 days",Q61&gt;0,Q61&lt;=60),AND(Dashboard!$P$3="Over 60 days",Q61&gt;60),AND(Dashboard!$P$3="All overdue",Q61&gt;0)),1,0)</f>
        <v>1</v>
      </c>
      <c r="V61" s="138">
        <f>S61*U61</f>
        <v>568476254</v>
      </c>
      <c r="W61" s="138">
        <f>IF(Q61&gt;0,T61*Q61,0)</f>
        <v>0</v>
      </c>
      <c r="X61" s="138">
        <f>IF(V61&gt;0,COUNTIF($V$6:V61,"&gt;0"),"")</f>
        <v>56</v>
      </c>
      <c r="Y61" s="154" t="str">
        <f>C61&amp;"|"&amp;D61</f>
        <v>AR-00056|70000056</v>
      </c>
      <c r="Z61" s="138"/>
      <c r="AA61" s="154" t="inlineStr">
        <is>
          <t>["Demo Company 010", "AR-00056", "70000056", "2026-09-03"]</t>
        </is>
      </c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</row>
    <row r="62" spans="1:41">
      <c r="A62" s="138" t="inlineStr">
        <is>
          <t>Client Alpha (Steel EPC)</t>
        </is>
      </c>
      <c r="B62" s="138" t="inlineStr">
        <is>
          <t>CLIENT ALPHA STEEL STRUCTURE CORPORATION</t>
        </is>
      </c>
      <c r="C62" s="138" t="inlineStr">
        <is>
          <t>AR-00057</t>
        </is>
      </c>
      <c r="D62" s="138" t="inlineStr">
        <is>
          <t>70000057</t>
        </is>
      </c>
      <c r="E62" s="141">
        <v>46272.0</v>
      </c>
      <c r="F62" s="141">
        <v>46347.0</v>
      </c>
      <c r="G62" s="142">
        <v>52811061</v>
      </c>
      <c r="H62" s="142">
        <v>0</v>
      </c>
      <c r="I62" s="142">
        <v>52811061</v>
      </c>
      <c r="J62" s="138" t="inlineStr">
        <is>
          <t>Senior Sales Rep 1</t>
        </is>
      </c>
      <c r="K62" s="138" t="inlineStr">
        <is>
          <t>Trading</t>
        </is>
      </c>
      <c r="L62" s="138" t="inlineStr">
        <is>
          <t>Project 002</t>
        </is>
      </c>
      <c r="M62" s="138" t="inlineStr">
        <is>
          <t>Collection note 009</t>
        </is>
      </c>
      <c r="N62" s="143"/>
      <c r="O62" s="143"/>
      <c r="P62" s="144"/>
      <c r="Q62" s="138">
        <f>IF(ISNUMBER(F62),Dashboard!$D$2-F62,"")</f>
        <v>-47.0</v>
      </c>
      <c r="R62" s="138">
        <f>IF(AND(OR(Dashboard!$P$1="All",A62=Dashboard!$P$1),OR(Dashboard!$P$2="All",J62=Dashboard!$P$2)),1,0)</f>
        <v>1</v>
      </c>
      <c r="S62" s="138">
        <f>I62*R62</f>
        <v>52811061</v>
      </c>
      <c r="T62" s="138">
        <f>IF(AND(ISNUMBER(Q62),Q62&gt;0),S62,0)</f>
        <v>0</v>
      </c>
      <c r="U62" s="138">
        <f>IF(OR(Dashboard!$P$3="All",AND(Dashboard!$P$3="Not due",Q62&lt;0),AND(Dashboard!$P$3="Due in 10 days",Q62&gt;=-10,Q62&lt;=0),AND(Dashboard!$P$3="Due in 30 days",Q62&gt;=-30,Q62&lt;=0),AND(Dashboard!$P$3="Overdue 1–60 days",Q62&gt;0,Q62&lt;=60),AND(Dashboard!$P$3="Over 60 days",Q62&gt;60),AND(Dashboard!$P$3="All overdue",Q62&gt;0)),1,0)</f>
        <v>1</v>
      </c>
      <c r="V62" s="138">
        <f>S62*U62</f>
        <v>52811061</v>
      </c>
      <c r="W62" s="138">
        <f>IF(Q62&gt;0,T62*Q62,0)</f>
        <v>0</v>
      </c>
      <c r="X62" s="138">
        <f>IF(V62&gt;0,COUNTIF($V$6:V62,"&gt;0"),"")</f>
        <v>57</v>
      </c>
      <c r="Y62" s="154" t="str">
        <f>C62&amp;"|"&amp;D62</f>
        <v>AR-00057|70000057</v>
      </c>
      <c r="Z62" s="138"/>
      <c r="AA62" s="154" t="inlineStr">
        <is>
          <t>["Demo Company 010", "AR-00057", "70000057", "2026-09-07"]</t>
        </is>
      </c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</row>
    <row r="63" spans="1:41">
      <c r="A63" s="138" t="inlineStr">
        <is>
          <t>Client Alpha (Steel EPC)</t>
        </is>
      </c>
      <c r="B63" s="138" t="inlineStr">
        <is>
          <t>CLIENT ALPHA STEEL STRUCTURE CORPORATION</t>
        </is>
      </c>
      <c r="C63" s="138" t="inlineStr">
        <is>
          <t>AR-00058</t>
        </is>
      </c>
      <c r="D63" s="138" t="inlineStr">
        <is>
          <t>70000058</t>
        </is>
      </c>
      <c r="E63" s="141">
        <v>46272.0</v>
      </c>
      <c r="F63" s="141">
        <v>46347.0</v>
      </c>
      <c r="G63" s="142">
        <v>35970608</v>
      </c>
      <c r="H63" s="142">
        <v>0</v>
      </c>
      <c r="I63" s="142">
        <v>35970608</v>
      </c>
      <c r="J63" s="138" t="inlineStr">
        <is>
          <t>Senior Sales Rep 1</t>
        </is>
      </c>
      <c r="K63" s="138" t="inlineStr">
        <is>
          <t>Trading</t>
        </is>
      </c>
      <c r="L63" s="138" t="inlineStr">
        <is>
          <t>Project 003</t>
        </is>
      </c>
      <c r="M63" s="138" t="inlineStr">
        <is>
          <t>Collection note 009</t>
        </is>
      </c>
      <c r="N63" s="143"/>
      <c r="O63" s="143"/>
      <c r="P63" s="144"/>
      <c r="Q63" s="138">
        <f>IF(ISNUMBER(F63),Dashboard!$D$2-F63,"")</f>
        <v>-47.0</v>
      </c>
      <c r="R63" s="138">
        <f>IF(AND(OR(Dashboard!$P$1="All",A63=Dashboard!$P$1),OR(Dashboard!$P$2="All",J63=Dashboard!$P$2)),1,0)</f>
        <v>1</v>
      </c>
      <c r="S63" s="138">
        <f>I63*R63</f>
        <v>35970608</v>
      </c>
      <c r="T63" s="138">
        <f>IF(AND(ISNUMBER(Q63),Q63&gt;0),S63,0)</f>
        <v>0</v>
      </c>
      <c r="U63" s="138">
        <f>IF(OR(Dashboard!$P$3="All",AND(Dashboard!$P$3="Not due",Q63&lt;0),AND(Dashboard!$P$3="Due in 10 days",Q63&gt;=-10,Q63&lt;=0),AND(Dashboard!$P$3="Due in 30 days",Q63&gt;=-30,Q63&lt;=0),AND(Dashboard!$P$3="Overdue 1–60 days",Q63&gt;0,Q63&lt;=60),AND(Dashboard!$P$3="Over 60 days",Q63&gt;60),AND(Dashboard!$P$3="All overdue",Q63&gt;0)),1,0)</f>
        <v>1</v>
      </c>
      <c r="V63" s="138">
        <f>S63*U63</f>
        <v>35970608</v>
      </c>
      <c r="W63" s="138">
        <f>IF(Q63&gt;0,T63*Q63,0)</f>
        <v>0</v>
      </c>
      <c r="X63" s="138">
        <f>IF(V63&gt;0,COUNTIF($V$6:V63,"&gt;0"),"")</f>
        <v>58</v>
      </c>
      <c r="Y63" s="154" t="str">
        <f>C63&amp;"|"&amp;D63</f>
        <v>AR-00058|70000058</v>
      </c>
      <c r="Z63" s="138"/>
      <c r="AA63" s="154" t="inlineStr">
        <is>
          <t>["Demo Company 010", "AR-00058", "70000058", "2026-09-07"]</t>
        </is>
      </c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</row>
    <row r="64" spans="1:41">
      <c r="A64" s="138" t="inlineStr">
        <is>
          <t>Client Alpha (Steel EPC)</t>
        </is>
      </c>
      <c r="B64" s="138" t="inlineStr">
        <is>
          <t>CLIENT ALPHA STEEL STRUCTURE CORPORATION</t>
        </is>
      </c>
      <c r="C64" s="138" t="inlineStr">
        <is>
          <t>AR-00059</t>
        </is>
      </c>
      <c r="D64" s="138" t="inlineStr">
        <is>
          <t>70000059</t>
        </is>
      </c>
      <c r="E64" s="141">
        <v>46272.0</v>
      </c>
      <c r="F64" s="141">
        <v>46347.0</v>
      </c>
      <c r="G64" s="142">
        <v>35970608</v>
      </c>
      <c r="H64" s="142">
        <v>0</v>
      </c>
      <c r="I64" s="142">
        <v>35970608</v>
      </c>
      <c r="J64" s="138" t="inlineStr">
        <is>
          <t>Senior Sales Rep 1</t>
        </is>
      </c>
      <c r="K64" s="138" t="inlineStr">
        <is>
          <t>Trading</t>
        </is>
      </c>
      <c r="L64" s="138" t="inlineStr">
        <is>
          <t>Project 004</t>
        </is>
      </c>
      <c r="M64" s="138" t="inlineStr">
        <is>
          <t>Collection note 009</t>
        </is>
      </c>
      <c r="N64" s="143"/>
      <c r="O64" s="143"/>
      <c r="P64" s="144"/>
      <c r="Q64" s="138">
        <f>IF(ISNUMBER(F64),Dashboard!$D$2-F64,"")</f>
        <v>-47.0</v>
      </c>
      <c r="R64" s="138">
        <f>IF(AND(OR(Dashboard!$P$1="All",A64=Dashboard!$P$1),OR(Dashboard!$P$2="All",J64=Dashboard!$P$2)),1,0)</f>
        <v>1</v>
      </c>
      <c r="S64" s="138">
        <f>I64*R64</f>
        <v>35970608</v>
      </c>
      <c r="T64" s="138">
        <f>IF(AND(ISNUMBER(Q64),Q64&gt;0),S64,0)</f>
        <v>0</v>
      </c>
      <c r="U64" s="138">
        <f>IF(OR(Dashboard!$P$3="All",AND(Dashboard!$P$3="Not due",Q64&lt;0),AND(Dashboard!$P$3="Due in 10 days",Q64&gt;=-10,Q64&lt;=0),AND(Dashboard!$P$3="Due in 30 days",Q64&gt;=-30,Q64&lt;=0),AND(Dashboard!$P$3="Overdue 1–60 days",Q64&gt;0,Q64&lt;=60),AND(Dashboard!$P$3="Over 60 days",Q64&gt;60),AND(Dashboard!$P$3="All overdue",Q64&gt;0)),1,0)</f>
        <v>1</v>
      </c>
      <c r="V64" s="138">
        <f>S64*U64</f>
        <v>35970608</v>
      </c>
      <c r="W64" s="138">
        <f>IF(Q64&gt;0,T64*Q64,0)</f>
        <v>0</v>
      </c>
      <c r="X64" s="138">
        <f>IF(V64&gt;0,COUNTIF($V$6:V64,"&gt;0"),"")</f>
        <v>59</v>
      </c>
      <c r="Y64" s="154" t="str">
        <f>C64&amp;"|"&amp;D64</f>
        <v>AR-00059|70000059</v>
      </c>
      <c r="Z64" s="138"/>
      <c r="AA64" s="154" t="inlineStr">
        <is>
          <t>["Demo Company 010", "AR-00059", "70000059", "2026-09-07"]</t>
        </is>
      </c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</row>
    <row r="65" spans="1:41">
      <c r="A65" s="138" t="inlineStr">
        <is>
          <t>Client Alpha (Steel EPC)</t>
        </is>
      </c>
      <c r="B65" s="138" t="inlineStr">
        <is>
          <t>CLIENT ALPHA STEEL STRUCTURE CORPORATION</t>
        </is>
      </c>
      <c r="C65" s="138" t="inlineStr">
        <is>
          <t>AR-00060</t>
        </is>
      </c>
      <c r="D65" s="138" t="inlineStr">
        <is>
          <t>70000060</t>
        </is>
      </c>
      <c r="E65" s="141">
        <v>46276.0</v>
      </c>
      <c r="F65" s="141">
        <v>46351.0</v>
      </c>
      <c r="G65" s="142">
        <v>2249007574</v>
      </c>
      <c r="H65" s="142">
        <v>0</v>
      </c>
      <c r="I65" s="142">
        <v>2249007574</v>
      </c>
      <c r="J65" s="138" t="inlineStr">
        <is>
          <t>Senior Sales Rep 2</t>
        </is>
      </c>
      <c r="K65" s="138" t="inlineStr">
        <is>
          <t>Trading</t>
        </is>
      </c>
      <c r="L65" s="138" t="inlineStr">
        <is>
          <t>Project 005</t>
        </is>
      </c>
      <c r="M65" s="138" t="inlineStr">
        <is>
          <t>Collection note 012</t>
        </is>
      </c>
      <c r="N65" s="143"/>
      <c r="O65" s="143"/>
      <c r="P65" s="144"/>
      <c r="Q65" s="138">
        <f>IF(ISNUMBER(F65),Dashboard!$D$2-F65,"")</f>
        <v>-51.0</v>
      </c>
      <c r="R65" s="138">
        <f>IF(AND(OR(Dashboard!$P$1="All",A65=Dashboard!$P$1),OR(Dashboard!$P$2="All",J65=Dashboard!$P$2)),1,0)</f>
        <v>1</v>
      </c>
      <c r="S65" s="138">
        <f>I65*R65</f>
        <v>2249007574</v>
      </c>
      <c r="T65" s="138">
        <f>IF(AND(ISNUMBER(Q65),Q65&gt;0),S65,0)</f>
        <v>0</v>
      </c>
      <c r="U65" s="138">
        <f>IF(OR(Dashboard!$P$3="All",AND(Dashboard!$P$3="Not due",Q65&lt;0),AND(Dashboard!$P$3="Due in 10 days",Q65&gt;=-10,Q65&lt;=0),AND(Dashboard!$P$3="Due in 30 days",Q65&gt;=-30,Q65&lt;=0),AND(Dashboard!$P$3="Overdue 1–60 days",Q65&gt;0,Q65&lt;=60),AND(Dashboard!$P$3="Over 60 days",Q65&gt;60),AND(Dashboard!$P$3="All overdue",Q65&gt;0)),1,0)</f>
        <v>1</v>
      </c>
      <c r="V65" s="138">
        <f>S65*U65</f>
        <v>2249007574</v>
      </c>
      <c r="W65" s="138">
        <f>IF(Q65&gt;0,T65*Q65,0)</f>
        <v>0</v>
      </c>
      <c r="X65" s="138">
        <f>IF(V65&gt;0,COUNTIF($V$6:V65,"&gt;0"),"")</f>
        <v>60</v>
      </c>
      <c r="Y65" s="154" t="str">
        <f>C65&amp;"|"&amp;D65</f>
        <v>AR-00060|70000060</v>
      </c>
      <c r="Z65" s="138"/>
      <c r="AA65" s="154" t="inlineStr">
        <is>
          <t>["Demo Company 010", "AR-00060", "70000060", "2026-09-11"]</t>
        </is>
      </c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</row>
    <row r="66" spans="1:41">
      <c r="A66" s="138" t="inlineStr">
        <is>
          <t>Client Alpha (Steel EPC)</t>
        </is>
      </c>
      <c r="B66" s="138" t="inlineStr">
        <is>
          <t>CLIENT ALPHA STEEL STRUCTURE CORPORATION</t>
        </is>
      </c>
      <c r="C66" s="138" t="inlineStr">
        <is>
          <t>AR-00061</t>
        </is>
      </c>
      <c r="D66" s="138" t="inlineStr">
        <is>
          <t>70000061</t>
        </is>
      </c>
      <c r="E66" s="141">
        <v>46282.0</v>
      </c>
      <c r="F66" s="141">
        <v>46357.0</v>
      </c>
      <c r="G66" s="142">
        <v>24751560</v>
      </c>
      <c r="H66" s="142">
        <v>0</v>
      </c>
      <c r="I66" s="142">
        <v>24751560</v>
      </c>
      <c r="J66" s="138" t="inlineStr">
        <is>
          <t>Senior Sales Rep 2</t>
        </is>
      </c>
      <c r="K66" s="138" t="inlineStr">
        <is>
          <t>Trading</t>
        </is>
      </c>
      <c r="L66" s="138" t="inlineStr">
        <is>
          <t>Project 006</t>
        </is>
      </c>
      <c r="M66" s="138" t="inlineStr">
        <is>
          <t>Collection note 013</t>
        </is>
      </c>
      <c r="N66" s="143"/>
      <c r="O66" s="143"/>
      <c r="P66" s="144"/>
      <c r="Q66" s="138">
        <f>IF(ISNUMBER(F66),Dashboard!$D$2-F66,"")</f>
        <v>-57.0</v>
      </c>
      <c r="R66" s="138">
        <f>IF(AND(OR(Dashboard!$P$1="All",A66=Dashboard!$P$1),OR(Dashboard!$P$2="All",J66=Dashboard!$P$2)),1,0)</f>
        <v>1</v>
      </c>
      <c r="S66" s="138">
        <f>I66*R66</f>
        <v>24751560</v>
      </c>
      <c r="T66" s="138">
        <f>IF(AND(ISNUMBER(Q66),Q66&gt;0),S66,0)</f>
        <v>0</v>
      </c>
      <c r="U66" s="138">
        <f>IF(OR(Dashboard!$P$3="All",AND(Dashboard!$P$3="Not due",Q66&lt;0),AND(Dashboard!$P$3="Due in 10 days",Q66&gt;=-10,Q66&lt;=0),AND(Dashboard!$P$3="Due in 30 days",Q66&gt;=-30,Q66&lt;=0),AND(Dashboard!$P$3="Overdue 1–60 days",Q66&gt;0,Q66&lt;=60),AND(Dashboard!$P$3="Over 60 days",Q66&gt;60),AND(Dashboard!$P$3="All overdue",Q66&gt;0)),1,0)</f>
        <v>1</v>
      </c>
      <c r="V66" s="138">
        <f>S66*U66</f>
        <v>24751560</v>
      </c>
      <c r="W66" s="138">
        <f>IF(Q66&gt;0,T66*Q66,0)</f>
        <v>0</v>
      </c>
      <c r="X66" s="138">
        <f>IF(V66&gt;0,COUNTIF($V$6:V66,"&gt;0"),"")</f>
        <v>61</v>
      </c>
      <c r="Y66" s="154" t="str">
        <f>C66&amp;"|"&amp;D66</f>
        <v>AR-00061|70000061</v>
      </c>
      <c r="Z66" s="138"/>
      <c r="AA66" s="154" t="inlineStr">
        <is>
          <t>["Demo Company 010", "AR-00061", "70000061", "2026-09-17"]</t>
        </is>
      </c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</row>
    <row r="67" spans="1:41">
      <c r="A67" s="138" t="inlineStr">
        <is>
          <t>Client Alpha (Steel EPC)</t>
        </is>
      </c>
      <c r="B67" s="138" t="inlineStr">
        <is>
          <t>CLIENT ALPHA STEEL STRUCTURE CORPORATION</t>
        </is>
      </c>
      <c r="C67" s="138" t="inlineStr">
        <is>
          <t>AR-00062</t>
        </is>
      </c>
      <c r="D67" s="138" t="inlineStr">
        <is>
          <t>70000062</t>
        </is>
      </c>
      <c r="E67" s="141">
        <v>46282.0</v>
      </c>
      <c r="F67" s="141">
        <v>46357.0</v>
      </c>
      <c r="G67" s="142">
        <v>35483836</v>
      </c>
      <c r="H67" s="142">
        <v>0</v>
      </c>
      <c r="I67" s="142">
        <v>35483836</v>
      </c>
      <c r="J67" s="138" t="inlineStr">
        <is>
          <t>Senior Sales Rep 2</t>
        </is>
      </c>
      <c r="K67" s="138" t="inlineStr">
        <is>
          <t>Trading</t>
        </is>
      </c>
      <c r="L67" s="138" t="inlineStr">
        <is>
          <t>Project 007</t>
        </is>
      </c>
      <c r="M67" s="138" t="inlineStr">
        <is>
          <t>Collection note 013</t>
        </is>
      </c>
      <c r="N67" s="143"/>
      <c r="O67" s="143"/>
      <c r="P67" s="144"/>
      <c r="Q67" s="138">
        <f>IF(ISNUMBER(F67),Dashboard!$D$2-F67,"")</f>
        <v>-57.0</v>
      </c>
      <c r="R67" s="138">
        <f>IF(AND(OR(Dashboard!$P$1="All",A67=Dashboard!$P$1),OR(Dashboard!$P$2="All",J67=Dashboard!$P$2)),1,0)</f>
        <v>1</v>
      </c>
      <c r="S67" s="138">
        <f>I67*R67</f>
        <v>35483836</v>
      </c>
      <c r="T67" s="138">
        <f>IF(AND(ISNUMBER(Q67),Q67&gt;0),S67,0)</f>
        <v>0</v>
      </c>
      <c r="U67" s="138">
        <f>IF(OR(Dashboard!$P$3="All",AND(Dashboard!$P$3="Not due",Q67&lt;0),AND(Dashboard!$P$3="Due in 10 days",Q67&gt;=-10,Q67&lt;=0),AND(Dashboard!$P$3="Due in 30 days",Q67&gt;=-30,Q67&lt;=0),AND(Dashboard!$P$3="Overdue 1–60 days",Q67&gt;0,Q67&lt;=60),AND(Dashboard!$P$3="Over 60 days",Q67&gt;60),AND(Dashboard!$P$3="All overdue",Q67&gt;0)),1,0)</f>
        <v>1</v>
      </c>
      <c r="V67" s="138">
        <f>S67*U67</f>
        <v>35483836</v>
      </c>
      <c r="W67" s="138">
        <f>IF(Q67&gt;0,T67*Q67,0)</f>
        <v>0</v>
      </c>
      <c r="X67" s="138">
        <f>IF(V67&gt;0,COUNTIF($V$6:V67,"&gt;0"),"")</f>
        <v>62</v>
      </c>
      <c r="Y67" s="154" t="str">
        <f>C67&amp;"|"&amp;D67</f>
        <v>AR-00062|70000062</v>
      </c>
      <c r="Z67" s="138"/>
      <c r="AA67" s="154" t="inlineStr">
        <is>
          <t>["Demo Company 010", "AR-00062", "70000062", "2026-09-17"]</t>
        </is>
      </c>
      <c r="AB67" s="138"/>
      <c r="AC67" s="138"/>
      <c r="AD67" s="138"/>
      <c r="AE67" s="138"/>
      <c r="AF67" s="138"/>
      <c r="AG67" s="138"/>
      <c r="AH67" s="138"/>
      <c r="AI67" s="138"/>
      <c r="AJ67" s="138"/>
      <c r="AK67" s="138"/>
      <c r="AL67" s="138"/>
      <c r="AM67" s="138"/>
      <c r="AN67" s="138"/>
      <c r="AO67" s="138"/>
    </row>
    <row r="68" spans="1:41">
      <c r="A68" s="138" t="inlineStr">
        <is>
          <t>Client Alpha (Steel EPC)</t>
        </is>
      </c>
      <c r="B68" s="138" t="inlineStr">
        <is>
          <t>CLIENT ALPHA STEEL STRUCTURE CORPORATION</t>
        </is>
      </c>
      <c r="C68" s="138" t="inlineStr">
        <is>
          <t>AR-00063</t>
        </is>
      </c>
      <c r="D68" s="138" t="inlineStr">
        <is>
          <t>70000063</t>
        </is>
      </c>
      <c r="E68" s="141">
        <v>46282.0</v>
      </c>
      <c r="F68" s="141">
        <v>46357.0</v>
      </c>
      <c r="G68" s="142">
        <v>504616351</v>
      </c>
      <c r="H68" s="142">
        <v>0</v>
      </c>
      <c r="I68" s="142">
        <v>504616351</v>
      </c>
      <c r="J68" s="138" t="inlineStr">
        <is>
          <t>Senior Sales Rep 1</t>
        </is>
      </c>
      <c r="K68" s="138" t="inlineStr">
        <is>
          <t>Trading</t>
        </is>
      </c>
      <c r="L68" s="138" t="inlineStr">
        <is>
          <t>Project 008</t>
        </is>
      </c>
      <c r="M68" s="138" t="inlineStr">
        <is>
          <t>Collection note 011</t>
        </is>
      </c>
      <c r="N68" s="143"/>
      <c r="O68" s="143"/>
      <c r="P68" s="144"/>
      <c r="Q68" s="138">
        <f>IF(ISNUMBER(F68),Dashboard!$D$2-F68,"")</f>
        <v>-57.0</v>
      </c>
      <c r="R68" s="138">
        <f>IF(AND(OR(Dashboard!$P$1="All",A68=Dashboard!$P$1),OR(Dashboard!$P$2="All",J68=Dashboard!$P$2)),1,0)</f>
        <v>1</v>
      </c>
      <c r="S68" s="138">
        <f>I68*R68</f>
        <v>504616351</v>
      </c>
      <c r="T68" s="138">
        <f>IF(AND(ISNUMBER(Q68),Q68&gt;0),S68,0)</f>
        <v>0</v>
      </c>
      <c r="U68" s="138">
        <f>IF(OR(Dashboard!$P$3="All",AND(Dashboard!$P$3="Not due",Q68&lt;0),AND(Dashboard!$P$3="Due in 10 days",Q68&gt;=-10,Q68&lt;=0),AND(Dashboard!$P$3="Due in 30 days",Q68&gt;=-30,Q68&lt;=0),AND(Dashboard!$P$3="Overdue 1–60 days",Q68&gt;0,Q68&lt;=60),AND(Dashboard!$P$3="Over 60 days",Q68&gt;60),AND(Dashboard!$P$3="All overdue",Q68&gt;0)),1,0)</f>
        <v>1</v>
      </c>
      <c r="V68" s="138">
        <f>S68*U68</f>
        <v>504616351</v>
      </c>
      <c r="W68" s="138">
        <f>IF(Q68&gt;0,T68*Q68,0)</f>
        <v>0</v>
      </c>
      <c r="X68" s="138">
        <f>IF(V68&gt;0,COUNTIF($V$6:V68,"&gt;0"),"")</f>
        <v>63</v>
      </c>
      <c r="Y68" s="154" t="str">
        <f>C68&amp;"|"&amp;D68</f>
        <v>AR-00063|70000063</v>
      </c>
      <c r="Z68" s="138"/>
      <c r="AA68" s="154" t="inlineStr">
        <is>
          <t>["Demo Company 010", "AR-00063", "70000063", "2026-09-17"]</t>
        </is>
      </c>
      <c r="AB68" s="138"/>
      <c r="AC68" s="138"/>
      <c r="AD68" s="138"/>
      <c r="AE68" s="138"/>
      <c r="AF68" s="138"/>
      <c r="AG68" s="138"/>
      <c r="AH68" s="138"/>
      <c r="AI68" s="138"/>
      <c r="AJ68" s="138"/>
      <c r="AK68" s="138"/>
      <c r="AL68" s="138"/>
      <c r="AM68" s="138"/>
      <c r="AN68" s="138"/>
      <c r="AO68" s="138"/>
    </row>
    <row r="69" spans="1:41">
      <c r="A69" s="138" t="inlineStr">
        <is>
          <t>Client Alpha (Steel EPC)</t>
        </is>
      </c>
      <c r="B69" s="138" t="inlineStr">
        <is>
          <t>CLIENT ALPHA STEEL STRUCTURE CORPORATION</t>
        </is>
      </c>
      <c r="C69" s="138" t="inlineStr">
        <is>
          <t>AR-00064</t>
        </is>
      </c>
      <c r="D69" s="138" t="inlineStr">
        <is>
          <t>70000064</t>
        </is>
      </c>
      <c r="E69" s="141">
        <v>46282.0</v>
      </c>
      <c r="F69" s="141">
        <v>46357.0</v>
      </c>
      <c r="G69" s="142">
        <v>274835404</v>
      </c>
      <c r="H69" s="142">
        <v>0</v>
      </c>
      <c r="I69" s="142">
        <v>274835404</v>
      </c>
      <c r="J69" s="138" t="inlineStr">
        <is>
          <t>Senior Sales Rep 1</t>
        </is>
      </c>
      <c r="K69" s="138" t="inlineStr">
        <is>
          <t>Trading</t>
        </is>
      </c>
      <c r="L69" s="138" t="inlineStr">
        <is>
          <t>Project 002</t>
        </is>
      </c>
      <c r="M69" s="138" t="inlineStr">
        <is>
          <t>Collection note 011</t>
        </is>
      </c>
      <c r="N69" s="143"/>
      <c r="O69" s="143"/>
      <c r="P69" s="144"/>
      <c r="Q69" s="138">
        <f>IF(ISNUMBER(F69),Dashboard!$D$2-F69,"")</f>
        <v>-57.0</v>
      </c>
      <c r="R69" s="138">
        <f>IF(AND(OR(Dashboard!$P$1="All",A69=Dashboard!$P$1),OR(Dashboard!$P$2="All",J69=Dashboard!$P$2)),1,0)</f>
        <v>1</v>
      </c>
      <c r="S69" s="138">
        <f>I69*R69</f>
        <v>274835404</v>
      </c>
      <c r="T69" s="138">
        <f>IF(AND(ISNUMBER(Q69),Q69&gt;0),S69,0)</f>
        <v>0</v>
      </c>
      <c r="U69" s="138">
        <f>IF(OR(Dashboard!$P$3="All",AND(Dashboard!$P$3="Not due",Q69&lt;0),AND(Dashboard!$P$3="Due in 10 days",Q69&gt;=-10,Q69&lt;=0),AND(Dashboard!$P$3="Due in 30 days",Q69&gt;=-30,Q69&lt;=0),AND(Dashboard!$P$3="Overdue 1–60 days",Q69&gt;0,Q69&lt;=60),AND(Dashboard!$P$3="Over 60 days",Q69&gt;60),AND(Dashboard!$P$3="All overdue",Q69&gt;0)),1,0)</f>
        <v>1</v>
      </c>
      <c r="V69" s="138">
        <f>S69*U69</f>
        <v>274835404</v>
      </c>
      <c r="W69" s="138">
        <f>IF(Q69&gt;0,T69*Q69,0)</f>
        <v>0</v>
      </c>
      <c r="X69" s="138">
        <f>IF(V69&gt;0,COUNTIF($V$6:V69,"&gt;0"),"")</f>
        <v>64</v>
      </c>
      <c r="Y69" s="154" t="str">
        <f>C69&amp;"|"&amp;D69</f>
        <v>AR-00064|70000064</v>
      </c>
      <c r="Z69" s="138"/>
      <c r="AA69" s="154" t="inlineStr">
        <is>
          <t>["Demo Company 010", "AR-00064", "70000064", "2026-09-17"]</t>
        </is>
      </c>
      <c r="AB69" s="138"/>
      <c r="AC69" s="138"/>
      <c r="AD69" s="138"/>
      <c r="AE69" s="138"/>
      <c r="AF69" s="138"/>
      <c r="AG69" s="138"/>
      <c r="AH69" s="138"/>
      <c r="AI69" s="138"/>
      <c r="AJ69" s="138"/>
      <c r="AK69" s="138"/>
      <c r="AL69" s="138"/>
      <c r="AM69" s="138"/>
      <c r="AN69" s="138"/>
      <c r="AO69" s="138"/>
    </row>
    <row r="70" spans="1:41">
      <c r="A70" s="138" t="inlineStr">
        <is>
          <t>Client Alpha (Steel EPC)</t>
        </is>
      </c>
      <c r="B70" s="138" t="inlineStr">
        <is>
          <t>CLIENT ALPHA STEEL STRUCTURE CORPORATION</t>
        </is>
      </c>
      <c r="C70" s="138" t="inlineStr">
        <is>
          <t>AR-00065</t>
        </is>
      </c>
      <c r="D70" s="138" t="inlineStr">
        <is>
          <t>70000065</t>
        </is>
      </c>
      <c r="E70" s="141">
        <v>46282.0</v>
      </c>
      <c r="F70" s="141">
        <v>46357.0</v>
      </c>
      <c r="G70" s="142">
        <v>154151485</v>
      </c>
      <c r="H70" s="142">
        <v>0</v>
      </c>
      <c r="I70" s="142">
        <v>154151485</v>
      </c>
      <c r="J70" s="138" t="inlineStr">
        <is>
          <t>Senior Sales Rep 1</t>
        </is>
      </c>
      <c r="K70" s="138" t="inlineStr">
        <is>
          <t>Trading</t>
        </is>
      </c>
      <c r="L70" s="138" t="inlineStr">
        <is>
          <t>Project 003</t>
        </is>
      </c>
      <c r="M70" s="138" t="inlineStr">
        <is>
          <t>Collection note 011</t>
        </is>
      </c>
      <c r="N70" s="143"/>
      <c r="O70" s="143"/>
      <c r="P70" s="144"/>
      <c r="Q70" s="138">
        <f>IF(ISNUMBER(F70),Dashboard!$D$2-F70,"")</f>
        <v>-57.0</v>
      </c>
      <c r="R70" s="138">
        <f>IF(AND(OR(Dashboard!$P$1="All",A70=Dashboard!$P$1),OR(Dashboard!$P$2="All",J70=Dashboard!$P$2)),1,0)</f>
        <v>1</v>
      </c>
      <c r="S70" s="138">
        <f>I70*R70</f>
        <v>154151485</v>
      </c>
      <c r="T70" s="138">
        <f>IF(AND(ISNUMBER(Q70),Q70&gt;0),S70,0)</f>
        <v>0</v>
      </c>
      <c r="U70" s="138">
        <f>IF(OR(Dashboard!$P$3="All",AND(Dashboard!$P$3="Not due",Q70&lt;0),AND(Dashboard!$P$3="Due in 10 days",Q70&gt;=-10,Q70&lt;=0),AND(Dashboard!$P$3="Due in 30 days",Q70&gt;=-30,Q70&lt;=0),AND(Dashboard!$P$3="Overdue 1–60 days",Q70&gt;0,Q70&lt;=60),AND(Dashboard!$P$3="Over 60 days",Q70&gt;60),AND(Dashboard!$P$3="All overdue",Q70&gt;0)),1,0)</f>
        <v>1</v>
      </c>
      <c r="V70" s="138">
        <f>S70*U70</f>
        <v>154151485</v>
      </c>
      <c r="W70" s="138">
        <f>IF(Q70&gt;0,T70*Q70,0)</f>
        <v>0</v>
      </c>
      <c r="X70" s="138">
        <f>IF(V70&gt;0,COUNTIF($V$6:V70,"&gt;0"),"")</f>
        <v>65</v>
      </c>
      <c r="Y70" s="154" t="str">
        <f>C70&amp;"|"&amp;D70</f>
        <v>AR-00065|70000065</v>
      </c>
      <c r="Z70" s="138"/>
      <c r="AA70" s="154" t="inlineStr">
        <is>
          <t>["Demo Company 010", "AR-00065", "70000065", "2026-09-17"]</t>
        </is>
      </c>
      <c r="AB70" s="138"/>
      <c r="AC70" s="138"/>
      <c r="AD70" s="138"/>
      <c r="AE70" s="138"/>
      <c r="AF70" s="138"/>
      <c r="AG70" s="138"/>
      <c r="AH70" s="138"/>
      <c r="AI70" s="138"/>
      <c r="AJ70" s="138"/>
      <c r="AK70" s="138"/>
      <c r="AL70" s="138"/>
      <c r="AM70" s="138"/>
      <c r="AN70" s="138"/>
      <c r="AO70" s="138"/>
    </row>
    <row r="71" spans="1:41">
      <c r="A71" s="138" t="inlineStr">
        <is>
          <t>Client Alpha (Steel EPC)</t>
        </is>
      </c>
      <c r="B71" s="138" t="inlineStr">
        <is>
          <t>CLIENT ALPHA STEEL STRUCTURE CORPORATION</t>
        </is>
      </c>
      <c r="C71" s="138" t="inlineStr">
        <is>
          <t>AR-00066</t>
        </is>
      </c>
      <c r="D71" s="138" t="inlineStr">
        <is>
          <t>70000066</t>
        </is>
      </c>
      <c r="E71" s="141">
        <v>46288.0</v>
      </c>
      <c r="F71" s="141">
        <v>46358.0</v>
      </c>
      <c r="G71" s="142">
        <v>1378039877</v>
      </c>
      <c r="H71" s="142">
        <v>0</v>
      </c>
      <c r="I71" s="142">
        <v>1378039877</v>
      </c>
      <c r="J71" s="138" t="inlineStr">
        <is>
          <t>Senior Sales Rep 2</t>
        </is>
      </c>
      <c r="K71" s="138" t="inlineStr">
        <is>
          <t>Project</t>
        </is>
      </c>
      <c r="L71" s="138" t="inlineStr">
        <is>
          <t/>
        </is>
      </c>
      <c r="M71" s="138" t="inlineStr">
        <is>
          <t>Collection note 014</t>
        </is>
      </c>
      <c r="N71" s="143"/>
      <c r="O71" s="143"/>
      <c r="P71" s="144"/>
      <c r="Q71" s="138">
        <f>IF(ISNUMBER(F71),Dashboard!$D$2-F71,"")</f>
        <v>-58.0</v>
      </c>
      <c r="R71" s="138">
        <f>IF(AND(OR(Dashboard!$P$1="All",A71=Dashboard!$P$1),OR(Dashboard!$P$2="All",J71=Dashboard!$P$2)),1,0)</f>
        <v>1</v>
      </c>
      <c r="S71" s="138">
        <f>I71*R71</f>
        <v>1378039877</v>
      </c>
      <c r="T71" s="138">
        <f>IF(AND(ISNUMBER(Q71),Q71&gt;0),S71,0)</f>
        <v>0</v>
      </c>
      <c r="U71" s="138">
        <f>IF(OR(Dashboard!$P$3="All",AND(Dashboard!$P$3="Not due",Q71&lt;0),AND(Dashboard!$P$3="Due in 10 days",Q71&gt;=-10,Q71&lt;=0),AND(Dashboard!$P$3="Due in 30 days",Q71&gt;=-30,Q71&lt;=0),AND(Dashboard!$P$3="Overdue 1–60 days",Q71&gt;0,Q71&lt;=60),AND(Dashboard!$P$3="Over 60 days",Q71&gt;60),AND(Dashboard!$P$3="All overdue",Q71&gt;0)),1,0)</f>
        <v>1</v>
      </c>
      <c r="V71" s="138">
        <f>S71*U71</f>
        <v>1378039877</v>
      </c>
      <c r="W71" s="138">
        <f>IF(Q71&gt;0,T71*Q71,0)</f>
        <v>0</v>
      </c>
      <c r="X71" s="138">
        <f>IF(V71&gt;0,COUNTIF($V$6:V71,"&gt;0"),"")</f>
        <v>66</v>
      </c>
      <c r="Y71" s="154" t="str">
        <f>C71&amp;"|"&amp;D71</f>
        <v>AR-00066|70000066</v>
      </c>
      <c r="Z71" s="138"/>
      <c r="AA71" s="154" t="inlineStr">
        <is>
          <t>["Demo Company 010", "AR-00066", "70000066", "2026-09-23"]</t>
        </is>
      </c>
      <c r="AB71" s="138"/>
      <c r="AC71" s="138"/>
      <c r="AD71" s="138"/>
      <c r="AE71" s="138"/>
      <c r="AF71" s="138"/>
      <c r="AG71" s="138"/>
      <c r="AH71" s="138"/>
      <c r="AI71" s="138"/>
      <c r="AJ71" s="138"/>
      <c r="AK71" s="138"/>
      <c r="AL71" s="138"/>
      <c r="AM71" s="138"/>
      <c r="AN71" s="138"/>
      <c r="AO71" s="138"/>
    </row>
    <row r="72" spans="1:41">
      <c r="A72" s="138" t="inlineStr">
        <is>
          <t>Client Alpha (Steel EPC)</t>
        </is>
      </c>
      <c r="B72" s="138" t="inlineStr">
        <is>
          <t>CLIENT ALPHA STEEL STRUCTURE CORPORATION</t>
        </is>
      </c>
      <c r="C72" s="138" t="inlineStr">
        <is>
          <t>AR-00067</t>
        </is>
      </c>
      <c r="D72" s="138" t="inlineStr">
        <is>
          <t>70000067</t>
        </is>
      </c>
      <c r="E72" s="141">
        <v>46288.0</v>
      </c>
      <c r="F72" s="141">
        <v>46358.0</v>
      </c>
      <c r="G72" s="142">
        <v>2781998738</v>
      </c>
      <c r="H72" s="142">
        <v>0</v>
      </c>
      <c r="I72" s="142">
        <v>2781998738</v>
      </c>
      <c r="J72" s="138" t="inlineStr">
        <is>
          <t>Senior Sales Rep 2</t>
        </is>
      </c>
      <c r="K72" s="138" t="inlineStr">
        <is>
          <t>Project</t>
        </is>
      </c>
      <c r="L72" s="138" t="inlineStr">
        <is>
          <t/>
        </is>
      </c>
      <c r="M72" s="138" t="inlineStr">
        <is>
          <t>Collection note 015</t>
        </is>
      </c>
      <c r="N72" s="143"/>
      <c r="O72" s="143"/>
      <c r="P72" s="144"/>
      <c r="Q72" s="138">
        <f>IF(ISNUMBER(F72),Dashboard!$D$2-F72,"")</f>
        <v>-58.0</v>
      </c>
      <c r="R72" s="138">
        <f>IF(AND(OR(Dashboard!$P$1="All",A72=Dashboard!$P$1),OR(Dashboard!$P$2="All",J72=Dashboard!$P$2)),1,0)</f>
        <v>1</v>
      </c>
      <c r="S72" s="138">
        <f>I72*R72</f>
        <v>2781998738</v>
      </c>
      <c r="T72" s="138">
        <f>IF(AND(ISNUMBER(Q72),Q72&gt;0),S72,0)</f>
        <v>0</v>
      </c>
      <c r="U72" s="138">
        <f>IF(OR(Dashboard!$P$3="All",AND(Dashboard!$P$3="Not due",Q72&lt;0),AND(Dashboard!$P$3="Due in 10 days",Q72&gt;=-10,Q72&lt;=0),AND(Dashboard!$P$3="Due in 30 days",Q72&gt;=-30,Q72&lt;=0),AND(Dashboard!$P$3="Overdue 1–60 days",Q72&gt;0,Q72&lt;=60),AND(Dashboard!$P$3="Over 60 days",Q72&gt;60),AND(Dashboard!$P$3="All overdue",Q72&gt;0)),1,0)</f>
        <v>1</v>
      </c>
      <c r="V72" s="138">
        <f>S72*U72</f>
        <v>2781998738</v>
      </c>
      <c r="W72" s="138">
        <f>IF(Q72&gt;0,T72*Q72,0)</f>
        <v>0</v>
      </c>
      <c r="X72" s="138">
        <f>IF(V72&gt;0,COUNTIF($V$6:V72,"&gt;0"),"")</f>
        <v>67</v>
      </c>
      <c r="Y72" s="154" t="str">
        <f>C72&amp;"|"&amp;D72</f>
        <v>AR-00067|70000067</v>
      </c>
      <c r="Z72" s="138"/>
      <c r="AA72" s="154" t="inlineStr">
        <is>
          <t>["Demo Company 010", "AR-00067", "70000067", "2026-09-23"]</t>
        </is>
      </c>
      <c r="AB72" s="138"/>
      <c r="AC72" s="138"/>
      <c r="AD72" s="138"/>
      <c r="AE72" s="138"/>
      <c r="AF72" s="138"/>
      <c r="AG72" s="138"/>
      <c r="AH72" s="138"/>
      <c r="AI72" s="138"/>
      <c r="AJ72" s="138"/>
      <c r="AK72" s="138"/>
      <c r="AL72" s="138"/>
      <c r="AM72" s="138"/>
      <c r="AN72" s="138"/>
      <c r="AO72" s="138"/>
    </row>
    <row r="73" spans="1:41">
      <c r="A73" s="138" t="inlineStr">
        <is>
          <t>Client Alpha (Steel EPC)</t>
        </is>
      </c>
      <c r="B73" s="138" t="inlineStr">
        <is>
          <t>CLIENT ALPHA STEEL STRUCTURE CORPORATION</t>
        </is>
      </c>
      <c r="C73" s="138" t="inlineStr">
        <is>
          <t>AR-00068</t>
        </is>
      </c>
      <c r="D73" s="138" t="inlineStr">
        <is>
          <t>70000068</t>
        </is>
      </c>
      <c r="E73" s="141">
        <v>46289.0</v>
      </c>
      <c r="F73" s="141">
        <v>46359.0</v>
      </c>
      <c r="G73" s="142">
        <v>1233595934</v>
      </c>
      <c r="H73" s="142">
        <v>0</v>
      </c>
      <c r="I73" s="142">
        <v>1233595934</v>
      </c>
      <c r="J73" s="138" t="inlineStr">
        <is>
          <t>Senior Sales Rep 2</t>
        </is>
      </c>
      <c r="K73" s="138" t="inlineStr">
        <is>
          <t>Project</t>
        </is>
      </c>
      <c r="L73" s="138" t="inlineStr">
        <is>
          <t/>
        </is>
      </c>
      <c r="M73" s="138" t="inlineStr">
        <is>
          <t>Collection note 016</t>
        </is>
      </c>
      <c r="N73" s="143"/>
      <c r="O73" s="143"/>
      <c r="P73" s="144"/>
      <c r="Q73" s="138">
        <f>IF(ISNUMBER(F73),Dashboard!$D$2-F73,"")</f>
        <v>-59.0</v>
      </c>
      <c r="R73" s="138">
        <f>IF(AND(OR(Dashboard!$P$1="All",A73=Dashboard!$P$1),OR(Dashboard!$P$2="All",J73=Dashboard!$P$2)),1,0)</f>
        <v>1</v>
      </c>
      <c r="S73" s="138">
        <f>I73*R73</f>
        <v>1233595934</v>
      </c>
      <c r="T73" s="138">
        <f>IF(AND(ISNUMBER(Q73),Q73&gt;0),S73,0)</f>
        <v>0</v>
      </c>
      <c r="U73" s="138">
        <f>IF(OR(Dashboard!$P$3="All",AND(Dashboard!$P$3="Not due",Q73&lt;0),AND(Dashboard!$P$3="Due in 10 days",Q73&gt;=-10,Q73&lt;=0),AND(Dashboard!$P$3="Due in 30 days",Q73&gt;=-30,Q73&lt;=0),AND(Dashboard!$P$3="Overdue 1–60 days",Q73&gt;0,Q73&lt;=60),AND(Dashboard!$P$3="Over 60 days",Q73&gt;60),AND(Dashboard!$P$3="All overdue",Q73&gt;0)),1,0)</f>
        <v>1</v>
      </c>
      <c r="V73" s="138">
        <f>S73*U73</f>
        <v>1233595934</v>
      </c>
      <c r="W73" s="138">
        <f>IF(Q73&gt;0,T73*Q73,0)</f>
        <v>0</v>
      </c>
      <c r="X73" s="138">
        <f>IF(V73&gt;0,COUNTIF($V$6:V73,"&gt;0"),"")</f>
        <v>68</v>
      </c>
      <c r="Y73" s="154" t="str">
        <f>C73&amp;"|"&amp;D73</f>
        <v>AR-00068|70000068</v>
      </c>
      <c r="Z73" s="138"/>
      <c r="AA73" s="154" t="inlineStr">
        <is>
          <t>["Demo Company 010", "AR-00068", "70000068", "2026-09-24"]</t>
        </is>
      </c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  <c r="AM73" s="138"/>
      <c r="AN73" s="138"/>
      <c r="AO73" s="138"/>
    </row>
    <row r="74" spans="1:41">
      <c r="A74" s="138" t="inlineStr">
        <is>
          <t>Client Alpha (Steel EPC)</t>
        </is>
      </c>
      <c r="B74" s="138" t="inlineStr">
        <is>
          <t>CLIENT ALPHA STEEL STRUCTURE CORPORATION</t>
        </is>
      </c>
      <c r="C74" s="138" t="inlineStr">
        <is>
          <t>AR-00069</t>
        </is>
      </c>
      <c r="D74" s="138" t="inlineStr">
        <is>
          <t>70000069</t>
        </is>
      </c>
      <c r="E74" s="141">
        <v>46289.0</v>
      </c>
      <c r="F74" s="141">
        <v>46359.0</v>
      </c>
      <c r="G74" s="142">
        <v>3074061247</v>
      </c>
      <c r="H74" s="142">
        <v>0</v>
      </c>
      <c r="I74" s="142">
        <v>3074061247</v>
      </c>
      <c r="J74" s="138" t="inlineStr">
        <is>
          <t>Senior Sales Rep 2</t>
        </is>
      </c>
      <c r="K74" s="138" t="inlineStr">
        <is>
          <t>Project</t>
        </is>
      </c>
      <c r="L74" s="138" t="inlineStr">
        <is>
          <t/>
        </is>
      </c>
      <c r="M74" s="138" t="inlineStr">
        <is>
          <t>Collection note 017</t>
        </is>
      </c>
      <c r="N74" s="143"/>
      <c r="O74" s="143"/>
      <c r="P74" s="144"/>
      <c r="Q74" s="138">
        <f>IF(ISNUMBER(F74),Dashboard!$D$2-F74,"")</f>
        <v>-59.0</v>
      </c>
      <c r="R74" s="138">
        <f>IF(AND(OR(Dashboard!$P$1="All",A74=Dashboard!$P$1),OR(Dashboard!$P$2="All",J74=Dashboard!$P$2)),1,0)</f>
        <v>1</v>
      </c>
      <c r="S74" s="138">
        <f>I74*R74</f>
        <v>3074061247</v>
      </c>
      <c r="T74" s="138">
        <f>IF(AND(ISNUMBER(Q74),Q74&gt;0),S74,0)</f>
        <v>0</v>
      </c>
      <c r="U74" s="138">
        <f>IF(OR(Dashboard!$P$3="All",AND(Dashboard!$P$3="Not due",Q74&lt;0),AND(Dashboard!$P$3="Due in 10 days",Q74&gt;=-10,Q74&lt;=0),AND(Dashboard!$P$3="Due in 30 days",Q74&gt;=-30,Q74&lt;=0),AND(Dashboard!$P$3="Overdue 1–60 days",Q74&gt;0,Q74&lt;=60),AND(Dashboard!$P$3="Over 60 days",Q74&gt;60),AND(Dashboard!$P$3="All overdue",Q74&gt;0)),1,0)</f>
        <v>1</v>
      </c>
      <c r="V74" s="138">
        <f>S74*U74</f>
        <v>3074061247</v>
      </c>
      <c r="W74" s="138">
        <f>IF(Q74&gt;0,T74*Q74,0)</f>
        <v>0</v>
      </c>
      <c r="X74" s="138">
        <f>IF(V74&gt;0,COUNTIF($V$6:V74,"&gt;0"),"")</f>
        <v>69</v>
      </c>
      <c r="Y74" s="154" t="str">
        <f>C74&amp;"|"&amp;D74</f>
        <v>AR-00069|70000069</v>
      </c>
      <c r="Z74" s="138"/>
      <c r="AA74" s="154" t="inlineStr">
        <is>
          <t>["Demo Company 010", "AR-00069", "70000069", "2026-09-24"]</t>
        </is>
      </c>
      <c r="AB74" s="138"/>
      <c r="AC74" s="138"/>
      <c r="AD74" s="138"/>
      <c r="AE74" s="138"/>
      <c r="AF74" s="138"/>
      <c r="AG74" s="138"/>
      <c r="AH74" s="138"/>
      <c r="AI74" s="138"/>
      <c r="AJ74" s="138"/>
      <c r="AK74" s="138"/>
      <c r="AL74" s="138"/>
      <c r="AM74" s="138"/>
      <c r="AN74" s="138"/>
      <c r="AO74" s="138"/>
    </row>
    <row r="75" spans="1:41">
      <c r="A75" s="138" t="inlineStr">
        <is>
          <t>Client Alpha (Steel EPC)</t>
        </is>
      </c>
      <c r="B75" s="138" t="inlineStr">
        <is>
          <t>CLIENT ALPHA STEEL STRUCTURE CORPORATION</t>
        </is>
      </c>
      <c r="C75" s="138" t="inlineStr">
        <is>
          <t>AR-00070</t>
        </is>
      </c>
      <c r="D75" s="138" t="inlineStr">
        <is>
          <t>70000070</t>
        </is>
      </c>
      <c r="E75" s="141">
        <v>46289.0</v>
      </c>
      <c r="F75" s="141">
        <v>46364.0</v>
      </c>
      <c r="G75" s="142">
        <v>349295</v>
      </c>
      <c r="H75" s="142">
        <v>0</v>
      </c>
      <c r="I75" s="142">
        <v>349295</v>
      </c>
      <c r="J75" s="138" t="inlineStr">
        <is>
          <t>Senior Sales Rep 1</t>
        </is>
      </c>
      <c r="K75" s="138" t="inlineStr">
        <is>
          <t>Trading</t>
        </is>
      </c>
      <c r="L75" s="138" t="inlineStr">
        <is>
          <t>Project 008</t>
        </is>
      </c>
      <c r="M75" s="138" t="inlineStr">
        <is>
          <t>Collection note 011</t>
        </is>
      </c>
      <c r="N75" s="143"/>
      <c r="O75" s="143"/>
      <c r="P75" s="144"/>
      <c r="Q75" s="138">
        <f>IF(ISNUMBER(F75),Dashboard!$D$2-F75,"")</f>
        <v>-64.0</v>
      </c>
      <c r="R75" s="138">
        <f>IF(AND(OR(Dashboard!$P$1="All",A75=Dashboard!$P$1),OR(Dashboard!$P$2="All",J75=Dashboard!$P$2)),1,0)</f>
        <v>1</v>
      </c>
      <c r="S75" s="138">
        <f>I75*R75</f>
        <v>349295</v>
      </c>
      <c r="T75" s="138">
        <f>IF(AND(ISNUMBER(Q75),Q75&gt;0),S75,0)</f>
        <v>0</v>
      </c>
      <c r="U75" s="138">
        <f>IF(OR(Dashboard!$P$3="All",AND(Dashboard!$P$3="Not due",Q75&lt;0),AND(Dashboard!$P$3="Due in 10 days",Q75&gt;=-10,Q75&lt;=0),AND(Dashboard!$P$3="Due in 30 days",Q75&gt;=-30,Q75&lt;=0),AND(Dashboard!$P$3="Overdue 1–60 days",Q75&gt;0,Q75&lt;=60),AND(Dashboard!$P$3="Over 60 days",Q75&gt;60),AND(Dashboard!$P$3="All overdue",Q75&gt;0)),1,0)</f>
        <v>1</v>
      </c>
      <c r="V75" s="138">
        <f>S75*U75</f>
        <v>349295</v>
      </c>
      <c r="W75" s="138">
        <f>IF(Q75&gt;0,T75*Q75,0)</f>
        <v>0</v>
      </c>
      <c r="X75" s="138">
        <f>IF(V75&gt;0,COUNTIF($V$6:V75,"&gt;0"),"")</f>
        <v>70</v>
      </c>
      <c r="Y75" s="154" t="str">
        <f>C75&amp;"|"&amp;D75</f>
        <v>AR-00070|70000070</v>
      </c>
      <c r="Z75" s="138"/>
      <c r="AA75" s="154" t="inlineStr">
        <is>
          <t>["Demo Company 010", "AR-00070", "70000070", "2026-09-24"]</t>
        </is>
      </c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</row>
    <row r="76" spans="1:41">
      <c r="A76" s="138" t="inlineStr">
        <is>
          <t>Client Alpha (Steel EPC)</t>
        </is>
      </c>
      <c r="B76" s="138" t="inlineStr">
        <is>
          <t>CLIENT ALPHA STEEL STRUCTURE CORPORATION</t>
        </is>
      </c>
      <c r="C76" s="138" t="inlineStr">
        <is>
          <t>AR-00071</t>
        </is>
      </c>
      <c r="D76" s="138" t="inlineStr">
        <is>
          <t>70000071</t>
        </is>
      </c>
      <c r="E76" s="141">
        <v>46289.0</v>
      </c>
      <c r="F76" s="141">
        <v>46364.0</v>
      </c>
      <c r="G76" s="142">
        <v>95221374</v>
      </c>
      <c r="H76" s="142">
        <v>0</v>
      </c>
      <c r="I76" s="142">
        <v>95221374</v>
      </c>
      <c r="J76" s="138" t="inlineStr">
        <is>
          <t>Senior Sales Rep 1</t>
        </is>
      </c>
      <c r="K76" s="138" t="inlineStr">
        <is>
          <t>Trading</t>
        </is>
      </c>
      <c r="L76" s="138" t="inlineStr">
        <is>
          <t>Project 002</t>
        </is>
      </c>
      <c r="M76" s="138" t="inlineStr">
        <is>
          <t>Collection note 011</t>
        </is>
      </c>
      <c r="N76" s="143"/>
      <c r="O76" s="143"/>
      <c r="P76" s="144"/>
      <c r="Q76" s="138">
        <f>IF(ISNUMBER(F76),Dashboard!$D$2-F76,"")</f>
        <v>-64.0</v>
      </c>
      <c r="R76" s="138">
        <f>IF(AND(OR(Dashboard!$P$1="All",A76=Dashboard!$P$1),OR(Dashboard!$P$2="All",J76=Dashboard!$P$2)),1,0)</f>
        <v>1</v>
      </c>
      <c r="S76" s="138">
        <f>I76*R76</f>
        <v>95221374</v>
      </c>
      <c r="T76" s="138">
        <f>IF(AND(ISNUMBER(Q76),Q76&gt;0),S76,0)</f>
        <v>0</v>
      </c>
      <c r="U76" s="138">
        <f>IF(OR(Dashboard!$P$3="All",AND(Dashboard!$P$3="Not due",Q76&lt;0),AND(Dashboard!$P$3="Due in 10 days",Q76&gt;=-10,Q76&lt;=0),AND(Dashboard!$P$3="Due in 30 days",Q76&gt;=-30,Q76&lt;=0),AND(Dashboard!$P$3="Overdue 1–60 days",Q76&gt;0,Q76&lt;=60),AND(Dashboard!$P$3="Over 60 days",Q76&gt;60),AND(Dashboard!$P$3="All overdue",Q76&gt;0)),1,0)</f>
        <v>1</v>
      </c>
      <c r="V76" s="138">
        <f>S76*U76</f>
        <v>95221374</v>
      </c>
      <c r="W76" s="138">
        <f>IF(Q76&gt;0,T76*Q76,0)</f>
        <v>0</v>
      </c>
      <c r="X76" s="138">
        <f>IF(V76&gt;0,COUNTIF($V$6:V76,"&gt;0"),"")</f>
        <v>71</v>
      </c>
      <c r="Y76" s="154" t="str">
        <f>C76&amp;"|"&amp;D76</f>
        <v>AR-00071|70000071</v>
      </c>
      <c r="Z76" s="138"/>
      <c r="AA76" s="154" t="inlineStr">
        <is>
          <t>["Demo Company 010", "AR-00071", "70000071", "2026-09-24"]</t>
        </is>
      </c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  <c r="AN76" s="138"/>
      <c r="AO76" s="138"/>
    </row>
    <row r="77" spans="1:41">
      <c r="A77" s="138" t="inlineStr">
        <is>
          <t>Client Alpha (Steel EPC)</t>
        </is>
      </c>
      <c r="B77" s="138" t="inlineStr">
        <is>
          <t>CLIENT ALPHA STEEL STRUCTURE CORPORATION</t>
        </is>
      </c>
      <c r="C77" s="138" t="inlineStr">
        <is>
          <t>AR-00072</t>
        </is>
      </c>
      <c r="D77" s="138" t="inlineStr">
        <is>
          <t>70000072</t>
        </is>
      </c>
      <c r="E77" s="141">
        <v>46289.0</v>
      </c>
      <c r="F77" s="141">
        <v>46364.0</v>
      </c>
      <c r="G77" s="142">
        <v>9559012</v>
      </c>
      <c r="H77" s="142">
        <v>0</v>
      </c>
      <c r="I77" s="142">
        <v>9559012</v>
      </c>
      <c r="J77" s="138" t="inlineStr">
        <is>
          <t>Senior Sales Rep 1</t>
        </is>
      </c>
      <c r="K77" s="138" t="inlineStr">
        <is>
          <t>Trading</t>
        </is>
      </c>
      <c r="L77" s="138" t="inlineStr">
        <is>
          <t>Project 003</t>
        </is>
      </c>
      <c r="M77" s="138" t="inlineStr">
        <is>
          <t>Collection note 011</t>
        </is>
      </c>
      <c r="N77" s="143"/>
      <c r="O77" s="143"/>
      <c r="P77" s="144"/>
      <c r="Q77" s="138">
        <f>IF(ISNUMBER(F77),Dashboard!$D$2-F77,"")</f>
        <v>-64.0</v>
      </c>
      <c r="R77" s="138">
        <f>IF(AND(OR(Dashboard!$P$1="All",A77=Dashboard!$P$1),OR(Dashboard!$P$2="All",J77=Dashboard!$P$2)),1,0)</f>
        <v>1</v>
      </c>
      <c r="S77" s="138">
        <f>I77*R77</f>
        <v>9559012</v>
      </c>
      <c r="T77" s="138">
        <f>IF(AND(ISNUMBER(Q77),Q77&gt;0),S77,0)</f>
        <v>0</v>
      </c>
      <c r="U77" s="138">
        <f>IF(OR(Dashboard!$P$3="All",AND(Dashboard!$P$3="Not due",Q77&lt;0),AND(Dashboard!$P$3="Due in 10 days",Q77&gt;=-10,Q77&lt;=0),AND(Dashboard!$P$3="Due in 30 days",Q77&gt;=-30,Q77&lt;=0),AND(Dashboard!$P$3="Overdue 1–60 days",Q77&gt;0,Q77&lt;=60),AND(Dashboard!$P$3="Over 60 days",Q77&gt;60),AND(Dashboard!$P$3="All overdue",Q77&gt;0)),1,0)</f>
        <v>1</v>
      </c>
      <c r="V77" s="138">
        <f>S77*U77</f>
        <v>9559012</v>
      </c>
      <c r="W77" s="138">
        <f>IF(Q77&gt;0,T77*Q77,0)</f>
        <v>0</v>
      </c>
      <c r="X77" s="138">
        <f>IF(V77&gt;0,COUNTIF($V$6:V77,"&gt;0"),"")</f>
        <v>72</v>
      </c>
      <c r="Y77" s="154" t="str">
        <f>C77&amp;"|"&amp;D77</f>
        <v>AR-00072|70000072</v>
      </c>
      <c r="Z77" s="138"/>
      <c r="AA77" s="154" t="inlineStr">
        <is>
          <t>["Demo Company 010", "AR-00072", "70000072", "2026-09-24"]</t>
        </is>
      </c>
      <c r="AB77" s="138"/>
      <c r="AC77" s="138"/>
      <c r="AD77" s="138"/>
      <c r="AE77" s="138"/>
      <c r="AF77" s="138"/>
      <c r="AG77" s="138"/>
      <c r="AH77" s="138"/>
      <c r="AI77" s="138"/>
      <c r="AJ77" s="138"/>
      <c r="AK77" s="138"/>
      <c r="AL77" s="138"/>
      <c r="AM77" s="138"/>
      <c r="AN77" s="138"/>
      <c r="AO77" s="138"/>
    </row>
    <row r="78" spans="1:41">
      <c r="A78" s="138" t="inlineStr">
        <is>
          <t>Client Alpha (Steel EPC)</t>
        </is>
      </c>
      <c r="B78" s="138" t="inlineStr">
        <is>
          <t>CLIENT ALPHA STEEL STRUCTURE CORPORATION</t>
        </is>
      </c>
      <c r="C78" s="138" t="inlineStr">
        <is>
          <t>AR-00073</t>
        </is>
      </c>
      <c r="D78" s="138" t="inlineStr">
        <is>
          <t>70000073</t>
        </is>
      </c>
      <c r="E78" s="141">
        <v>46289.0</v>
      </c>
      <c r="F78" s="141">
        <v>46364.0</v>
      </c>
      <c r="G78" s="142">
        <v>7011259</v>
      </c>
      <c r="H78" s="142">
        <v>0</v>
      </c>
      <c r="I78" s="142">
        <v>7011259</v>
      </c>
      <c r="J78" s="138" t="inlineStr">
        <is>
          <t>Senior Sales Rep 2</t>
        </is>
      </c>
      <c r="K78" s="138" t="inlineStr">
        <is>
          <t>Trading</t>
        </is>
      </c>
      <c r="L78" s="138" t="inlineStr">
        <is>
          <t>Project 004</t>
        </is>
      </c>
      <c r="M78" s="138" t="inlineStr">
        <is>
          <t>Collection note 013</t>
        </is>
      </c>
      <c r="N78" s="143"/>
      <c r="O78" s="143"/>
      <c r="P78" s="144"/>
      <c r="Q78" s="138">
        <f>IF(ISNUMBER(F78),Dashboard!$D$2-F78,"")</f>
        <v>-64.0</v>
      </c>
      <c r="R78" s="138">
        <f>IF(AND(OR(Dashboard!$P$1="All",A78=Dashboard!$P$1),OR(Dashboard!$P$2="All",J78=Dashboard!$P$2)),1,0)</f>
        <v>1</v>
      </c>
      <c r="S78" s="138">
        <f>I78*R78</f>
        <v>7011259</v>
      </c>
      <c r="T78" s="138">
        <f>IF(AND(ISNUMBER(Q78),Q78&gt;0),S78,0)</f>
        <v>0</v>
      </c>
      <c r="U78" s="138">
        <f>IF(OR(Dashboard!$P$3="All",AND(Dashboard!$P$3="Not due",Q78&lt;0),AND(Dashboard!$P$3="Due in 10 days",Q78&gt;=-10,Q78&lt;=0),AND(Dashboard!$P$3="Due in 30 days",Q78&gt;=-30,Q78&lt;=0),AND(Dashboard!$P$3="Overdue 1–60 days",Q78&gt;0,Q78&lt;=60),AND(Dashboard!$P$3="Over 60 days",Q78&gt;60),AND(Dashboard!$P$3="All overdue",Q78&gt;0)),1,0)</f>
        <v>1</v>
      </c>
      <c r="V78" s="138">
        <f>S78*U78</f>
        <v>7011259</v>
      </c>
      <c r="W78" s="138">
        <f>IF(Q78&gt;0,T78*Q78,0)</f>
        <v>0</v>
      </c>
      <c r="X78" s="138">
        <f>IF(V78&gt;0,COUNTIF($V$6:V78,"&gt;0"),"")</f>
        <v>73</v>
      </c>
      <c r="Y78" s="154" t="str">
        <f>C78&amp;"|"&amp;D78</f>
        <v>AR-00073|70000073</v>
      </c>
      <c r="Z78" s="138"/>
      <c r="AA78" s="154" t="inlineStr">
        <is>
          <t>["Demo Company 010", "AR-00073", "70000073", "2026-09-24"]</t>
        </is>
      </c>
      <c r="AB78" s="138"/>
      <c r="AC78" s="138"/>
      <c r="AD78" s="138"/>
      <c r="AE78" s="138"/>
      <c r="AF78" s="138"/>
      <c r="AG78" s="138"/>
      <c r="AH78" s="138"/>
      <c r="AI78" s="138"/>
      <c r="AJ78" s="138"/>
      <c r="AK78" s="138"/>
      <c r="AL78" s="138"/>
      <c r="AM78" s="138"/>
      <c r="AN78" s="138"/>
      <c r="AO78" s="138"/>
    </row>
    <row r="79" spans="1:41">
      <c r="A79" s="138" t="inlineStr">
        <is>
          <t>Client Alpha (Steel EPC)</t>
        </is>
      </c>
      <c r="B79" s="138" t="inlineStr">
        <is>
          <t>CLIENT ALPHA STEEL STRUCTURE CORPORATION</t>
        </is>
      </c>
      <c r="C79" s="138" t="inlineStr">
        <is>
          <t>AR-00074</t>
        </is>
      </c>
      <c r="D79" s="138" t="inlineStr">
        <is>
          <t>70000074</t>
        </is>
      </c>
      <c r="E79" s="141">
        <v>46289.0</v>
      </c>
      <c r="F79" s="141">
        <v>46364.0</v>
      </c>
      <c r="G79" s="142">
        <v>5046104601</v>
      </c>
      <c r="H79" s="142">
        <v>0</v>
      </c>
      <c r="I79" s="142">
        <v>5046104601</v>
      </c>
      <c r="J79" s="138" t="inlineStr">
        <is>
          <t>Senior Sales Rep 2</t>
        </is>
      </c>
      <c r="K79" s="138" t="inlineStr">
        <is>
          <t>Trading</t>
        </is>
      </c>
      <c r="L79" s="138" t="inlineStr">
        <is>
          <t>Project 005</t>
        </is>
      </c>
      <c r="M79" s="138" t="inlineStr">
        <is>
          <t>Collection note 013</t>
        </is>
      </c>
      <c r="N79" s="143"/>
      <c r="O79" s="143"/>
      <c r="P79" s="144"/>
      <c r="Q79" s="138">
        <f>IF(ISNUMBER(F79),Dashboard!$D$2-F79,"")</f>
        <v>-64.0</v>
      </c>
      <c r="R79" s="138">
        <f>IF(AND(OR(Dashboard!$P$1="All",A79=Dashboard!$P$1),OR(Dashboard!$P$2="All",J79=Dashboard!$P$2)),1,0)</f>
        <v>1</v>
      </c>
      <c r="S79" s="138">
        <f>I79*R79</f>
        <v>5046104601</v>
      </c>
      <c r="T79" s="138">
        <f>IF(AND(ISNUMBER(Q79),Q79&gt;0),S79,0)</f>
        <v>0</v>
      </c>
      <c r="U79" s="138">
        <f>IF(OR(Dashboard!$P$3="All",AND(Dashboard!$P$3="Not due",Q79&lt;0),AND(Dashboard!$P$3="Due in 10 days",Q79&gt;=-10,Q79&lt;=0),AND(Dashboard!$P$3="Due in 30 days",Q79&gt;=-30,Q79&lt;=0),AND(Dashboard!$P$3="Overdue 1–60 days",Q79&gt;0,Q79&lt;=60),AND(Dashboard!$P$3="Over 60 days",Q79&gt;60),AND(Dashboard!$P$3="All overdue",Q79&gt;0)),1,0)</f>
        <v>1</v>
      </c>
      <c r="V79" s="138">
        <f>S79*U79</f>
        <v>5046104601</v>
      </c>
      <c r="W79" s="138">
        <f>IF(Q79&gt;0,T79*Q79,0)</f>
        <v>0</v>
      </c>
      <c r="X79" s="138">
        <f>IF(V79&gt;0,COUNTIF($V$6:V79,"&gt;0"),"")</f>
        <v>74</v>
      </c>
      <c r="Y79" s="154" t="str">
        <f>C79&amp;"|"&amp;D79</f>
        <v>AR-00074|70000074</v>
      </c>
      <c r="Z79" s="138"/>
      <c r="AA79" s="154" t="inlineStr">
        <is>
          <t>["Demo Company 010", "AR-00074", "70000074", "2026-09-24"]</t>
        </is>
      </c>
      <c r="AB79" s="138"/>
      <c r="AC79" s="138"/>
      <c r="AD79" s="138"/>
      <c r="AE79" s="138"/>
      <c r="AF79" s="138"/>
      <c r="AG79" s="138"/>
      <c r="AH79" s="138"/>
      <c r="AI79" s="138"/>
      <c r="AJ79" s="138"/>
      <c r="AK79" s="138"/>
      <c r="AL79" s="138"/>
      <c r="AM79" s="138"/>
      <c r="AN79" s="138"/>
      <c r="AO79" s="138"/>
    </row>
    <row r="80" spans="1:41">
      <c r="A80" s="138" t="inlineStr">
        <is>
          <t>Client Alpha (Steel EPC)</t>
        </is>
      </c>
      <c r="B80" s="138" t="inlineStr">
        <is>
          <t>CLIENT ALPHA STEEL STRUCTURE CORPORATION</t>
        </is>
      </c>
      <c r="C80" s="138" t="inlineStr">
        <is>
          <t>AR-00075</t>
        </is>
      </c>
      <c r="D80" s="138" t="inlineStr">
        <is>
          <t>70000075</t>
        </is>
      </c>
      <c r="E80" s="141">
        <v>46289.0</v>
      </c>
      <c r="F80" s="141">
        <v>46364.0</v>
      </c>
      <c r="G80" s="142">
        <v>37392839</v>
      </c>
      <c r="H80" s="142">
        <v>0</v>
      </c>
      <c r="I80" s="142">
        <v>37392839</v>
      </c>
      <c r="J80" s="138" t="inlineStr">
        <is>
          <t>Senior Sales Rep 2</t>
        </is>
      </c>
      <c r="K80" s="138" t="inlineStr">
        <is>
          <t>Trading</t>
        </is>
      </c>
      <c r="L80" s="138" t="inlineStr">
        <is>
          <t>Project 006</t>
        </is>
      </c>
      <c r="M80" s="138" t="inlineStr">
        <is>
          <t>Collection note 013</t>
        </is>
      </c>
      <c r="N80" s="143"/>
      <c r="O80" s="143"/>
      <c r="P80" s="144"/>
      <c r="Q80" s="138">
        <f>IF(ISNUMBER(F80),Dashboard!$D$2-F80,"")</f>
        <v>-64.0</v>
      </c>
      <c r="R80" s="138">
        <f>IF(AND(OR(Dashboard!$P$1="All",A80=Dashboard!$P$1),OR(Dashboard!$P$2="All",J80=Dashboard!$P$2)),1,0)</f>
        <v>1</v>
      </c>
      <c r="S80" s="138">
        <f>I80*R80</f>
        <v>37392839</v>
      </c>
      <c r="T80" s="138">
        <f>IF(AND(ISNUMBER(Q80),Q80&gt;0),S80,0)</f>
        <v>0</v>
      </c>
      <c r="U80" s="138">
        <f>IF(OR(Dashboard!$P$3="All",AND(Dashboard!$P$3="Not due",Q80&lt;0),AND(Dashboard!$P$3="Due in 10 days",Q80&gt;=-10,Q80&lt;=0),AND(Dashboard!$P$3="Due in 30 days",Q80&gt;=-30,Q80&lt;=0),AND(Dashboard!$P$3="Overdue 1–60 days",Q80&gt;0,Q80&lt;=60),AND(Dashboard!$P$3="Over 60 days",Q80&gt;60),AND(Dashboard!$P$3="All overdue",Q80&gt;0)),1,0)</f>
        <v>1</v>
      </c>
      <c r="V80" s="138">
        <f>S80*U80</f>
        <v>37392839</v>
      </c>
      <c r="W80" s="138">
        <f>IF(Q80&gt;0,T80*Q80,0)</f>
        <v>0</v>
      </c>
      <c r="X80" s="138">
        <f>IF(V80&gt;0,COUNTIF($V$6:V80,"&gt;0"),"")</f>
        <v>75</v>
      </c>
      <c r="Y80" s="154" t="str">
        <f>C80&amp;"|"&amp;D80</f>
        <v>AR-00075|70000075</v>
      </c>
      <c r="Z80" s="138"/>
      <c r="AA80" s="154" t="inlineStr">
        <is>
          <t>["Demo Company 010", "AR-00075", "70000075", "2026-09-24"]</t>
        </is>
      </c>
      <c r="AB80" s="138"/>
      <c r="AC80" s="138"/>
      <c r="AD80" s="138"/>
      <c r="AE80" s="138"/>
      <c r="AF80" s="138"/>
      <c r="AG80" s="138"/>
      <c r="AH80" s="138"/>
      <c r="AI80" s="138"/>
      <c r="AJ80" s="138"/>
      <c r="AK80" s="138"/>
      <c r="AL80" s="138"/>
      <c r="AM80" s="138"/>
      <c r="AN80" s="138"/>
      <c r="AO80" s="138"/>
    </row>
    <row r="81" spans="1:41">
      <c r="A81" s="138" t="inlineStr">
        <is>
          <t>Client Alpha (Steel EPC)</t>
        </is>
      </c>
      <c r="B81" s="138" t="inlineStr">
        <is>
          <t>CLIENT ALPHA STEEL STRUCTURE CORPORATION</t>
        </is>
      </c>
      <c r="C81" s="138" t="inlineStr">
        <is>
          <t>AR-00076</t>
        </is>
      </c>
      <c r="D81" s="138" t="inlineStr">
        <is>
          <t>70000076</t>
        </is>
      </c>
      <c r="E81" s="141">
        <v>46289.0</v>
      </c>
      <c r="F81" s="141">
        <v>46364.0</v>
      </c>
      <c r="G81" s="142">
        <v>2613764</v>
      </c>
      <c r="H81" s="142">
        <v>0</v>
      </c>
      <c r="I81" s="142">
        <v>2613764</v>
      </c>
      <c r="J81" s="138" t="inlineStr">
        <is>
          <t>Senior Sales Rep 2</t>
        </is>
      </c>
      <c r="K81" s="138" t="inlineStr">
        <is>
          <t>Trading</t>
        </is>
      </c>
      <c r="L81" s="138" t="inlineStr">
        <is>
          <t>Project 007</t>
        </is>
      </c>
      <c r="M81" s="138" t="inlineStr">
        <is>
          <t>Collection note 013</t>
        </is>
      </c>
      <c r="N81" s="143"/>
      <c r="O81" s="143"/>
      <c r="P81" s="144"/>
      <c r="Q81" s="138">
        <f>IF(ISNUMBER(F81),Dashboard!$D$2-F81,"")</f>
        <v>-64.0</v>
      </c>
      <c r="R81" s="138">
        <f>IF(AND(OR(Dashboard!$P$1="All",A81=Dashboard!$P$1),OR(Dashboard!$P$2="All",J81=Dashboard!$P$2)),1,0)</f>
        <v>1</v>
      </c>
      <c r="S81" s="138">
        <f>I81*R81</f>
        <v>2613764</v>
      </c>
      <c r="T81" s="138">
        <f>IF(AND(ISNUMBER(Q81),Q81&gt;0),S81,0)</f>
        <v>0</v>
      </c>
      <c r="U81" s="138">
        <f>IF(OR(Dashboard!$P$3="All",AND(Dashboard!$P$3="Not due",Q81&lt;0),AND(Dashboard!$P$3="Due in 10 days",Q81&gt;=-10,Q81&lt;=0),AND(Dashboard!$P$3="Due in 30 days",Q81&gt;=-30,Q81&lt;=0),AND(Dashboard!$P$3="Overdue 1–60 days",Q81&gt;0,Q81&lt;=60),AND(Dashboard!$P$3="Over 60 days",Q81&gt;60),AND(Dashboard!$P$3="All overdue",Q81&gt;0)),1,0)</f>
        <v>1</v>
      </c>
      <c r="V81" s="138">
        <f>S81*U81</f>
        <v>2613764</v>
      </c>
      <c r="W81" s="138">
        <f>IF(Q81&gt;0,T81*Q81,0)</f>
        <v>0</v>
      </c>
      <c r="X81" s="138">
        <f>IF(V81&gt;0,COUNTIF($V$6:V81,"&gt;0"),"")</f>
        <v>76</v>
      </c>
      <c r="Y81" s="154" t="str">
        <f>C81&amp;"|"&amp;D81</f>
        <v>AR-00076|70000076</v>
      </c>
      <c r="Z81" s="138"/>
      <c r="AA81" s="154" t="inlineStr">
        <is>
          <t>["Demo Company 010", "AR-00076", "70000076", "2026-09-24"]</t>
        </is>
      </c>
      <c r="AB81" s="138"/>
      <c r="AC81" s="138"/>
      <c r="AD81" s="138"/>
      <c r="AE81" s="138"/>
      <c r="AF81" s="138"/>
      <c r="AG81" s="138"/>
      <c r="AH81" s="138"/>
      <c r="AI81" s="138"/>
      <c r="AJ81" s="138"/>
      <c r="AK81" s="138"/>
      <c r="AL81" s="138"/>
      <c r="AM81" s="138"/>
      <c r="AN81" s="138"/>
      <c r="AO81" s="138"/>
    </row>
    <row r="82" spans="1:41">
      <c r="A82" s="138" t="inlineStr">
        <is>
          <t>Client Alpha (Steel EPC)</t>
        </is>
      </c>
      <c r="B82" s="138" t="inlineStr">
        <is>
          <t>CLIENT ALPHA STEEL STRUCTURE CORPORATION</t>
        </is>
      </c>
      <c r="C82" s="138" t="inlineStr">
        <is>
          <t>AR-00077</t>
        </is>
      </c>
      <c r="D82" s="138" t="inlineStr">
        <is>
          <t>70000077</t>
        </is>
      </c>
      <c r="E82" s="141">
        <v>46294.0</v>
      </c>
      <c r="F82" s="141">
        <v>46369.0</v>
      </c>
      <c r="G82" s="142">
        <v>120506759</v>
      </c>
      <c r="H82" s="142">
        <v>0</v>
      </c>
      <c r="I82" s="142">
        <v>120506759</v>
      </c>
      <c r="J82" s="138" t="inlineStr">
        <is>
          <t>Senior Sales Rep 1</t>
        </is>
      </c>
      <c r="K82" s="138" t="inlineStr">
        <is>
          <t>Trading</t>
        </is>
      </c>
      <c r="L82" s="138" t="inlineStr">
        <is>
          <t>Project 008</t>
        </is>
      </c>
      <c r="M82" s="138" t="inlineStr">
        <is>
          <t>Collection note 006</t>
        </is>
      </c>
      <c r="N82" s="143"/>
      <c r="O82" s="143"/>
      <c r="P82" s="144"/>
      <c r="Q82" s="138">
        <f>IF(ISNUMBER(F82),Dashboard!$D$2-F82,"")</f>
        <v>-69.0</v>
      </c>
      <c r="R82" s="138">
        <f>IF(AND(OR(Dashboard!$P$1="All",A82=Dashboard!$P$1),OR(Dashboard!$P$2="All",J82=Dashboard!$P$2)),1,0)</f>
        <v>1</v>
      </c>
      <c r="S82" s="138">
        <f>I82*R82</f>
        <v>120506759</v>
      </c>
      <c r="T82" s="138">
        <f>IF(AND(ISNUMBER(Q82),Q82&gt;0),S82,0)</f>
        <v>0</v>
      </c>
      <c r="U82" s="138">
        <f>IF(OR(Dashboard!$P$3="All",AND(Dashboard!$P$3="Not due",Q82&lt;0),AND(Dashboard!$P$3="Due in 10 days",Q82&gt;=-10,Q82&lt;=0),AND(Dashboard!$P$3="Due in 30 days",Q82&gt;=-30,Q82&lt;=0),AND(Dashboard!$P$3="Overdue 1–60 days",Q82&gt;0,Q82&lt;=60),AND(Dashboard!$P$3="Over 60 days",Q82&gt;60),AND(Dashboard!$P$3="All overdue",Q82&gt;0)),1,0)</f>
        <v>1</v>
      </c>
      <c r="V82" s="138">
        <f>S82*U82</f>
        <v>120506759</v>
      </c>
      <c r="W82" s="138">
        <f>IF(Q82&gt;0,T82*Q82,0)</f>
        <v>0</v>
      </c>
      <c r="X82" s="138">
        <f>IF(V82&gt;0,COUNTIF($V$6:V82,"&gt;0"),"")</f>
        <v>77</v>
      </c>
      <c r="Y82" s="154" t="str">
        <f>C82&amp;"|"&amp;D82</f>
        <v>AR-00077|70000077</v>
      </c>
      <c r="Z82" s="138"/>
      <c r="AA82" s="154" t="inlineStr">
        <is>
          <t>["Demo Company 010", "AR-00077", "70000077", "2026-09-29"]</t>
        </is>
      </c>
      <c r="AB82" s="138"/>
      <c r="AC82" s="138"/>
      <c r="AD82" s="138"/>
      <c r="AE82" s="138"/>
      <c r="AF82" s="138"/>
      <c r="AG82" s="138"/>
      <c r="AH82" s="138"/>
      <c r="AI82" s="138"/>
      <c r="AJ82" s="138"/>
      <c r="AK82" s="138"/>
      <c r="AL82" s="138"/>
      <c r="AM82" s="138"/>
      <c r="AN82" s="138"/>
      <c r="AO82" s="138"/>
    </row>
    <row r="83" spans="1:41">
      <c r="A83" s="138" t="inlineStr">
        <is>
          <t>Client Alpha (Steel EPC)</t>
        </is>
      </c>
      <c r="B83" s="138" t="inlineStr">
        <is>
          <t>CLIENT ALPHA STEEL STRUCTURE CORPORATION</t>
        </is>
      </c>
      <c r="C83" s="138" t="inlineStr">
        <is>
          <t>AR-00078</t>
        </is>
      </c>
      <c r="D83" s="138" t="inlineStr">
        <is>
          <t>70000078</t>
        </is>
      </c>
      <c r="E83" s="141">
        <v>46294.0</v>
      </c>
      <c r="F83" s="141">
        <v>46369.0</v>
      </c>
      <c r="G83" s="142">
        <v>120506759</v>
      </c>
      <c r="H83" s="142">
        <v>0</v>
      </c>
      <c r="I83" s="142">
        <v>120506759</v>
      </c>
      <c r="J83" s="138" t="inlineStr">
        <is>
          <t>Senior Sales Rep 1</t>
        </is>
      </c>
      <c r="K83" s="138" t="inlineStr">
        <is>
          <t>Trading</t>
        </is>
      </c>
      <c r="L83" s="138" t="inlineStr">
        <is>
          <t>Project 002</t>
        </is>
      </c>
      <c r="M83" s="138" t="inlineStr">
        <is>
          <t>Collection note 006</t>
        </is>
      </c>
      <c r="N83" s="143"/>
      <c r="O83" s="143"/>
      <c r="P83" s="144"/>
      <c r="Q83" s="138">
        <f>IF(ISNUMBER(F83),Dashboard!$D$2-F83,"")</f>
        <v>-69.0</v>
      </c>
      <c r="R83" s="138">
        <f>IF(AND(OR(Dashboard!$P$1="All",A83=Dashboard!$P$1),OR(Dashboard!$P$2="All",J83=Dashboard!$P$2)),1,0)</f>
        <v>1</v>
      </c>
      <c r="S83" s="138">
        <f>I83*R83</f>
        <v>120506759</v>
      </c>
      <c r="T83" s="138">
        <f>IF(AND(ISNUMBER(Q83),Q83&gt;0),S83,0)</f>
        <v>0</v>
      </c>
      <c r="U83" s="138">
        <f>IF(OR(Dashboard!$P$3="All",AND(Dashboard!$P$3="Not due",Q83&lt;0),AND(Dashboard!$P$3="Due in 10 days",Q83&gt;=-10,Q83&lt;=0),AND(Dashboard!$P$3="Due in 30 days",Q83&gt;=-30,Q83&lt;=0),AND(Dashboard!$P$3="Overdue 1–60 days",Q83&gt;0,Q83&lt;=60),AND(Dashboard!$P$3="Over 60 days",Q83&gt;60),AND(Dashboard!$P$3="All overdue",Q83&gt;0)),1,0)</f>
        <v>1</v>
      </c>
      <c r="V83" s="138">
        <f>S83*U83</f>
        <v>120506759</v>
      </c>
      <c r="W83" s="138">
        <f>IF(Q83&gt;0,T83*Q83,0)</f>
        <v>0</v>
      </c>
      <c r="X83" s="138">
        <f>IF(V83&gt;0,COUNTIF($V$6:V83,"&gt;0"),"")</f>
        <v>78</v>
      </c>
      <c r="Y83" s="154" t="str">
        <f>C83&amp;"|"&amp;D83</f>
        <v>AR-00078|70000078</v>
      </c>
      <c r="Z83" s="138"/>
      <c r="AA83" s="154" t="inlineStr">
        <is>
          <t>["Demo Company 010", "AR-00078", "70000078", "2026-09-29"]</t>
        </is>
      </c>
      <c r="AB83" s="138"/>
      <c r="AC83" s="138"/>
      <c r="AD83" s="138"/>
      <c r="AE83" s="138"/>
      <c r="AF83" s="138"/>
      <c r="AG83" s="138"/>
      <c r="AH83" s="138"/>
      <c r="AI83" s="138"/>
      <c r="AJ83" s="138"/>
      <c r="AK83" s="138"/>
      <c r="AL83" s="138"/>
      <c r="AM83" s="138"/>
      <c r="AN83" s="138"/>
      <c r="AO83" s="138"/>
    </row>
    <row r="84" spans="1:41">
      <c r="A84" s="138" t="inlineStr">
        <is>
          <t>Client Alpha (Steel EPC)</t>
        </is>
      </c>
      <c r="B84" s="138" t="inlineStr">
        <is>
          <t>CLIENT ALPHA STEEL STRUCTURE CORPORATION</t>
        </is>
      </c>
      <c r="C84" s="138" t="inlineStr">
        <is>
          <t>AR-00079</t>
        </is>
      </c>
      <c r="D84" s="138" t="inlineStr">
        <is>
          <t>70000079</t>
        </is>
      </c>
      <c r="E84" s="141">
        <v>46294.0</v>
      </c>
      <c r="F84" s="141">
        <v>46369.0</v>
      </c>
      <c r="G84" s="142">
        <v>30367332</v>
      </c>
      <c r="H84" s="142">
        <v>0</v>
      </c>
      <c r="I84" s="142">
        <v>30367332</v>
      </c>
      <c r="J84" s="138" t="inlineStr">
        <is>
          <t>Senior Sales Rep 1</t>
        </is>
      </c>
      <c r="K84" s="138" t="inlineStr">
        <is>
          <t>Trading</t>
        </is>
      </c>
      <c r="L84" s="138" t="inlineStr">
        <is>
          <t>Project 003</t>
        </is>
      </c>
      <c r="M84" s="138" t="inlineStr">
        <is>
          <t>Collection note 009</t>
        </is>
      </c>
      <c r="N84" s="143"/>
      <c r="O84" s="143"/>
      <c r="P84" s="144"/>
      <c r="Q84" s="138">
        <f>IF(ISNUMBER(F84),Dashboard!$D$2-F84,"")</f>
        <v>-69.0</v>
      </c>
      <c r="R84" s="138">
        <f>IF(AND(OR(Dashboard!$P$1="All",A84=Dashboard!$P$1),OR(Dashboard!$P$2="All",J84=Dashboard!$P$2)),1,0)</f>
        <v>1</v>
      </c>
      <c r="S84" s="138">
        <f>I84*R84</f>
        <v>30367332</v>
      </c>
      <c r="T84" s="138">
        <f>IF(AND(ISNUMBER(Q84),Q84&gt;0),S84,0)</f>
        <v>0</v>
      </c>
      <c r="U84" s="138">
        <f>IF(OR(Dashboard!$P$3="All",AND(Dashboard!$P$3="Not due",Q84&lt;0),AND(Dashboard!$P$3="Due in 10 days",Q84&gt;=-10,Q84&lt;=0),AND(Dashboard!$P$3="Due in 30 days",Q84&gt;=-30,Q84&lt;=0),AND(Dashboard!$P$3="Overdue 1–60 days",Q84&gt;0,Q84&lt;=60),AND(Dashboard!$P$3="Over 60 days",Q84&gt;60),AND(Dashboard!$P$3="All overdue",Q84&gt;0)),1,0)</f>
        <v>1</v>
      </c>
      <c r="V84" s="138">
        <f>S84*U84</f>
        <v>30367332</v>
      </c>
      <c r="W84" s="138">
        <f>IF(Q84&gt;0,T84*Q84,0)</f>
        <v>0</v>
      </c>
      <c r="X84" s="138">
        <f>IF(V84&gt;0,COUNTIF($V$6:V84,"&gt;0"),"")</f>
        <v>79</v>
      </c>
      <c r="Y84" s="154" t="str">
        <f>C84&amp;"|"&amp;D84</f>
        <v>AR-00079|70000079</v>
      </c>
      <c r="Z84" s="138"/>
      <c r="AA84" s="154" t="inlineStr">
        <is>
          <t>["Demo Company 010", "AR-00079", "70000079", "2026-09-29"]</t>
        </is>
      </c>
      <c r="AB84" s="138"/>
      <c r="AC84" s="138"/>
      <c r="AD84" s="138"/>
      <c r="AE84" s="138"/>
      <c r="AF84" s="138"/>
      <c r="AG84" s="138"/>
      <c r="AH84" s="138"/>
      <c r="AI84" s="138"/>
      <c r="AJ84" s="138"/>
      <c r="AK84" s="138"/>
      <c r="AL84" s="138"/>
      <c r="AM84" s="138"/>
      <c r="AN84" s="138"/>
      <c r="AO84" s="138"/>
    </row>
    <row r="85" spans="1:41">
      <c r="A85" s="138" t="inlineStr">
        <is>
          <t>Client Alpha (Steel EPC)</t>
        </is>
      </c>
      <c r="B85" s="138" t="inlineStr">
        <is>
          <t>CLIENT ALPHA STEEL STRUCTURE CORPORATION</t>
        </is>
      </c>
      <c r="C85" s="138" t="inlineStr">
        <is>
          <t>AR-00080</t>
        </is>
      </c>
      <c r="D85" s="138" t="inlineStr">
        <is>
          <t>70000080</t>
        </is>
      </c>
      <c r="E85" s="141">
        <v>46294.0</v>
      </c>
      <c r="F85" s="141">
        <v>46369.0</v>
      </c>
      <c r="G85" s="142">
        <v>1424478</v>
      </c>
      <c r="H85" s="142">
        <v>0</v>
      </c>
      <c r="I85" s="142">
        <v>1424478</v>
      </c>
      <c r="J85" s="138" t="inlineStr">
        <is>
          <t>Senior Sales Rep 1</t>
        </is>
      </c>
      <c r="K85" s="138" t="inlineStr">
        <is>
          <t>Trading</t>
        </is>
      </c>
      <c r="L85" s="138" t="inlineStr">
        <is>
          <t>Project 004</t>
        </is>
      </c>
      <c r="M85" s="138" t="inlineStr">
        <is>
          <t>Collection note 009</t>
        </is>
      </c>
      <c r="N85" s="143"/>
      <c r="O85" s="143"/>
      <c r="P85" s="144"/>
      <c r="Q85" s="138">
        <f>IF(ISNUMBER(F85),Dashboard!$D$2-F85,"")</f>
        <v>-69.0</v>
      </c>
      <c r="R85" s="138">
        <f>IF(AND(OR(Dashboard!$P$1="All",A85=Dashboard!$P$1),OR(Dashboard!$P$2="All",J85=Dashboard!$P$2)),1,0)</f>
        <v>1</v>
      </c>
      <c r="S85" s="138">
        <f>I85*R85</f>
        <v>1424478</v>
      </c>
      <c r="T85" s="138">
        <f>IF(AND(ISNUMBER(Q85),Q85&gt;0),S85,0)</f>
        <v>0</v>
      </c>
      <c r="U85" s="138">
        <f>IF(OR(Dashboard!$P$3="All",AND(Dashboard!$P$3="Not due",Q85&lt;0),AND(Dashboard!$P$3="Due in 10 days",Q85&gt;=-10,Q85&lt;=0),AND(Dashboard!$P$3="Due in 30 days",Q85&gt;=-30,Q85&lt;=0),AND(Dashboard!$P$3="Overdue 1–60 days",Q85&gt;0,Q85&lt;=60),AND(Dashboard!$P$3="Over 60 days",Q85&gt;60),AND(Dashboard!$P$3="All overdue",Q85&gt;0)),1,0)</f>
        <v>1</v>
      </c>
      <c r="V85" s="138">
        <f>S85*U85</f>
        <v>1424478</v>
      </c>
      <c r="W85" s="138">
        <f>IF(Q85&gt;0,T85*Q85,0)</f>
        <v>0</v>
      </c>
      <c r="X85" s="138">
        <f>IF(V85&gt;0,COUNTIF($V$6:V85,"&gt;0"),"")</f>
        <v>80</v>
      </c>
      <c r="Y85" s="154" t="str">
        <f>C85&amp;"|"&amp;D85</f>
        <v>AR-00080|70000080</v>
      </c>
      <c r="Z85" s="138"/>
      <c r="AA85" s="154" t="inlineStr">
        <is>
          <t>["Demo Company 010", "AR-00080", "70000080", "2026-09-29"]</t>
        </is>
      </c>
      <c r="AB85" s="138"/>
      <c r="AC85" s="138"/>
      <c r="AD85" s="138"/>
      <c r="AE85" s="138"/>
      <c r="AF85" s="138"/>
      <c r="AG85" s="138"/>
      <c r="AH85" s="138"/>
      <c r="AI85" s="138"/>
      <c r="AJ85" s="138"/>
      <c r="AK85" s="138"/>
      <c r="AL85" s="138"/>
      <c r="AM85" s="138"/>
      <c r="AN85" s="138"/>
      <c r="AO85" s="138"/>
    </row>
    <row r="86" spans="1:41">
      <c r="A86" s="138" t="inlineStr">
        <is>
          <t>Client Alpha (Steel EPC)</t>
        </is>
      </c>
      <c r="B86" s="138" t="inlineStr">
        <is>
          <t>CLIENT ALPHA STEEL STRUCTURE CORPORATION</t>
        </is>
      </c>
      <c r="C86" s="138" t="inlineStr">
        <is>
          <t>AR-00081</t>
        </is>
      </c>
      <c r="D86" s="138" t="inlineStr">
        <is>
          <t>70000081</t>
        </is>
      </c>
      <c r="E86" s="141">
        <v>46294.0</v>
      </c>
      <c r="F86" s="141">
        <v>46369.0</v>
      </c>
      <c r="G86" s="142">
        <v>6760671</v>
      </c>
      <c r="H86" s="142">
        <v>0</v>
      </c>
      <c r="I86" s="142">
        <v>6760671</v>
      </c>
      <c r="J86" s="138" t="inlineStr">
        <is>
          <t>Senior Sales Rep 1</t>
        </is>
      </c>
      <c r="K86" s="138" t="inlineStr">
        <is>
          <t>Trading</t>
        </is>
      </c>
      <c r="L86" s="138" t="inlineStr">
        <is>
          <t>Project 005</t>
        </is>
      </c>
      <c r="M86" s="138" t="inlineStr">
        <is>
          <t>Collection note 009</t>
        </is>
      </c>
      <c r="N86" s="143"/>
      <c r="O86" s="143"/>
      <c r="P86" s="144"/>
      <c r="Q86" s="138">
        <f>IF(ISNUMBER(F86),Dashboard!$D$2-F86,"")</f>
        <v>-69.0</v>
      </c>
      <c r="R86" s="138">
        <f>IF(AND(OR(Dashboard!$P$1="All",A86=Dashboard!$P$1),OR(Dashboard!$P$2="All",J86=Dashboard!$P$2)),1,0)</f>
        <v>1</v>
      </c>
      <c r="S86" s="138">
        <f>I86*R86</f>
        <v>6760671</v>
      </c>
      <c r="T86" s="138">
        <f>IF(AND(ISNUMBER(Q86),Q86&gt;0),S86,0)</f>
        <v>0</v>
      </c>
      <c r="U86" s="138">
        <f>IF(OR(Dashboard!$P$3="All",AND(Dashboard!$P$3="Not due",Q86&lt;0),AND(Dashboard!$P$3="Due in 10 days",Q86&gt;=-10,Q86&lt;=0),AND(Dashboard!$P$3="Due in 30 days",Q86&gt;=-30,Q86&lt;=0),AND(Dashboard!$P$3="Overdue 1–60 days",Q86&gt;0,Q86&lt;=60),AND(Dashboard!$P$3="Over 60 days",Q86&gt;60),AND(Dashboard!$P$3="All overdue",Q86&gt;0)),1,0)</f>
        <v>1</v>
      </c>
      <c r="V86" s="138">
        <f>S86*U86</f>
        <v>6760671</v>
      </c>
      <c r="W86" s="138">
        <f>IF(Q86&gt;0,T86*Q86,0)</f>
        <v>0</v>
      </c>
      <c r="X86" s="138">
        <f>IF(V86&gt;0,COUNTIF($V$6:V86,"&gt;0"),"")</f>
        <v>81</v>
      </c>
      <c r="Y86" s="154" t="str">
        <f>C86&amp;"|"&amp;D86</f>
        <v>AR-00081|70000081</v>
      </c>
      <c r="Z86" s="138"/>
      <c r="AA86" s="154" t="inlineStr">
        <is>
          <t>["Demo Company 010", "AR-00081", "70000081", "2026-09-29"]</t>
        </is>
      </c>
      <c r="AB86" s="138"/>
      <c r="AC86" s="138"/>
      <c r="AD86" s="138"/>
      <c r="AE86" s="138"/>
      <c r="AF86" s="138"/>
      <c r="AG86" s="138"/>
      <c r="AH86" s="138"/>
      <c r="AI86" s="138"/>
      <c r="AJ86" s="138"/>
      <c r="AK86" s="138"/>
      <c r="AL86" s="138"/>
      <c r="AM86" s="138"/>
      <c r="AN86" s="138"/>
      <c r="AO86" s="138"/>
    </row>
    <row r="87" spans="1:41">
      <c r="A87" s="138" t="inlineStr">
        <is>
          <t>Client Alpha (Steel EPC)</t>
        </is>
      </c>
      <c r="B87" s="138" t="inlineStr">
        <is>
          <t>CLIENT ALPHA STEEL STRUCTURE CORPORATION</t>
        </is>
      </c>
      <c r="C87" s="138" t="inlineStr">
        <is>
          <t>AR-00082</t>
        </is>
      </c>
      <c r="D87" s="138" t="inlineStr">
        <is>
          <t>70000082</t>
        </is>
      </c>
      <c r="E87" s="141">
        <v>46294.0</v>
      </c>
      <c r="F87" s="141">
        <v>46369.0</v>
      </c>
      <c r="G87" s="142">
        <v>3898279793</v>
      </c>
      <c r="H87" s="142">
        <v>0</v>
      </c>
      <c r="I87" s="142">
        <v>3898279793</v>
      </c>
      <c r="J87" s="138" t="inlineStr">
        <is>
          <t>Senior Sales Rep 2</t>
        </is>
      </c>
      <c r="K87" s="138" t="inlineStr">
        <is>
          <t>Trading</t>
        </is>
      </c>
      <c r="L87" s="138" t="inlineStr">
        <is>
          <t>Project 006</t>
        </is>
      </c>
      <c r="M87" s="138" t="inlineStr">
        <is>
          <t>Collection note 013</t>
        </is>
      </c>
      <c r="N87" s="143"/>
      <c r="O87" s="143"/>
      <c r="P87" s="144"/>
      <c r="Q87" s="138">
        <f>IF(ISNUMBER(F87),Dashboard!$D$2-F87,"")</f>
        <v>-69.0</v>
      </c>
      <c r="R87" s="138">
        <f>IF(AND(OR(Dashboard!$P$1="All",A87=Dashboard!$P$1),OR(Dashboard!$P$2="All",J87=Dashboard!$P$2)),1,0)</f>
        <v>1</v>
      </c>
      <c r="S87" s="138">
        <f>I87*R87</f>
        <v>3898279793</v>
      </c>
      <c r="T87" s="138">
        <f>IF(AND(ISNUMBER(Q87),Q87&gt;0),S87,0)</f>
        <v>0</v>
      </c>
      <c r="U87" s="138">
        <f>IF(OR(Dashboard!$P$3="All",AND(Dashboard!$P$3="Not due",Q87&lt;0),AND(Dashboard!$P$3="Due in 10 days",Q87&gt;=-10,Q87&lt;=0),AND(Dashboard!$P$3="Due in 30 days",Q87&gt;=-30,Q87&lt;=0),AND(Dashboard!$P$3="Overdue 1–60 days",Q87&gt;0,Q87&lt;=60),AND(Dashboard!$P$3="Over 60 days",Q87&gt;60),AND(Dashboard!$P$3="All overdue",Q87&gt;0)),1,0)</f>
        <v>1</v>
      </c>
      <c r="V87" s="138">
        <f>S87*U87</f>
        <v>3898279793</v>
      </c>
      <c r="W87" s="138">
        <f>IF(Q87&gt;0,T87*Q87,0)</f>
        <v>0</v>
      </c>
      <c r="X87" s="138">
        <f>IF(V87&gt;0,COUNTIF($V$6:V87,"&gt;0"),"")</f>
        <v>82</v>
      </c>
      <c r="Y87" s="154" t="str">
        <f>C87&amp;"|"&amp;D87</f>
        <v>AR-00082|70000082</v>
      </c>
      <c r="Z87" s="138"/>
      <c r="AA87" s="154" t="inlineStr">
        <is>
          <t>["Demo Company 010", "AR-00082", "70000082", "2026-09-29"]</t>
        </is>
      </c>
      <c r="AB87" s="138"/>
      <c r="AC87" s="138"/>
      <c r="AD87" s="138"/>
      <c r="AE87" s="138"/>
      <c r="AF87" s="138"/>
      <c r="AG87" s="138"/>
      <c r="AH87" s="138"/>
      <c r="AI87" s="138"/>
      <c r="AJ87" s="138"/>
      <c r="AK87" s="138"/>
      <c r="AL87" s="138"/>
      <c r="AM87" s="138"/>
      <c r="AN87" s="138"/>
      <c r="AO87" s="138"/>
    </row>
    <row r="88" spans="1:41">
      <c r="A88" s="138" t="inlineStr">
        <is>
          <t>Client Alpha (Steel EPC)</t>
        </is>
      </c>
      <c r="B88" s="138" t="inlineStr">
        <is>
          <t>CLIENT ALPHA STEEL STRUCTURE CORPORATION</t>
        </is>
      </c>
      <c r="C88" s="138" t="inlineStr">
        <is>
          <t>AR-00083</t>
        </is>
      </c>
      <c r="D88" s="138" t="inlineStr">
        <is>
          <t>70000083</t>
        </is>
      </c>
      <c r="E88" s="141">
        <v>46298.0</v>
      </c>
      <c r="F88" s="141">
        <v>46373.0</v>
      </c>
      <c r="G88" s="142">
        <v>186429624</v>
      </c>
      <c r="H88" s="142">
        <v>0</v>
      </c>
      <c r="I88" s="142">
        <v>186429624</v>
      </c>
      <c r="J88" s="138" t="inlineStr">
        <is>
          <t>Senior Sales Rep 1</t>
        </is>
      </c>
      <c r="K88" s="138" t="inlineStr">
        <is>
          <t>Trading</t>
        </is>
      </c>
      <c r="L88" s="138" t="inlineStr">
        <is>
          <t>Project 007</t>
        </is>
      </c>
      <c r="M88" s="138" t="inlineStr">
        <is>
          <t>Collection note 018</t>
        </is>
      </c>
      <c r="N88" s="143"/>
      <c r="O88" s="143"/>
      <c r="P88" s="144"/>
      <c r="Q88" s="138">
        <f>IF(ISNUMBER(F88),Dashboard!$D$2-F88,"")</f>
        <v>-73.0</v>
      </c>
      <c r="R88" s="138">
        <f>IF(AND(OR(Dashboard!$P$1="All",A88=Dashboard!$P$1),OR(Dashboard!$P$2="All",J88=Dashboard!$P$2)),1,0)</f>
        <v>1</v>
      </c>
      <c r="S88" s="138">
        <f>I88*R88</f>
        <v>186429624</v>
      </c>
      <c r="T88" s="138">
        <f>IF(AND(ISNUMBER(Q88),Q88&gt;0),S88,0)</f>
        <v>0</v>
      </c>
      <c r="U88" s="138">
        <f>IF(OR(Dashboard!$P$3="All",AND(Dashboard!$P$3="Not due",Q88&lt;0),AND(Dashboard!$P$3="Due in 10 days",Q88&gt;=-10,Q88&lt;=0),AND(Dashboard!$P$3="Due in 30 days",Q88&gt;=-30,Q88&lt;=0),AND(Dashboard!$P$3="Overdue 1–60 days",Q88&gt;0,Q88&lt;=60),AND(Dashboard!$P$3="Over 60 days",Q88&gt;60),AND(Dashboard!$P$3="All overdue",Q88&gt;0)),1,0)</f>
        <v>1</v>
      </c>
      <c r="V88" s="138">
        <f>S88*U88</f>
        <v>186429624</v>
      </c>
      <c r="W88" s="138">
        <f>IF(Q88&gt;0,T88*Q88,0)</f>
        <v>0</v>
      </c>
      <c r="X88" s="138">
        <f>IF(V88&gt;0,COUNTIF($V$6:V88,"&gt;0"),"")</f>
        <v>83</v>
      </c>
      <c r="Y88" s="154" t="str">
        <f>C88&amp;"|"&amp;D88</f>
        <v>AR-00083|70000083</v>
      </c>
      <c r="Z88" s="138"/>
      <c r="AA88" s="154" t="inlineStr">
        <is>
          <t>["Demo Company 010", "AR-00083", "70000083", "2026-10-03"]</t>
        </is>
      </c>
      <c r="AB88" s="138"/>
      <c r="AC88" s="138"/>
      <c r="AD88" s="138"/>
      <c r="AE88" s="138"/>
      <c r="AF88" s="138"/>
      <c r="AG88" s="138"/>
      <c r="AH88" s="138"/>
      <c r="AI88" s="138"/>
      <c r="AJ88" s="138"/>
      <c r="AK88" s="138"/>
      <c r="AL88" s="138"/>
      <c r="AM88" s="138"/>
      <c r="AN88" s="138"/>
      <c r="AO88" s="138"/>
    </row>
    <row r="89" spans="1:41">
      <c r="A89" s="138" t="inlineStr">
        <is>
          <t>Client Alpha (Steel EPC)</t>
        </is>
      </c>
      <c r="B89" s="138" t="inlineStr">
        <is>
          <t>CLIENT ALPHA STEEL STRUCTURE CORPORATION</t>
        </is>
      </c>
      <c r="C89" s="138" t="inlineStr">
        <is>
          <t>AR-00084</t>
        </is>
      </c>
      <c r="D89" s="138" t="inlineStr">
        <is>
          <t>70000084</t>
        </is>
      </c>
      <c r="E89" s="141">
        <v>46298.0</v>
      </c>
      <c r="F89" s="141">
        <v>46373.0</v>
      </c>
      <c r="G89" s="142">
        <v>25726646</v>
      </c>
      <c r="H89" s="142">
        <v>0</v>
      </c>
      <c r="I89" s="142">
        <v>25726646</v>
      </c>
      <c r="J89" s="138" t="inlineStr">
        <is>
          <t>Senior Sales Rep 1</t>
        </is>
      </c>
      <c r="K89" s="138" t="inlineStr">
        <is>
          <t>Trading</t>
        </is>
      </c>
      <c r="L89" s="138" t="inlineStr">
        <is>
          <t>Project 008</t>
        </is>
      </c>
      <c r="M89" s="138" t="inlineStr">
        <is>
          <t>Collection note 019</t>
        </is>
      </c>
      <c r="N89" s="143"/>
      <c r="O89" s="143"/>
      <c r="P89" s="144"/>
      <c r="Q89" s="138">
        <f>IF(ISNUMBER(F89),Dashboard!$D$2-F89,"")</f>
        <v>-73.0</v>
      </c>
      <c r="R89" s="138">
        <f>IF(AND(OR(Dashboard!$P$1="All",A89=Dashboard!$P$1),OR(Dashboard!$P$2="All",J89=Dashboard!$P$2)),1,0)</f>
        <v>1</v>
      </c>
      <c r="S89" s="138">
        <f>I89*R89</f>
        <v>25726646</v>
      </c>
      <c r="T89" s="138">
        <f>IF(AND(ISNUMBER(Q89),Q89&gt;0),S89,0)</f>
        <v>0</v>
      </c>
      <c r="U89" s="138">
        <f>IF(OR(Dashboard!$P$3="All",AND(Dashboard!$P$3="Not due",Q89&lt;0),AND(Dashboard!$P$3="Due in 10 days",Q89&gt;=-10,Q89&lt;=0),AND(Dashboard!$P$3="Due in 30 days",Q89&gt;=-30,Q89&lt;=0),AND(Dashboard!$P$3="Overdue 1–60 days",Q89&gt;0,Q89&lt;=60),AND(Dashboard!$P$3="Over 60 days",Q89&gt;60),AND(Dashboard!$P$3="All overdue",Q89&gt;0)),1,0)</f>
        <v>1</v>
      </c>
      <c r="V89" s="138">
        <f>S89*U89</f>
        <v>25726646</v>
      </c>
      <c r="W89" s="138">
        <f>IF(Q89&gt;0,T89*Q89,0)</f>
        <v>0</v>
      </c>
      <c r="X89" s="138">
        <f>IF(V89&gt;0,COUNTIF($V$6:V89,"&gt;0"),"")</f>
        <v>84</v>
      </c>
      <c r="Y89" s="154" t="str">
        <f>C89&amp;"|"&amp;D89</f>
        <v>AR-00084|70000084</v>
      </c>
      <c r="Z89" s="138"/>
      <c r="AA89" s="154" t="inlineStr">
        <is>
          <t>["Demo Company 010", "AR-00084", "70000084", "2026-10-03"]</t>
        </is>
      </c>
      <c r="AB89" s="138"/>
      <c r="AC89" s="138"/>
      <c r="AD89" s="138"/>
      <c r="AE89" s="138"/>
      <c r="AF89" s="138"/>
      <c r="AG89" s="138"/>
      <c r="AH89" s="138"/>
      <c r="AI89" s="138"/>
      <c r="AJ89" s="138"/>
      <c r="AK89" s="138"/>
      <c r="AL89" s="138"/>
      <c r="AM89" s="138"/>
      <c r="AN89" s="138"/>
      <c r="AO89" s="138"/>
    </row>
    <row r="90" spans="1:41">
      <c r="A90" s="138" t="inlineStr">
        <is>
          <t>Client Alpha (Steel EPC)</t>
        </is>
      </c>
      <c r="B90" s="138" t="inlineStr">
        <is>
          <t>CLIENT ALPHA STEEL STRUCTURE CORPORATION</t>
        </is>
      </c>
      <c r="C90" s="138" t="inlineStr">
        <is>
          <t>AR-00085</t>
        </is>
      </c>
      <c r="D90" s="138" t="inlineStr">
        <is>
          <t>70000085</t>
        </is>
      </c>
      <c r="E90" s="141">
        <v>46298.0</v>
      </c>
      <c r="F90" s="141">
        <v>46373.0</v>
      </c>
      <c r="G90" s="142">
        <v>6021196</v>
      </c>
      <c r="H90" s="142">
        <v>0</v>
      </c>
      <c r="I90" s="142">
        <v>6021196</v>
      </c>
      <c r="J90" s="138" t="inlineStr">
        <is>
          <t>Senior Sales Rep 1</t>
        </is>
      </c>
      <c r="K90" s="138" t="inlineStr">
        <is>
          <t>Trading</t>
        </is>
      </c>
      <c r="L90" s="138" t="inlineStr">
        <is>
          <t>Project 002</t>
        </is>
      </c>
      <c r="M90" s="138" t="inlineStr">
        <is>
          <t>Collection note 018</t>
        </is>
      </c>
      <c r="N90" s="143"/>
      <c r="O90" s="143"/>
      <c r="P90" s="144"/>
      <c r="Q90" s="138">
        <f>IF(ISNUMBER(F90),Dashboard!$D$2-F90,"")</f>
        <v>-73.0</v>
      </c>
      <c r="R90" s="138">
        <f>IF(AND(OR(Dashboard!$P$1="All",A90=Dashboard!$P$1),OR(Dashboard!$P$2="All",J90=Dashboard!$P$2)),1,0)</f>
        <v>1</v>
      </c>
      <c r="S90" s="138">
        <f>I90*R90</f>
        <v>6021196</v>
      </c>
      <c r="T90" s="138">
        <f>IF(AND(ISNUMBER(Q90),Q90&gt;0),S90,0)</f>
        <v>0</v>
      </c>
      <c r="U90" s="138">
        <f>IF(OR(Dashboard!$P$3="All",AND(Dashboard!$P$3="Not due",Q90&lt;0),AND(Dashboard!$P$3="Due in 10 days",Q90&gt;=-10,Q90&lt;=0),AND(Dashboard!$P$3="Due in 30 days",Q90&gt;=-30,Q90&lt;=0),AND(Dashboard!$P$3="Overdue 1–60 days",Q90&gt;0,Q90&lt;=60),AND(Dashboard!$P$3="Over 60 days",Q90&gt;60),AND(Dashboard!$P$3="All overdue",Q90&gt;0)),1,0)</f>
        <v>1</v>
      </c>
      <c r="V90" s="138">
        <f>S90*U90</f>
        <v>6021196</v>
      </c>
      <c r="W90" s="138">
        <f>IF(Q90&gt;0,T90*Q90,0)</f>
        <v>0</v>
      </c>
      <c r="X90" s="138">
        <f>IF(V90&gt;0,COUNTIF($V$6:V90,"&gt;0"),"")</f>
        <v>85</v>
      </c>
      <c r="Y90" s="154" t="str">
        <f>C90&amp;"|"&amp;D90</f>
        <v>AR-00085|70000085</v>
      </c>
      <c r="Z90" s="138"/>
      <c r="AA90" s="154" t="inlineStr">
        <is>
          <t>["Demo Company 010", "AR-00085", "70000085", "2026-10-03"]</t>
        </is>
      </c>
      <c r="AB90" s="138"/>
      <c r="AC90" s="138"/>
      <c r="AD90" s="138"/>
      <c r="AE90" s="138"/>
      <c r="AF90" s="138"/>
      <c r="AG90" s="138"/>
      <c r="AH90" s="138"/>
      <c r="AI90" s="138"/>
      <c r="AJ90" s="138"/>
      <c r="AK90" s="138"/>
      <c r="AL90" s="138"/>
      <c r="AM90" s="138"/>
      <c r="AN90" s="138"/>
      <c r="AO90" s="138"/>
    </row>
    <row r="91" spans="1:41">
      <c r="A91" s="138" t="inlineStr">
        <is>
          <t>Client Alpha (Steel EPC)</t>
        </is>
      </c>
      <c r="B91" s="138" t="inlineStr">
        <is>
          <t>CLIENT ALPHA STEEL STRUCTURE CORPORATION</t>
        </is>
      </c>
      <c r="C91" s="138" t="inlineStr">
        <is>
          <t>AR-00086</t>
        </is>
      </c>
      <c r="D91" s="138" t="inlineStr">
        <is>
          <t>70000086</t>
        </is>
      </c>
      <c r="E91" s="141">
        <v>46298.0</v>
      </c>
      <c r="F91" s="141">
        <v>46373.0</v>
      </c>
      <c r="G91" s="142">
        <v>38976130</v>
      </c>
      <c r="H91" s="142">
        <v>0</v>
      </c>
      <c r="I91" s="142">
        <v>38976130</v>
      </c>
      <c r="J91" s="138" t="inlineStr">
        <is>
          <t>Senior Sales Rep 1</t>
        </is>
      </c>
      <c r="K91" s="138" t="inlineStr">
        <is>
          <t>Trading</t>
        </is>
      </c>
      <c r="L91" s="138" t="inlineStr">
        <is>
          <t>Project 003</t>
        </is>
      </c>
      <c r="M91" s="138" t="inlineStr">
        <is>
          <t>Collection note 018</t>
        </is>
      </c>
      <c r="N91" s="143"/>
      <c r="O91" s="143"/>
      <c r="P91" s="144"/>
      <c r="Q91" s="138">
        <f>IF(ISNUMBER(F91),Dashboard!$D$2-F91,"")</f>
        <v>-73.0</v>
      </c>
      <c r="R91" s="138">
        <f>IF(AND(OR(Dashboard!$P$1="All",A91=Dashboard!$P$1),OR(Dashboard!$P$2="All",J91=Dashboard!$P$2)),1,0)</f>
        <v>1</v>
      </c>
      <c r="S91" s="138">
        <f>I91*R91</f>
        <v>38976130</v>
      </c>
      <c r="T91" s="138">
        <f>IF(AND(ISNUMBER(Q91),Q91&gt;0),S91,0)</f>
        <v>0</v>
      </c>
      <c r="U91" s="138">
        <f>IF(OR(Dashboard!$P$3="All",AND(Dashboard!$P$3="Not due",Q91&lt;0),AND(Dashboard!$P$3="Due in 10 days",Q91&gt;=-10,Q91&lt;=0),AND(Dashboard!$P$3="Due in 30 days",Q91&gt;=-30,Q91&lt;=0),AND(Dashboard!$P$3="Overdue 1–60 days",Q91&gt;0,Q91&lt;=60),AND(Dashboard!$P$3="Over 60 days",Q91&gt;60),AND(Dashboard!$P$3="All overdue",Q91&gt;0)),1,0)</f>
        <v>1</v>
      </c>
      <c r="V91" s="138">
        <f>S91*U91</f>
        <v>38976130</v>
      </c>
      <c r="W91" s="138">
        <f>IF(Q91&gt;0,T91*Q91,0)</f>
        <v>0</v>
      </c>
      <c r="X91" s="138">
        <f>IF(V91&gt;0,COUNTIF($V$6:V91,"&gt;0"),"")</f>
        <v>86</v>
      </c>
      <c r="Y91" s="154" t="str">
        <f>C91&amp;"|"&amp;D91</f>
        <v>AR-00086|70000086</v>
      </c>
      <c r="Z91" s="138"/>
      <c r="AA91" s="154" t="inlineStr">
        <is>
          <t>["Demo Company 010", "AR-00086", "70000086", "2026-10-03"]</t>
        </is>
      </c>
      <c r="AB91" s="138"/>
      <c r="AC91" s="138"/>
      <c r="AD91" s="138"/>
      <c r="AE91" s="138"/>
      <c r="AF91" s="138"/>
      <c r="AG91" s="138"/>
      <c r="AH91" s="138"/>
      <c r="AI91" s="138"/>
      <c r="AJ91" s="138"/>
      <c r="AK91" s="138"/>
      <c r="AL91" s="138"/>
      <c r="AM91" s="138"/>
      <c r="AN91" s="138"/>
      <c r="AO91" s="138"/>
    </row>
    <row r="92" spans="1:41">
      <c r="A92" s="138" t="inlineStr">
        <is>
          <t>Client Alpha Sub-Contract</t>
        </is>
      </c>
      <c r="B92" s="138" t="inlineStr">
        <is>
          <t>CLIENT ALPHA REGIONAL BRANCH</t>
        </is>
      </c>
      <c r="C92" s="138" t="inlineStr">
        <is>
          <t>AR-00087</t>
        </is>
      </c>
      <c r="D92" s="138" t="inlineStr">
        <is>
          <t>70000087</t>
        </is>
      </c>
      <c r="E92" s="141">
        <v>46203.0</v>
      </c>
      <c r="F92" s="141">
        <v>46278.0</v>
      </c>
      <c r="G92" s="142">
        <v>1084632179</v>
      </c>
      <c r="H92" s="142">
        <v>0</v>
      </c>
      <c r="I92" s="142">
        <v>1084632179</v>
      </c>
      <c r="J92" s="138" t="inlineStr">
        <is>
          <t>Senior Sales Rep 2</t>
        </is>
      </c>
      <c r="K92" s="138" t="inlineStr">
        <is>
          <t>Trading</t>
        </is>
      </c>
      <c r="L92" s="138" t="inlineStr">
        <is>
          <t>Project 004</t>
        </is>
      </c>
      <c r="M92" s="138" t="inlineStr">
        <is>
          <t>Collection note 020</t>
        </is>
      </c>
      <c r="N92" s="143"/>
      <c r="O92" s="143"/>
      <c r="P92" s="144"/>
      <c r="Q92" s="138">
        <f>IF(ISNUMBER(F92),Dashboard!$D$2-F92,"")</f>
        <v>22.0</v>
      </c>
      <c r="R92" s="138">
        <f>IF(AND(OR(Dashboard!$P$1="All",A92=Dashboard!$P$1),OR(Dashboard!$P$2="All",J92=Dashboard!$P$2)),1,0)</f>
        <v>1</v>
      </c>
      <c r="S92" s="138">
        <f>I92*R92</f>
        <v>1084632179</v>
      </c>
      <c r="T92" s="138">
        <f>IF(AND(ISNUMBER(Q92),Q92&gt;0),S92,0)</f>
        <v>1084632179</v>
      </c>
      <c r="U92" s="138">
        <f>IF(OR(Dashboard!$P$3="All",AND(Dashboard!$P$3="Not due",Q92&lt;0),AND(Dashboard!$P$3="Due in 10 days",Q92&gt;=-10,Q92&lt;=0),AND(Dashboard!$P$3="Due in 30 days",Q92&gt;=-30,Q92&lt;=0),AND(Dashboard!$P$3="Overdue 1–60 days",Q92&gt;0,Q92&lt;=60),AND(Dashboard!$P$3="Over 60 days",Q92&gt;60),AND(Dashboard!$P$3="All overdue",Q92&gt;0)),1,0)</f>
        <v>1</v>
      </c>
      <c r="V92" s="138">
        <f>S92*U92</f>
        <v>1084632179</v>
      </c>
      <c r="W92" s="138">
        <f>IF(Q92&gt;0,T92*Q92,0)</f>
        <v>23861907938.0</v>
      </c>
      <c r="X92" s="138">
        <f>IF(V92&gt;0,COUNTIF($V$6:V92,"&gt;0"),"")</f>
        <v>87</v>
      </c>
      <c r="Y92" s="154" t="str">
        <f>C92&amp;"|"&amp;D92</f>
        <v>AR-00087|70000087</v>
      </c>
      <c r="Z92" s="138"/>
      <c r="AA92" s="154" t="inlineStr">
        <is>
          <t>["Demo Company 011", "AR-00087", "70000087", "2026-06-30"]</t>
        </is>
      </c>
      <c r="AB92" s="138"/>
      <c r="AC92" s="138"/>
      <c r="AD92" s="138"/>
      <c r="AE92" s="138"/>
      <c r="AF92" s="138"/>
      <c r="AG92" s="138"/>
      <c r="AH92" s="138"/>
      <c r="AI92" s="138"/>
      <c r="AJ92" s="138"/>
      <c r="AK92" s="138"/>
      <c r="AL92" s="138"/>
      <c r="AM92" s="138"/>
      <c r="AN92" s="138"/>
      <c r="AO92" s="138"/>
    </row>
    <row r="93" spans="1:41">
      <c r="A93" s="138" t="inlineStr">
        <is>
          <t>Client Alpha Sub-Contract</t>
        </is>
      </c>
      <c r="B93" s="138" t="inlineStr">
        <is>
          <t>CLIENT ALPHA REGIONAL BRANCH</t>
        </is>
      </c>
      <c r="C93" s="138" t="inlineStr">
        <is>
          <t>AR-00088</t>
        </is>
      </c>
      <c r="D93" s="138" t="inlineStr">
        <is>
          <t>70000088</t>
        </is>
      </c>
      <c r="E93" s="141">
        <v>46218.0</v>
      </c>
      <c r="F93" s="141">
        <v>46293.0</v>
      </c>
      <c r="G93" s="142">
        <v>591047821</v>
      </c>
      <c r="H93" s="142">
        <v>0</v>
      </c>
      <c r="I93" s="142">
        <v>591047821</v>
      </c>
      <c r="J93" s="138" t="inlineStr">
        <is>
          <t>Senior Sales Rep 2</t>
        </is>
      </c>
      <c r="K93" s="138" t="inlineStr">
        <is>
          <t>Trading</t>
        </is>
      </c>
      <c r="L93" s="138" t="inlineStr">
        <is>
          <t>Project 005</t>
        </is>
      </c>
      <c r="M93" s="138" t="inlineStr">
        <is>
          <t>Collection note 020</t>
        </is>
      </c>
      <c r="N93" s="143"/>
      <c r="O93" s="143"/>
      <c r="P93" s="144"/>
      <c r="Q93" s="138">
        <f>IF(ISNUMBER(F93),Dashboard!$D$2-F93,"")</f>
        <v>7.0</v>
      </c>
      <c r="R93" s="138">
        <f>IF(AND(OR(Dashboard!$P$1="All",A93=Dashboard!$P$1),OR(Dashboard!$P$2="All",J93=Dashboard!$P$2)),1,0)</f>
        <v>1</v>
      </c>
      <c r="S93" s="138">
        <f>I93*R93</f>
        <v>591047821</v>
      </c>
      <c r="T93" s="138">
        <f>IF(AND(ISNUMBER(Q93),Q93&gt;0),S93,0)</f>
        <v>591047821</v>
      </c>
      <c r="U93" s="138">
        <f>IF(OR(Dashboard!$P$3="All",AND(Dashboard!$P$3="Not due",Q93&lt;0),AND(Dashboard!$P$3="Due in 10 days",Q93&gt;=-10,Q93&lt;=0),AND(Dashboard!$P$3="Due in 30 days",Q93&gt;=-30,Q93&lt;=0),AND(Dashboard!$P$3="Overdue 1–60 days",Q93&gt;0,Q93&lt;=60),AND(Dashboard!$P$3="Over 60 days",Q93&gt;60),AND(Dashboard!$P$3="All overdue",Q93&gt;0)),1,0)</f>
        <v>1</v>
      </c>
      <c r="V93" s="138">
        <f>S93*U93</f>
        <v>591047821</v>
      </c>
      <c r="W93" s="138">
        <f>IF(Q93&gt;0,T93*Q93,0)</f>
        <v>4137334747.0</v>
      </c>
      <c r="X93" s="138">
        <f>IF(V93&gt;0,COUNTIF($V$6:V93,"&gt;0"),"")</f>
        <v>88</v>
      </c>
      <c r="Y93" s="154" t="str">
        <f>C93&amp;"|"&amp;D93</f>
        <v>AR-00088|70000088</v>
      </c>
      <c r="Z93" s="138"/>
      <c r="AA93" s="154" t="inlineStr">
        <is>
          <t>["Demo Company 011", "AR-00088", "70000088", "2026-07-15"]</t>
        </is>
      </c>
      <c r="AB93" s="138"/>
      <c r="AC93" s="138"/>
      <c r="AD93" s="138"/>
      <c r="AE93" s="138"/>
      <c r="AF93" s="138"/>
      <c r="AG93" s="138"/>
      <c r="AH93" s="138"/>
      <c r="AI93" s="138"/>
      <c r="AJ93" s="138"/>
      <c r="AK93" s="138"/>
      <c r="AL93" s="138"/>
      <c r="AM93" s="138"/>
      <c r="AN93" s="138"/>
      <c r="AO93" s="138"/>
    </row>
    <row r="94" spans="1:41">
      <c r="A94" s="138" t="inlineStr">
        <is>
          <t>Client Alpha Sub-Contract</t>
        </is>
      </c>
      <c r="B94" s="138" t="inlineStr">
        <is>
          <t>CLIENT ALPHA REGIONAL BRANCH</t>
        </is>
      </c>
      <c r="C94" s="138" t="inlineStr">
        <is>
          <t>AR-00089</t>
        </is>
      </c>
      <c r="D94" s="138" t="inlineStr">
        <is>
          <t>70000089</t>
        </is>
      </c>
      <c r="E94" s="141">
        <v>46234.0</v>
      </c>
      <c r="F94" s="141">
        <v>46309.0</v>
      </c>
      <c r="G94" s="142">
        <v>338515301</v>
      </c>
      <c r="H94" s="142">
        <v>0</v>
      </c>
      <c r="I94" s="142">
        <v>338515301</v>
      </c>
      <c r="J94" s="138" t="inlineStr">
        <is>
          <t>Senior Sales Rep 2</t>
        </is>
      </c>
      <c r="K94" s="138" t="inlineStr">
        <is>
          <t>Trading</t>
        </is>
      </c>
      <c r="L94" s="138" t="inlineStr">
        <is>
          <t>Project 006</t>
        </is>
      </c>
      <c r="M94" s="138" t="inlineStr">
        <is>
          <t>Collection note 020</t>
        </is>
      </c>
      <c r="N94" s="143"/>
      <c r="O94" s="143"/>
      <c r="P94" s="144"/>
      <c r="Q94" s="138">
        <f>IF(ISNUMBER(F94),Dashboard!$D$2-F94,"")</f>
        <v>-9.0</v>
      </c>
      <c r="R94" s="138">
        <f>IF(AND(OR(Dashboard!$P$1="All",A94=Dashboard!$P$1),OR(Dashboard!$P$2="All",J94=Dashboard!$P$2)),1,0)</f>
        <v>1</v>
      </c>
      <c r="S94" s="138">
        <f>I94*R94</f>
        <v>338515301</v>
      </c>
      <c r="T94" s="138">
        <f>IF(AND(ISNUMBER(Q94),Q94&gt;0),S94,0)</f>
        <v>0</v>
      </c>
      <c r="U94" s="138">
        <f>IF(OR(Dashboard!$P$3="All",AND(Dashboard!$P$3="Not due",Q94&lt;0),AND(Dashboard!$P$3="Due in 10 days",Q94&gt;=-10,Q94&lt;=0),AND(Dashboard!$P$3="Due in 30 days",Q94&gt;=-30,Q94&lt;=0),AND(Dashboard!$P$3="Overdue 1–60 days",Q94&gt;0,Q94&lt;=60),AND(Dashboard!$P$3="Over 60 days",Q94&gt;60),AND(Dashboard!$P$3="All overdue",Q94&gt;0)),1,0)</f>
        <v>1</v>
      </c>
      <c r="V94" s="138">
        <f>S94*U94</f>
        <v>338515301</v>
      </c>
      <c r="W94" s="138">
        <f>IF(Q94&gt;0,T94*Q94,0)</f>
        <v>0</v>
      </c>
      <c r="X94" s="138">
        <f>IF(V94&gt;0,COUNTIF($V$6:V94,"&gt;0"),"")</f>
        <v>89</v>
      </c>
      <c r="Y94" s="154" t="str">
        <f>C94&amp;"|"&amp;D94</f>
        <v>AR-00089|70000089</v>
      </c>
      <c r="Z94" s="138"/>
      <c r="AA94" s="154" t="inlineStr">
        <is>
          <t>["Demo Company 011", "AR-00089", "70000089", "2026-07-31"]</t>
        </is>
      </c>
      <c r="AB94" s="138"/>
      <c r="AC94" s="138"/>
      <c r="AD94" s="138"/>
      <c r="AE94" s="138"/>
      <c r="AF94" s="138"/>
      <c r="AG94" s="138"/>
      <c r="AH94" s="138"/>
      <c r="AI94" s="138"/>
      <c r="AJ94" s="138"/>
      <c r="AK94" s="138"/>
      <c r="AL94" s="138"/>
      <c r="AM94" s="138"/>
      <c r="AN94" s="138"/>
      <c r="AO94" s="138"/>
    </row>
    <row r="95" spans="1:41">
      <c r="A95" s="138" t="inlineStr">
        <is>
          <t>Client Alpha Sub-Contract</t>
        </is>
      </c>
      <c r="B95" s="138" t="inlineStr">
        <is>
          <t>CLIENT ALPHA REGIONAL BRANCH</t>
        </is>
      </c>
      <c r="C95" s="138" t="inlineStr">
        <is>
          <t>AR-00090</t>
        </is>
      </c>
      <c r="D95" s="138" t="inlineStr">
        <is>
          <t>70000090</t>
        </is>
      </c>
      <c r="E95" s="141">
        <v>46234.0</v>
      </c>
      <c r="F95" s="141">
        <v>46309.0</v>
      </c>
      <c r="G95" s="142">
        <v>556845133</v>
      </c>
      <c r="H95" s="142">
        <v>0</v>
      </c>
      <c r="I95" s="142">
        <v>556845133</v>
      </c>
      <c r="J95" s="138" t="inlineStr">
        <is>
          <t>Senior Sales Rep 2</t>
        </is>
      </c>
      <c r="K95" s="138" t="inlineStr">
        <is>
          <t>Trading</t>
        </is>
      </c>
      <c r="L95" s="138" t="inlineStr">
        <is>
          <t>Project 007</t>
        </is>
      </c>
      <c r="M95" s="138" t="inlineStr">
        <is>
          <t>Collection note 020</t>
        </is>
      </c>
      <c r="N95" s="143"/>
      <c r="O95" s="143"/>
      <c r="P95" s="144"/>
      <c r="Q95" s="138">
        <f>IF(ISNUMBER(F95),Dashboard!$D$2-F95,"")</f>
        <v>-9.0</v>
      </c>
      <c r="R95" s="138">
        <f>IF(AND(OR(Dashboard!$P$1="All",A95=Dashboard!$P$1),OR(Dashboard!$P$2="All",J95=Dashboard!$P$2)),1,0)</f>
        <v>1</v>
      </c>
      <c r="S95" s="138">
        <f>I95*R95</f>
        <v>556845133</v>
      </c>
      <c r="T95" s="138">
        <f>IF(AND(ISNUMBER(Q95),Q95&gt;0),S95,0)</f>
        <v>0</v>
      </c>
      <c r="U95" s="138">
        <f>IF(OR(Dashboard!$P$3="All",AND(Dashboard!$P$3="Not due",Q95&lt;0),AND(Dashboard!$P$3="Due in 10 days",Q95&gt;=-10,Q95&lt;=0),AND(Dashboard!$P$3="Due in 30 days",Q95&gt;=-30,Q95&lt;=0),AND(Dashboard!$P$3="Overdue 1–60 days",Q95&gt;0,Q95&lt;=60),AND(Dashboard!$P$3="Over 60 days",Q95&gt;60),AND(Dashboard!$P$3="All overdue",Q95&gt;0)),1,0)</f>
        <v>1</v>
      </c>
      <c r="V95" s="138">
        <f>S95*U95</f>
        <v>556845133</v>
      </c>
      <c r="W95" s="138">
        <f>IF(Q95&gt;0,T95*Q95,0)</f>
        <v>0</v>
      </c>
      <c r="X95" s="138">
        <f>IF(V95&gt;0,COUNTIF($V$6:V95,"&gt;0"),"")</f>
        <v>90</v>
      </c>
      <c r="Y95" s="154" t="str">
        <f>C95&amp;"|"&amp;D95</f>
        <v>AR-00090|70000090</v>
      </c>
      <c r="Z95" s="138"/>
      <c r="AA95" s="154" t="inlineStr">
        <is>
          <t>["Demo Company 011", "AR-00090", "70000090", "2026-07-31"]</t>
        </is>
      </c>
      <c r="AB95" s="138"/>
      <c r="AC95" s="138"/>
      <c r="AD95" s="138"/>
      <c r="AE95" s="138"/>
      <c r="AF95" s="138"/>
      <c r="AG95" s="138"/>
      <c r="AH95" s="138"/>
      <c r="AI95" s="138"/>
      <c r="AJ95" s="138"/>
      <c r="AK95" s="138"/>
      <c r="AL95" s="138"/>
      <c r="AM95" s="138"/>
      <c r="AN95" s="138"/>
      <c r="AO95" s="138"/>
    </row>
    <row r="96" spans="1:41">
      <c r="A96" s="138" t="inlineStr">
        <is>
          <t>Client Alpha Sub-Contract</t>
        </is>
      </c>
      <c r="B96" s="138" t="inlineStr">
        <is>
          <t>CLIENT ALPHA REGIONAL BRANCH</t>
        </is>
      </c>
      <c r="C96" s="138" t="inlineStr">
        <is>
          <t>AR-00091</t>
        </is>
      </c>
      <c r="D96" s="138" t="inlineStr">
        <is>
          <t>70000091</t>
        </is>
      </c>
      <c r="E96" s="141">
        <v>46282.0</v>
      </c>
      <c r="F96" s="141">
        <v>46357.0</v>
      </c>
      <c r="G96" s="142">
        <v>151128275</v>
      </c>
      <c r="H96" s="142">
        <v>0</v>
      </c>
      <c r="I96" s="142">
        <v>151128275</v>
      </c>
      <c r="J96" s="138" t="inlineStr">
        <is>
          <t>Senior Sales Rep 2</t>
        </is>
      </c>
      <c r="K96" s="138" t="inlineStr">
        <is>
          <t>Trading</t>
        </is>
      </c>
      <c r="L96" s="138" t="inlineStr">
        <is>
          <t>Project 008</t>
        </is>
      </c>
      <c r="M96" s="138" t="inlineStr">
        <is>
          <t>Collection note 020</t>
        </is>
      </c>
      <c r="N96" s="143"/>
      <c r="O96" s="143"/>
      <c r="P96" s="144"/>
      <c r="Q96" s="138">
        <f>IF(ISNUMBER(F96),Dashboard!$D$2-F96,"")</f>
        <v>-57.0</v>
      </c>
      <c r="R96" s="138">
        <f>IF(AND(OR(Dashboard!$P$1="All",A96=Dashboard!$P$1),OR(Dashboard!$P$2="All",J96=Dashboard!$P$2)),1,0)</f>
        <v>1</v>
      </c>
      <c r="S96" s="138">
        <f>I96*R96</f>
        <v>151128275</v>
      </c>
      <c r="T96" s="138">
        <f>IF(AND(ISNUMBER(Q96),Q96&gt;0),S96,0)</f>
        <v>0</v>
      </c>
      <c r="U96" s="138">
        <f>IF(OR(Dashboard!$P$3="All",AND(Dashboard!$P$3="Not due",Q96&lt;0),AND(Dashboard!$P$3="Due in 10 days",Q96&gt;=-10,Q96&lt;=0),AND(Dashboard!$P$3="Due in 30 days",Q96&gt;=-30,Q96&lt;=0),AND(Dashboard!$P$3="Overdue 1–60 days",Q96&gt;0,Q96&lt;=60),AND(Dashboard!$P$3="Over 60 days",Q96&gt;60),AND(Dashboard!$P$3="All overdue",Q96&gt;0)),1,0)</f>
        <v>1</v>
      </c>
      <c r="V96" s="138">
        <f>S96*U96</f>
        <v>151128275</v>
      </c>
      <c r="W96" s="138">
        <f>IF(Q96&gt;0,T96*Q96,0)</f>
        <v>0</v>
      </c>
      <c r="X96" s="138">
        <f>IF(V96&gt;0,COUNTIF($V$6:V96,"&gt;0"),"")</f>
        <v>91</v>
      </c>
      <c r="Y96" s="154" t="str">
        <f>C96&amp;"|"&amp;D96</f>
        <v>AR-00091|70000091</v>
      </c>
      <c r="Z96" s="138"/>
      <c r="AA96" s="154" t="inlineStr">
        <is>
          <t>["Demo Company 011", "AR-00091", "70000091", "2026-09-17"]</t>
        </is>
      </c>
      <c r="AB96" s="138"/>
      <c r="AC96" s="138"/>
      <c r="AD96" s="138"/>
      <c r="AE96" s="138"/>
      <c r="AF96" s="138"/>
      <c r="AG96" s="138"/>
      <c r="AH96" s="138"/>
      <c r="AI96" s="138"/>
      <c r="AJ96" s="138"/>
      <c r="AK96" s="138"/>
      <c r="AL96" s="138"/>
      <c r="AM96" s="138"/>
      <c r="AN96" s="138"/>
      <c r="AO96" s="138"/>
    </row>
    <row r="97" spans="1:41">
      <c r="A97" s="138" t="inlineStr">
        <is>
          <t>Client Alpha Sub-Contract</t>
        </is>
      </c>
      <c r="B97" s="138" t="inlineStr">
        <is>
          <t>CLIENT ALPHA REGIONAL BRANCH</t>
        </is>
      </c>
      <c r="C97" s="138" t="inlineStr">
        <is>
          <t>AR-00092</t>
        </is>
      </c>
      <c r="D97" s="138" t="inlineStr">
        <is>
          <t>70000092</t>
        </is>
      </c>
      <c r="E97" s="141">
        <v>46282.0</v>
      </c>
      <c r="F97" s="141">
        <v>46357.0</v>
      </c>
      <c r="G97" s="142">
        <v>130165402</v>
      </c>
      <c r="H97" s="142">
        <v>0</v>
      </c>
      <c r="I97" s="142">
        <v>130165402</v>
      </c>
      <c r="J97" s="138" t="inlineStr">
        <is>
          <t>Senior Sales Rep 2</t>
        </is>
      </c>
      <c r="K97" s="138" t="inlineStr">
        <is>
          <t>Trading</t>
        </is>
      </c>
      <c r="L97" s="138" t="inlineStr">
        <is>
          <t>Project 002</t>
        </is>
      </c>
      <c r="M97" s="138" t="inlineStr">
        <is>
          <t>Collection note 020</t>
        </is>
      </c>
      <c r="N97" s="143"/>
      <c r="O97" s="143"/>
      <c r="P97" s="144"/>
      <c r="Q97" s="138">
        <f>IF(ISNUMBER(F97),Dashboard!$D$2-F97,"")</f>
        <v>-57.0</v>
      </c>
      <c r="R97" s="138">
        <f>IF(AND(OR(Dashboard!$P$1="All",A97=Dashboard!$P$1),OR(Dashboard!$P$2="All",J97=Dashboard!$P$2)),1,0)</f>
        <v>1</v>
      </c>
      <c r="S97" s="138">
        <f>I97*R97</f>
        <v>130165402</v>
      </c>
      <c r="T97" s="138">
        <f>IF(AND(ISNUMBER(Q97),Q97&gt;0),S97,0)</f>
        <v>0</v>
      </c>
      <c r="U97" s="138">
        <f>IF(OR(Dashboard!$P$3="All",AND(Dashboard!$P$3="Not due",Q97&lt;0),AND(Dashboard!$P$3="Due in 10 days",Q97&gt;=-10,Q97&lt;=0),AND(Dashboard!$P$3="Due in 30 days",Q97&gt;=-30,Q97&lt;=0),AND(Dashboard!$P$3="Overdue 1–60 days",Q97&gt;0,Q97&lt;=60),AND(Dashboard!$P$3="Over 60 days",Q97&gt;60),AND(Dashboard!$P$3="All overdue",Q97&gt;0)),1,0)</f>
        <v>1</v>
      </c>
      <c r="V97" s="138">
        <f>S97*U97</f>
        <v>130165402</v>
      </c>
      <c r="W97" s="138">
        <f>IF(Q97&gt;0,T97*Q97,0)</f>
        <v>0</v>
      </c>
      <c r="X97" s="138">
        <f>IF(V97&gt;0,COUNTIF($V$6:V97,"&gt;0"),"")</f>
        <v>92</v>
      </c>
      <c r="Y97" s="154" t="str">
        <f>C97&amp;"|"&amp;D97</f>
        <v>AR-00092|70000092</v>
      </c>
      <c r="Z97" s="138"/>
      <c r="AA97" s="154" t="inlineStr">
        <is>
          <t>["Demo Company 011", "AR-00092", "70000092", "2026-09-17"]</t>
        </is>
      </c>
      <c r="AB97" s="138"/>
      <c r="AC97" s="138"/>
      <c r="AD97" s="138"/>
      <c r="AE97" s="138"/>
      <c r="AF97" s="138"/>
      <c r="AG97" s="138"/>
      <c r="AH97" s="138"/>
      <c r="AI97" s="138"/>
      <c r="AJ97" s="138"/>
      <c r="AK97" s="138"/>
      <c r="AL97" s="138"/>
      <c r="AM97" s="138"/>
      <c r="AN97" s="138"/>
      <c r="AO97" s="138"/>
    </row>
    <row r="98" spans="1:41">
      <c r="A98" s="138" t="inlineStr">
        <is>
          <t>Client Alpha Sub-Contract</t>
        </is>
      </c>
      <c r="B98" s="138" t="inlineStr">
        <is>
          <t>CLIENT ALPHA REGIONAL BRANCH</t>
        </is>
      </c>
      <c r="C98" s="138" t="inlineStr">
        <is>
          <t>AR-00093</t>
        </is>
      </c>
      <c r="D98" s="138" t="inlineStr">
        <is>
          <t>70000093</t>
        </is>
      </c>
      <c r="E98" s="141">
        <v>46289.0</v>
      </c>
      <c r="F98" s="141">
        <v>46364.0</v>
      </c>
      <c r="G98" s="142">
        <v>631890528</v>
      </c>
      <c r="H98" s="142">
        <v>0</v>
      </c>
      <c r="I98" s="142">
        <v>631890528</v>
      </c>
      <c r="J98" s="138" t="inlineStr">
        <is>
          <t>Senior Sales Rep 2</t>
        </is>
      </c>
      <c r="K98" s="138" t="inlineStr">
        <is>
          <t>Trading</t>
        </is>
      </c>
      <c r="L98" s="138" t="inlineStr">
        <is>
          <t>Project 003</t>
        </is>
      </c>
      <c r="M98" s="138" t="inlineStr">
        <is>
          <t>Collection note 020</t>
        </is>
      </c>
      <c r="N98" s="143"/>
      <c r="O98" s="143"/>
      <c r="P98" s="144"/>
      <c r="Q98" s="138">
        <f>IF(ISNUMBER(F98),Dashboard!$D$2-F98,"")</f>
        <v>-64.0</v>
      </c>
      <c r="R98" s="138">
        <f>IF(AND(OR(Dashboard!$P$1="All",A98=Dashboard!$P$1),OR(Dashboard!$P$2="All",J98=Dashboard!$P$2)),1,0)</f>
        <v>1</v>
      </c>
      <c r="S98" s="138">
        <f>I98*R98</f>
        <v>631890528</v>
      </c>
      <c r="T98" s="138">
        <f>IF(AND(ISNUMBER(Q98),Q98&gt;0),S98,0)</f>
        <v>0</v>
      </c>
      <c r="U98" s="138">
        <f>IF(OR(Dashboard!$P$3="All",AND(Dashboard!$P$3="Not due",Q98&lt;0),AND(Dashboard!$P$3="Due in 10 days",Q98&gt;=-10,Q98&lt;=0),AND(Dashboard!$P$3="Due in 30 days",Q98&gt;=-30,Q98&lt;=0),AND(Dashboard!$P$3="Overdue 1–60 days",Q98&gt;0,Q98&lt;=60),AND(Dashboard!$P$3="Over 60 days",Q98&gt;60),AND(Dashboard!$P$3="All overdue",Q98&gt;0)),1,0)</f>
        <v>1</v>
      </c>
      <c r="V98" s="138">
        <f>S98*U98</f>
        <v>631890528</v>
      </c>
      <c r="W98" s="138">
        <f>IF(Q98&gt;0,T98*Q98,0)</f>
        <v>0</v>
      </c>
      <c r="X98" s="138">
        <f>IF(V98&gt;0,COUNTIF($V$6:V98,"&gt;0"),"")</f>
        <v>93</v>
      </c>
      <c r="Y98" s="154" t="str">
        <f>C98&amp;"|"&amp;D98</f>
        <v>AR-00093|70000093</v>
      </c>
      <c r="Z98" s="138"/>
      <c r="AA98" s="154" t="inlineStr">
        <is>
          <t>["Demo Company 011", "AR-00093", "70000093", "2026-09-24"]</t>
        </is>
      </c>
      <c r="AB98" s="138"/>
      <c r="AC98" s="138"/>
      <c r="AD98" s="138"/>
      <c r="AE98" s="138"/>
      <c r="AF98" s="138"/>
      <c r="AG98" s="138"/>
      <c r="AH98" s="138"/>
      <c r="AI98" s="138"/>
      <c r="AJ98" s="138"/>
      <c r="AK98" s="138"/>
      <c r="AL98" s="138"/>
      <c r="AM98" s="138"/>
      <c r="AN98" s="138"/>
      <c r="AO98" s="138"/>
    </row>
    <row r="99" spans="1:41">
      <c r="A99" s="138" t="inlineStr">
        <is>
          <t>Client Alpha Sub-Contract</t>
        </is>
      </c>
      <c r="B99" s="138" t="inlineStr">
        <is>
          <t>CLIENT ALPHA REGIONAL BRANCH</t>
        </is>
      </c>
      <c r="C99" s="138" t="inlineStr">
        <is>
          <t>AR-00094</t>
        </is>
      </c>
      <c r="D99" s="138" t="inlineStr">
        <is>
          <t>70000094</t>
        </is>
      </c>
      <c r="E99" s="141">
        <v>46298.0</v>
      </c>
      <c r="F99" s="141">
        <v>46373.0</v>
      </c>
      <c r="G99" s="142">
        <v>88916685</v>
      </c>
      <c r="H99" s="142">
        <v>0</v>
      </c>
      <c r="I99" s="142">
        <v>88916685</v>
      </c>
      <c r="J99" s="138" t="inlineStr">
        <is>
          <t>Senior Sales Rep 2</t>
        </is>
      </c>
      <c r="K99" s="138" t="inlineStr">
        <is>
          <t>Trading</t>
        </is>
      </c>
      <c r="L99" s="138" t="inlineStr">
        <is>
          <t>Project 004</t>
        </is>
      </c>
      <c r="M99" s="138" t="inlineStr">
        <is>
          <t>Collection note 021</t>
        </is>
      </c>
      <c r="N99" s="143"/>
      <c r="O99" s="143"/>
      <c r="P99" s="144"/>
      <c r="Q99" s="138">
        <f>IF(ISNUMBER(F99),Dashboard!$D$2-F99,"")</f>
        <v>-73.0</v>
      </c>
      <c r="R99" s="138">
        <f>IF(AND(OR(Dashboard!$P$1="All",A99=Dashboard!$P$1),OR(Dashboard!$P$2="All",J99=Dashboard!$P$2)),1,0)</f>
        <v>1</v>
      </c>
      <c r="S99" s="138">
        <f>I99*R99</f>
        <v>88916685</v>
      </c>
      <c r="T99" s="138">
        <f>IF(AND(ISNUMBER(Q99),Q99&gt;0),S99,0)</f>
        <v>0</v>
      </c>
      <c r="U99" s="138">
        <f>IF(OR(Dashboard!$P$3="All",AND(Dashboard!$P$3="Not due",Q99&lt;0),AND(Dashboard!$P$3="Due in 10 days",Q99&gt;=-10,Q99&lt;=0),AND(Dashboard!$P$3="Due in 30 days",Q99&gt;=-30,Q99&lt;=0),AND(Dashboard!$P$3="Overdue 1–60 days",Q99&gt;0,Q99&lt;=60),AND(Dashboard!$P$3="Over 60 days",Q99&gt;60),AND(Dashboard!$P$3="All overdue",Q99&gt;0)),1,0)</f>
        <v>1</v>
      </c>
      <c r="V99" s="138">
        <f>S99*U99</f>
        <v>88916685</v>
      </c>
      <c r="W99" s="138">
        <f>IF(Q99&gt;0,T99*Q99,0)</f>
        <v>0</v>
      </c>
      <c r="X99" s="138">
        <f>IF(V99&gt;0,COUNTIF($V$6:V99,"&gt;0"),"")</f>
        <v>94</v>
      </c>
      <c r="Y99" s="154" t="str">
        <f>C99&amp;"|"&amp;D99</f>
        <v>AR-00094|70000094</v>
      </c>
      <c r="Z99" s="138"/>
      <c r="AA99" s="154" t="inlineStr">
        <is>
          <t>["Demo Company 011", "AR-00094", "70000094", "2026-10-03"]</t>
        </is>
      </c>
      <c r="AB99" s="138"/>
      <c r="AC99" s="138"/>
      <c r="AD99" s="138"/>
      <c r="AE99" s="138"/>
      <c r="AF99" s="138"/>
      <c r="AG99" s="138"/>
      <c r="AH99" s="138"/>
      <c r="AI99" s="138"/>
      <c r="AJ99" s="138"/>
      <c r="AK99" s="138"/>
      <c r="AL99" s="138"/>
      <c r="AM99" s="138"/>
      <c r="AN99" s="138"/>
      <c r="AO99" s="138"/>
    </row>
    <row r="100" spans="1:41">
      <c r="A100" s="138" t="inlineStr">
        <is>
          <t>Client Alpha Sub-Contract</t>
        </is>
      </c>
      <c r="B100" s="138" t="inlineStr">
        <is>
          <t>CLIENT ALPHA REGIONAL BRANCH</t>
        </is>
      </c>
      <c r="C100" s="138" t="inlineStr">
        <is>
          <t>AR-00095</t>
        </is>
      </c>
      <c r="D100" s="138" t="inlineStr">
        <is>
          <t>70000095</t>
        </is>
      </c>
      <c r="E100" s="141">
        <v>46298.0</v>
      </c>
      <c r="F100" s="141">
        <v>46373.0</v>
      </c>
      <c r="G100" s="142">
        <v>80040063</v>
      </c>
      <c r="H100" s="142">
        <v>0</v>
      </c>
      <c r="I100" s="142">
        <v>80040063</v>
      </c>
      <c r="J100" s="138" t="inlineStr">
        <is>
          <t>Senior Sales Rep 2</t>
        </is>
      </c>
      <c r="K100" s="138" t="inlineStr">
        <is>
          <t>Trading</t>
        </is>
      </c>
      <c r="L100" s="138" t="inlineStr">
        <is>
          <t>Project 005</t>
        </is>
      </c>
      <c r="M100" s="138" t="inlineStr">
        <is>
          <t>Collection note 021</t>
        </is>
      </c>
      <c r="N100" s="143"/>
      <c r="O100" s="143"/>
      <c r="P100" s="144"/>
      <c r="Q100" s="138">
        <f>IF(ISNUMBER(F100),Dashboard!$D$2-F100,"")</f>
        <v>-73.0</v>
      </c>
      <c r="R100" s="138">
        <f>IF(AND(OR(Dashboard!$P$1="All",A100=Dashboard!$P$1),OR(Dashboard!$P$2="All",J100=Dashboard!$P$2)),1,0)</f>
        <v>1</v>
      </c>
      <c r="S100" s="138">
        <f>I100*R100</f>
        <v>80040063</v>
      </c>
      <c r="T100" s="138">
        <f>IF(AND(ISNUMBER(Q100),Q100&gt;0),S100,0)</f>
        <v>0</v>
      </c>
      <c r="U100" s="138">
        <f>IF(OR(Dashboard!$P$3="All",AND(Dashboard!$P$3="Not due",Q100&lt;0),AND(Dashboard!$P$3="Due in 10 days",Q100&gt;=-10,Q100&lt;=0),AND(Dashboard!$P$3="Due in 30 days",Q100&gt;=-30,Q100&lt;=0),AND(Dashboard!$P$3="Overdue 1–60 days",Q100&gt;0,Q100&lt;=60),AND(Dashboard!$P$3="Over 60 days",Q100&gt;60),AND(Dashboard!$P$3="All overdue",Q100&gt;0)),1,0)</f>
        <v>1</v>
      </c>
      <c r="V100" s="138">
        <f>S100*U100</f>
        <v>80040063</v>
      </c>
      <c r="W100" s="138">
        <f>IF(Q100&gt;0,T100*Q100,0)</f>
        <v>0</v>
      </c>
      <c r="X100" s="138">
        <f>IF(V100&gt;0,COUNTIF($V$6:V100,"&gt;0"),"")</f>
        <v>95</v>
      </c>
      <c r="Y100" s="154" t="str">
        <f>C100&amp;"|"&amp;D100</f>
        <v>AR-00095|70000095</v>
      </c>
      <c r="Z100" s="138"/>
      <c r="AA100" s="154" t="inlineStr">
        <is>
          <t>["Demo Company 011", "AR-00095", "70000095", "2026-10-03"]</t>
        </is>
      </c>
      <c r="AB100" s="138"/>
      <c r="AC100" s="138"/>
      <c r="AD100" s="138"/>
      <c r="AE100" s="138"/>
      <c r="AF100" s="138"/>
      <c r="AG100" s="138"/>
      <c r="AH100" s="138"/>
      <c r="AI100" s="138"/>
      <c r="AJ100" s="138"/>
      <c r="AK100" s="138"/>
      <c r="AL100" s="138"/>
      <c r="AM100" s="138"/>
      <c r="AN100" s="138"/>
      <c r="AO100" s="138"/>
    </row>
    <row r="101" spans="1:41">
      <c r="A101" s="138" t="inlineStr">
        <is>
          <t>Client Epsilon (Equipment)</t>
        </is>
      </c>
      <c r="B101" s="138" t="inlineStr">
        <is>
          <t>CLIENT EPSILON INDUSTRIAL EQUIPMENT LTD</t>
        </is>
      </c>
      <c r="C101" s="138" t="inlineStr">
        <is>
          <t>AR-00096</t>
        </is>
      </c>
      <c r="D101" s="138" t="inlineStr">
        <is>
          <t>70000096</t>
        </is>
      </c>
      <c r="E101" s="141">
        <v>46294.0</v>
      </c>
      <c r="F101" s="141">
        <v>46324.0</v>
      </c>
      <c r="G101" s="142">
        <v>43462950</v>
      </c>
      <c r="H101" s="142">
        <v>0</v>
      </c>
      <c r="I101" s="142">
        <v>43462950</v>
      </c>
      <c r="J101" s="138" t="inlineStr">
        <is>
          <t>Sales Rep 4</t>
        </is>
      </c>
      <c r="K101" s="138" t="inlineStr">
        <is>
          <t>Trading</t>
        </is>
      </c>
      <c r="L101" s="138" t="inlineStr">
        <is>
          <t>Project 006</t>
        </is>
      </c>
      <c r="M101" s="138" t="inlineStr">
        <is>
          <t>Collection note 022</t>
        </is>
      </c>
      <c r="N101" s="143"/>
      <c r="O101" s="143"/>
      <c r="P101" s="144"/>
      <c r="Q101" s="138">
        <f>IF(ISNUMBER(F101),Dashboard!$D$2-F101,"")</f>
        <v>-24.0</v>
      </c>
      <c r="R101" s="138">
        <f>IF(AND(OR(Dashboard!$P$1="All",A101=Dashboard!$P$1),OR(Dashboard!$P$2="All",J101=Dashboard!$P$2)),1,0)</f>
        <v>1</v>
      </c>
      <c r="S101" s="138">
        <f>I101*R101</f>
        <v>43462950</v>
      </c>
      <c r="T101" s="138">
        <f>IF(AND(ISNUMBER(Q101),Q101&gt;0),S101,0)</f>
        <v>0</v>
      </c>
      <c r="U101" s="138">
        <f>IF(OR(Dashboard!$P$3="All",AND(Dashboard!$P$3="Not due",Q101&lt;0),AND(Dashboard!$P$3="Due in 10 days",Q101&gt;=-10,Q101&lt;=0),AND(Dashboard!$P$3="Due in 30 days",Q101&gt;=-30,Q101&lt;=0),AND(Dashboard!$P$3="Overdue 1–60 days",Q101&gt;0,Q101&lt;=60),AND(Dashboard!$P$3="Over 60 days",Q101&gt;60),AND(Dashboard!$P$3="All overdue",Q101&gt;0)),1,0)</f>
        <v>1</v>
      </c>
      <c r="V101" s="138">
        <f>S101*U101</f>
        <v>43462950</v>
      </c>
      <c r="W101" s="138">
        <f>IF(Q101&gt;0,T101*Q101,0)</f>
        <v>0</v>
      </c>
      <c r="X101" s="138">
        <f>IF(V101&gt;0,COUNTIF($V$6:V101,"&gt;0"),"")</f>
        <v>96</v>
      </c>
      <c r="Y101" s="154" t="str">
        <f>C101&amp;"|"&amp;D101</f>
        <v>AR-00096|70000096</v>
      </c>
      <c r="Z101" s="138"/>
      <c r="AA101" s="154" t="inlineStr">
        <is>
          <t>["CLIENT EPSILON DEMO COMPANY", "AR-00096", "70000096", "2026-09-29"]</t>
        </is>
      </c>
      <c r="AB101" s="138"/>
      <c r="AC101" s="138"/>
      <c r="AD101" s="138"/>
      <c r="AE101" s="138"/>
      <c r="AF101" s="138"/>
      <c r="AG101" s="138"/>
      <c r="AH101" s="138"/>
      <c r="AI101" s="138"/>
      <c r="AJ101" s="138"/>
      <c r="AK101" s="138"/>
      <c r="AL101" s="138"/>
      <c r="AM101" s="138"/>
      <c r="AN101" s="138"/>
      <c r="AO101" s="138"/>
    </row>
    <row r="102" spans="1:41">
      <c r="A102" s="138" t="inlineStr">
        <is>
          <t>Client Zeta (Building Tech)</t>
        </is>
      </c>
      <c r="B102" s="138" t="inlineStr">
        <is>
          <t>CLIENT ZETA BUILDING ENVELOPE SOLUTIONS</t>
        </is>
      </c>
      <c r="C102" s="138" t="inlineStr">
        <is>
          <t>AR-00097</t>
        </is>
      </c>
      <c r="D102" s="138" t="inlineStr">
        <is>
          <t>70000097</t>
        </is>
      </c>
      <c r="E102" s="141">
        <v>46262.0</v>
      </c>
      <c r="F102" s="141">
        <v>46322.0</v>
      </c>
      <c r="G102" s="142">
        <v>324663</v>
      </c>
      <c r="H102" s="142">
        <v>0</v>
      </c>
      <c r="I102" s="142">
        <v>324663</v>
      </c>
      <c r="J102" s="138" t="inlineStr">
        <is>
          <t>Sales Rep 5</t>
        </is>
      </c>
      <c r="K102" s="138" t="inlineStr">
        <is>
          <t>Trading</t>
        </is>
      </c>
      <c r="L102" s="138" t="inlineStr">
        <is>
          <t/>
        </is>
      </c>
      <c r="M102" s="138" t="inlineStr">
        <is>
          <t>Collection note 023</t>
        </is>
      </c>
      <c r="N102" s="143"/>
      <c r="O102" s="143"/>
      <c r="P102" s="144"/>
      <c r="Q102" s="138">
        <f>IF(ISNUMBER(F102),Dashboard!$D$2-F102,"")</f>
        <v>-22.0</v>
      </c>
      <c r="R102" s="138">
        <f>IF(AND(OR(Dashboard!$P$1="All",A102=Dashboard!$P$1),OR(Dashboard!$P$2="All",J102=Dashboard!$P$2)),1,0)</f>
        <v>1</v>
      </c>
      <c r="S102" s="138">
        <f>I102*R102</f>
        <v>324663</v>
      </c>
      <c r="T102" s="138">
        <f>IF(AND(ISNUMBER(Q102),Q102&gt;0),S102,0)</f>
        <v>0</v>
      </c>
      <c r="U102" s="138">
        <f>IF(OR(Dashboard!$P$3="All",AND(Dashboard!$P$3="Not due",Q102&lt;0),AND(Dashboard!$P$3="Due in 10 days",Q102&gt;=-10,Q102&lt;=0),AND(Dashboard!$P$3="Due in 30 days",Q102&gt;=-30,Q102&lt;=0),AND(Dashboard!$P$3="Overdue 1–60 days",Q102&gt;0,Q102&lt;=60),AND(Dashboard!$P$3="Over 60 days",Q102&gt;60),AND(Dashboard!$P$3="All overdue",Q102&gt;0)),1,0)</f>
        <v>1</v>
      </c>
      <c r="V102" s="138">
        <f>S102*U102</f>
        <v>324663</v>
      </c>
      <c r="W102" s="138">
        <f>IF(Q102&gt;0,T102*Q102,0)</f>
        <v>0</v>
      </c>
      <c r="X102" s="138">
        <f>IF(V102&gt;0,COUNTIF($V$6:V102,"&gt;0"),"")</f>
        <v>97</v>
      </c>
      <c r="Y102" s="154" t="str">
        <f>C102&amp;"|"&amp;D102</f>
        <v>AR-00097|70000097</v>
      </c>
      <c r="Z102" s="138"/>
      <c r="AA102" s="154" t="inlineStr">
        <is>
          <t>["CLIENT ZETA DEMO COMPANY", "AR-00097", "70000097", "2026-08-28"]</t>
        </is>
      </c>
      <c r="AB102" s="138"/>
      <c r="AC102" s="138"/>
      <c r="AD102" s="138"/>
      <c r="AE102" s="138"/>
      <c r="AF102" s="138"/>
      <c r="AG102" s="138"/>
      <c r="AH102" s="138"/>
      <c r="AI102" s="138"/>
      <c r="AJ102" s="138"/>
      <c r="AK102" s="138"/>
      <c r="AL102" s="138"/>
      <c r="AM102" s="138"/>
      <c r="AN102" s="138"/>
      <c r="AO102" s="138"/>
    </row>
    <row r="103" spans="1:41">
      <c r="A103" s="138" t="inlineStr">
        <is>
          <t>Client Gamma (Offshore Energy)</t>
        </is>
      </c>
      <c r="B103" s="138" t="inlineStr">
        <is>
          <t>Demo Company 399</t>
        </is>
      </c>
      <c r="C103" s="138" t="inlineStr">
        <is>
          <t>AR-00098</t>
        </is>
      </c>
      <c r="D103" s="138" t="inlineStr">
        <is>
          <t>70000098</t>
        </is>
      </c>
      <c r="E103" s="141">
        <v>46172.0</v>
      </c>
      <c r="F103" s="141">
        <v>46224.0</v>
      </c>
      <c r="G103" s="142">
        <v>4021632000</v>
      </c>
      <c r="H103" s="142">
        <v>0</v>
      </c>
      <c r="I103" s="142">
        <v>4021632000</v>
      </c>
      <c r="J103" s="138" t="inlineStr">
        <is>
          <t>Sales Rep 3</t>
        </is>
      </c>
      <c r="K103" s="138" t="inlineStr">
        <is>
          <t>Trading</t>
        </is>
      </c>
      <c r="L103" s="138" t="inlineStr">
        <is>
          <t>Project 008</t>
        </is>
      </c>
      <c r="M103" s="138" t="inlineStr">
        <is>
          <t>Collection note 024</t>
        </is>
      </c>
      <c r="N103" s="143"/>
      <c r="O103" s="143"/>
      <c r="P103" s="144"/>
      <c r="Q103" s="138">
        <f>IF(ISNUMBER(F103),Dashboard!$D$2-F103,"")</f>
        <v>76.0</v>
      </c>
      <c r="R103" s="138">
        <f>IF(AND(OR(Dashboard!$P$1="All",A103=Dashboard!$P$1),OR(Dashboard!$P$2="All",J103=Dashboard!$P$2)),1,0)</f>
        <v>1</v>
      </c>
      <c r="S103" s="138">
        <f>I103*R103</f>
        <v>4021632000</v>
      </c>
      <c r="T103" s="138">
        <f>IF(AND(ISNUMBER(Q103),Q103&gt;0),S103,0)</f>
        <v>4021632000</v>
      </c>
      <c r="U103" s="138">
        <f>IF(OR(Dashboard!$P$3="All",AND(Dashboard!$P$3="Not due",Q103&lt;0),AND(Dashboard!$P$3="Due in 10 days",Q103&gt;=-10,Q103&lt;=0),AND(Dashboard!$P$3="Due in 30 days",Q103&gt;=-30,Q103&lt;=0),AND(Dashboard!$P$3="Overdue 1–60 days",Q103&gt;0,Q103&lt;=60),AND(Dashboard!$P$3="Over 60 days",Q103&gt;60),AND(Dashboard!$P$3="All overdue",Q103&gt;0)),1,0)</f>
        <v>1</v>
      </c>
      <c r="V103" s="138">
        <f>S103*U103</f>
        <v>4021632000</v>
      </c>
      <c r="W103" s="138">
        <f>IF(Q103&gt;0,T103*Q103,0)</f>
        <v>305644032000.0</v>
      </c>
      <c r="X103" s="138">
        <f>IF(V103&gt;0,COUNTIF($V$6:V103,"&gt;0"),"")</f>
        <v>98</v>
      </c>
      <c r="Y103" s="154" t="str">
        <f>C103&amp;"|"&amp;D103</f>
        <v>AR-00098|70000098</v>
      </c>
      <c r="Z103" s="138"/>
      <c r="AA103" s="154" t="inlineStr">
        <is>
          <t>["Demo Company 399", "AR-00098", "70000098", "2026-05-30"]</t>
        </is>
      </c>
      <c r="AB103" s="138"/>
      <c r="AC103" s="138"/>
      <c r="AD103" s="138"/>
      <c r="AE103" s="138"/>
      <c r="AF103" s="138"/>
      <c r="AG103" s="138"/>
      <c r="AH103" s="138"/>
      <c r="AI103" s="138"/>
      <c r="AJ103" s="138"/>
      <c r="AK103" s="138"/>
      <c r="AL103" s="138"/>
      <c r="AM103" s="138"/>
      <c r="AN103" s="138"/>
      <c r="AO103" s="138"/>
    </row>
    <row r="104" spans="1:4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  <c r="AB104" s="138"/>
      <c r="AC104" s="138"/>
      <c r="AD104" s="138"/>
      <c r="AE104" s="138"/>
      <c r="AF104" s="138"/>
      <c r="AG104" s="138"/>
      <c r="AH104" s="138"/>
      <c r="AI104" s="138"/>
      <c r="AJ104" s="138"/>
      <c r="AK104" s="138"/>
      <c r="AL104" s="138"/>
      <c r="AM104" s="138"/>
      <c r="AN104" s="138"/>
      <c r="AO104" s="138"/>
    </row>
    <row r="105" spans="1:4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  <c r="AB105" s="138"/>
      <c r="AC105" s="138"/>
      <c r="AD105" s="138"/>
      <c r="AE105" s="138"/>
      <c r="AF105" s="138"/>
      <c r="AG105" s="138"/>
      <c r="AH105" s="138"/>
      <c r="AI105" s="138"/>
      <c r="AJ105" s="138"/>
      <c r="AK105" s="138"/>
      <c r="AL105" s="138"/>
      <c r="AM105" s="138"/>
      <c r="AN105" s="138"/>
      <c r="AO105" s="138"/>
    </row>
    <row r="106" spans="1:4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  <c r="AB106" s="138"/>
      <c r="AC106" s="138"/>
      <c r="AD106" s="138"/>
      <c r="AE106" s="138"/>
      <c r="AF106" s="138"/>
      <c r="AG106" s="138"/>
      <c r="AH106" s="138"/>
      <c r="AI106" s="138"/>
      <c r="AJ106" s="138"/>
      <c r="AK106" s="138"/>
      <c r="AL106" s="138"/>
      <c r="AM106" s="138"/>
      <c r="AN106" s="138"/>
      <c r="AO106" s="138"/>
    </row>
    <row r="107" spans="1:4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  <c r="AB107" s="138"/>
      <c r="AC107" s="138"/>
      <c r="AD107" s="138"/>
      <c r="AE107" s="138"/>
      <c r="AF107" s="138"/>
      <c r="AG107" s="138"/>
      <c r="AH107" s="138"/>
      <c r="AI107" s="138"/>
      <c r="AJ107" s="138"/>
      <c r="AK107" s="138"/>
      <c r="AL107" s="138"/>
      <c r="AM107" s="138"/>
      <c r="AN107" s="138"/>
      <c r="AO107" s="138"/>
    </row>
    <row r="108" spans="1:4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  <c r="AB108" s="138"/>
      <c r="AC108" s="138"/>
      <c r="AD108" s="138"/>
      <c r="AE108" s="138"/>
      <c r="AF108" s="138"/>
      <c r="AG108" s="138"/>
      <c r="AH108" s="138"/>
      <c r="AI108" s="138"/>
      <c r="AJ108" s="138"/>
      <c r="AK108" s="138"/>
      <c r="AL108" s="138"/>
      <c r="AM108" s="138"/>
      <c r="AN108" s="138"/>
      <c r="AO108" s="138"/>
    </row>
    <row r="109" spans="1:4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  <c r="AB109" s="138"/>
      <c r="AC109" s="138"/>
      <c r="AD109" s="138"/>
      <c r="AE109" s="138"/>
      <c r="AF109" s="138"/>
      <c r="AG109" s="138"/>
      <c r="AH109" s="138"/>
      <c r="AI109" s="138"/>
      <c r="AJ109" s="138"/>
      <c r="AK109" s="138"/>
      <c r="AL109" s="138"/>
      <c r="AM109" s="138"/>
      <c r="AN109" s="138"/>
      <c r="AO109" s="138"/>
    </row>
    <row r="110" spans="1:4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  <c r="AB110" s="138"/>
      <c r="AC110" s="138"/>
      <c r="AD110" s="138"/>
      <c r="AE110" s="138"/>
      <c r="AF110" s="138"/>
      <c r="AG110" s="138"/>
      <c r="AH110" s="138"/>
      <c r="AI110" s="138"/>
      <c r="AJ110" s="138"/>
      <c r="AK110" s="138"/>
      <c r="AL110" s="138"/>
      <c r="AM110" s="138"/>
      <c r="AN110" s="138"/>
      <c r="AO110" s="138"/>
    </row>
    <row r="111" spans="1:4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  <c r="AB111" s="138"/>
      <c r="AC111" s="138"/>
      <c r="AD111" s="138"/>
      <c r="AE111" s="138"/>
      <c r="AF111" s="138"/>
      <c r="AG111" s="138"/>
      <c r="AH111" s="138"/>
      <c r="AI111" s="138"/>
      <c r="AJ111" s="138"/>
      <c r="AK111" s="138"/>
      <c r="AL111" s="138"/>
      <c r="AM111" s="138"/>
      <c r="AN111" s="138"/>
      <c r="AO111" s="138"/>
    </row>
    <row r="112" spans="1:4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  <c r="AB112" s="138"/>
      <c r="AC112" s="138"/>
      <c r="AD112" s="138"/>
      <c r="AE112" s="138"/>
      <c r="AF112" s="138"/>
      <c r="AG112" s="138"/>
      <c r="AH112" s="138"/>
      <c r="AI112" s="138"/>
      <c r="AJ112" s="138"/>
      <c r="AK112" s="138"/>
      <c r="AL112" s="138"/>
      <c r="AM112" s="138"/>
      <c r="AN112" s="138"/>
      <c r="AO112" s="138"/>
    </row>
    <row r="113" spans="1:4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  <c r="AB113" s="138"/>
      <c r="AC113" s="138"/>
      <c r="AD113" s="138"/>
      <c r="AE113" s="138"/>
      <c r="AF113" s="138"/>
      <c r="AG113" s="138"/>
      <c r="AH113" s="138"/>
      <c r="AI113" s="138"/>
      <c r="AJ113" s="138"/>
      <c r="AK113" s="138"/>
      <c r="AL113" s="138"/>
      <c r="AM113" s="138"/>
      <c r="AN113" s="138"/>
      <c r="AO113" s="138"/>
    </row>
    <row r="114" spans="1:4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  <c r="AB114" s="138"/>
      <c r="AC114" s="138"/>
      <c r="AD114" s="138"/>
      <c r="AE114" s="138"/>
      <c r="AF114" s="138"/>
      <c r="AG114" s="138"/>
      <c r="AH114" s="138"/>
      <c r="AI114" s="138"/>
      <c r="AJ114" s="138"/>
      <c r="AK114" s="138"/>
      <c r="AL114" s="138"/>
      <c r="AM114" s="138"/>
      <c r="AN114" s="138"/>
      <c r="AO114" s="138"/>
    </row>
    <row r="115" spans="1:4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  <c r="AD115" s="138"/>
      <c r="AE115" s="138"/>
      <c r="AF115" s="138"/>
      <c r="AG115" s="138"/>
      <c r="AH115" s="138"/>
      <c r="AI115" s="138"/>
      <c r="AJ115" s="138"/>
      <c r="AK115" s="138"/>
      <c r="AL115" s="138"/>
      <c r="AM115" s="138"/>
      <c r="AN115" s="138"/>
      <c r="AO115" s="138"/>
    </row>
    <row r="116" spans="1:4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  <c r="AB116" s="138"/>
      <c r="AC116" s="138"/>
      <c r="AD116" s="138"/>
      <c r="AE116" s="138"/>
      <c r="AF116" s="138"/>
      <c r="AG116" s="138"/>
      <c r="AH116" s="138"/>
      <c r="AI116" s="138"/>
      <c r="AJ116" s="138"/>
      <c r="AK116" s="138"/>
      <c r="AL116" s="138"/>
      <c r="AM116" s="138"/>
      <c r="AN116" s="138"/>
      <c r="AO116" s="138"/>
    </row>
    <row r="117" spans="1:4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  <c r="AG117" s="138"/>
      <c r="AH117" s="138"/>
      <c r="AI117" s="138"/>
      <c r="AJ117" s="138"/>
      <c r="AK117" s="138"/>
      <c r="AL117" s="138"/>
      <c r="AM117" s="138"/>
      <c r="AN117" s="138"/>
      <c r="AO117" s="138"/>
    </row>
    <row r="118" spans="1:4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  <c r="AB118" s="138"/>
      <c r="AC118" s="138"/>
      <c r="AD118" s="138"/>
      <c r="AE118" s="138"/>
      <c r="AF118" s="138"/>
      <c r="AG118" s="138"/>
      <c r="AH118" s="138"/>
      <c r="AI118" s="138"/>
      <c r="AJ118" s="138"/>
      <c r="AK118" s="138"/>
      <c r="AL118" s="138"/>
      <c r="AM118" s="138"/>
      <c r="AN118" s="138"/>
      <c r="AO118" s="138"/>
    </row>
    <row r="119" spans="1:4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  <c r="AD119" s="138"/>
      <c r="AE119" s="138"/>
      <c r="AF119" s="138"/>
      <c r="AG119" s="138"/>
      <c r="AH119" s="138"/>
      <c r="AI119" s="138"/>
      <c r="AJ119" s="138"/>
      <c r="AK119" s="138"/>
      <c r="AL119" s="138"/>
      <c r="AM119" s="138"/>
      <c r="AN119" s="138"/>
      <c r="AO119" s="138"/>
    </row>
    <row r="120" spans="1:4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  <c r="AC120" s="138"/>
      <c r="AD120" s="138"/>
      <c r="AE120" s="138"/>
      <c r="AF120" s="138"/>
      <c r="AG120" s="138"/>
      <c r="AH120" s="138"/>
      <c r="AI120" s="138"/>
      <c r="AJ120" s="138"/>
      <c r="AK120" s="138"/>
      <c r="AL120" s="138"/>
      <c r="AM120" s="138"/>
      <c r="AN120" s="138"/>
      <c r="AO120" s="138"/>
    </row>
    <row r="121" spans="1:4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  <c r="AB121" s="138"/>
      <c r="AC121" s="138"/>
      <c r="AD121" s="138"/>
      <c r="AE121" s="138"/>
      <c r="AF121" s="138"/>
      <c r="AG121" s="138"/>
      <c r="AH121" s="138"/>
      <c r="AI121" s="138"/>
      <c r="AJ121" s="138"/>
      <c r="AK121" s="138"/>
      <c r="AL121" s="138"/>
      <c r="AM121" s="138"/>
      <c r="AN121" s="138"/>
      <c r="AO121" s="138"/>
    </row>
    <row r="122" spans="1:4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  <c r="AB122" s="138"/>
      <c r="AC122" s="138"/>
      <c r="AD122" s="138"/>
      <c r="AE122" s="138"/>
      <c r="AF122" s="138"/>
      <c r="AG122" s="138"/>
      <c r="AH122" s="138"/>
      <c r="AI122" s="138"/>
      <c r="AJ122" s="138"/>
      <c r="AK122" s="138"/>
      <c r="AL122" s="138"/>
      <c r="AM122" s="138"/>
      <c r="AN122" s="138"/>
      <c r="AO122" s="138"/>
    </row>
    <row r="123" spans="1:4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  <c r="AC123" s="138"/>
      <c r="AD123" s="138"/>
      <c r="AE123" s="138"/>
      <c r="AF123" s="138"/>
      <c r="AG123" s="138"/>
      <c r="AH123" s="138"/>
      <c r="AI123" s="138"/>
      <c r="AJ123" s="138"/>
      <c r="AK123" s="138"/>
      <c r="AL123" s="138"/>
      <c r="AM123" s="138"/>
      <c r="AN123" s="138"/>
      <c r="AO123" s="138"/>
    </row>
    <row r="124" spans="1:4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  <c r="AC124" s="138"/>
      <c r="AD124" s="138"/>
      <c r="AE124" s="138"/>
      <c r="AF124" s="138"/>
      <c r="AG124" s="138"/>
      <c r="AH124" s="138"/>
      <c r="AI124" s="138"/>
      <c r="AJ124" s="138"/>
      <c r="AK124" s="138"/>
      <c r="AL124" s="138"/>
      <c r="AM124" s="138"/>
      <c r="AN124" s="138"/>
      <c r="AO124" s="138"/>
    </row>
    <row r="125" spans="1:4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38"/>
      <c r="AD125" s="138"/>
      <c r="AE125" s="138"/>
      <c r="AF125" s="138"/>
      <c r="AG125" s="138"/>
      <c r="AH125" s="138"/>
      <c r="AI125" s="138"/>
      <c r="AJ125" s="138"/>
      <c r="AK125" s="138"/>
      <c r="AL125" s="138"/>
      <c r="AM125" s="138"/>
      <c r="AN125" s="138"/>
      <c r="AO125" s="138"/>
    </row>
    <row r="126" spans="1:4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  <c r="AB126" s="138"/>
      <c r="AC126" s="138"/>
      <c r="AD126" s="138"/>
      <c r="AE126" s="138"/>
      <c r="AF126" s="138"/>
      <c r="AG126" s="138"/>
      <c r="AH126" s="138"/>
      <c r="AI126" s="138"/>
      <c r="AJ126" s="138"/>
      <c r="AK126" s="138"/>
      <c r="AL126" s="138"/>
      <c r="AM126" s="138"/>
      <c r="AN126" s="138"/>
      <c r="AO126" s="138"/>
    </row>
    <row r="127" spans="1:4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  <c r="AB127" s="138"/>
      <c r="AC127" s="138"/>
      <c r="AD127" s="138"/>
      <c r="AE127" s="138"/>
      <c r="AF127" s="138"/>
      <c r="AG127" s="138"/>
      <c r="AH127" s="138"/>
      <c r="AI127" s="138"/>
      <c r="AJ127" s="138"/>
      <c r="AK127" s="138"/>
      <c r="AL127" s="138"/>
      <c r="AM127" s="138"/>
      <c r="AN127" s="138"/>
      <c r="AO127" s="138"/>
    </row>
    <row r="128" spans="1:4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38"/>
      <c r="AD128" s="138"/>
      <c r="AE128" s="138"/>
      <c r="AF128" s="138"/>
      <c r="AG128" s="138"/>
      <c r="AH128" s="138"/>
      <c r="AI128" s="138"/>
      <c r="AJ128" s="138"/>
      <c r="AK128" s="138"/>
      <c r="AL128" s="138"/>
      <c r="AM128" s="138"/>
      <c r="AN128" s="138"/>
      <c r="AO128" s="138"/>
    </row>
    <row r="129" spans="1:4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  <c r="AB129" s="138"/>
      <c r="AC129" s="138"/>
      <c r="AD129" s="138"/>
      <c r="AE129" s="138"/>
      <c r="AF129" s="138"/>
      <c r="AG129" s="138"/>
      <c r="AH129" s="138"/>
      <c r="AI129" s="138"/>
      <c r="AJ129" s="138"/>
      <c r="AK129" s="138"/>
      <c r="AL129" s="138"/>
      <c r="AM129" s="138"/>
      <c r="AN129" s="138"/>
      <c r="AO129" s="138"/>
    </row>
    <row r="130" spans="1:4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  <c r="AB130" s="138"/>
      <c r="AC130" s="138"/>
      <c r="AD130" s="138"/>
      <c r="AE130" s="138"/>
      <c r="AF130" s="138"/>
      <c r="AG130" s="138"/>
      <c r="AH130" s="138"/>
      <c r="AI130" s="138"/>
      <c r="AJ130" s="138"/>
      <c r="AK130" s="138"/>
      <c r="AL130" s="138"/>
      <c r="AM130" s="138"/>
      <c r="AN130" s="138"/>
      <c r="AO130" s="138"/>
    </row>
    <row r="131" spans="1:4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  <c r="AB131" s="138"/>
      <c r="AC131" s="138"/>
      <c r="AD131" s="138"/>
      <c r="AE131" s="138"/>
      <c r="AF131" s="138"/>
      <c r="AG131" s="138"/>
      <c r="AH131" s="138"/>
      <c r="AI131" s="138"/>
      <c r="AJ131" s="138"/>
      <c r="AK131" s="138"/>
      <c r="AL131" s="138"/>
      <c r="AM131" s="138"/>
      <c r="AN131" s="138"/>
      <c r="AO131" s="138"/>
    </row>
    <row r="132" spans="1:4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  <c r="AC132" s="138"/>
      <c r="AD132" s="138"/>
      <c r="AE132" s="138"/>
      <c r="AF132" s="138"/>
      <c r="AG132" s="138"/>
      <c r="AH132" s="138"/>
      <c r="AI132" s="138"/>
      <c r="AJ132" s="138"/>
      <c r="AK132" s="138"/>
      <c r="AL132" s="138"/>
      <c r="AM132" s="138"/>
      <c r="AN132" s="138"/>
      <c r="AO132" s="138"/>
    </row>
    <row r="133" spans="1:4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  <c r="AB133" s="138"/>
      <c r="AC133" s="138"/>
      <c r="AD133" s="138"/>
      <c r="AE133" s="138"/>
      <c r="AF133" s="138"/>
      <c r="AG133" s="138"/>
      <c r="AH133" s="138"/>
      <c r="AI133" s="138"/>
      <c r="AJ133" s="138"/>
      <c r="AK133" s="138"/>
      <c r="AL133" s="138"/>
      <c r="AM133" s="138"/>
      <c r="AN133" s="138"/>
      <c r="AO133" s="138"/>
    </row>
    <row r="134" spans="1:4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  <c r="AB134" s="138"/>
      <c r="AC134" s="138"/>
      <c r="AD134" s="138"/>
      <c r="AE134" s="138"/>
      <c r="AF134" s="138"/>
      <c r="AG134" s="138"/>
      <c r="AH134" s="138"/>
      <c r="AI134" s="138"/>
      <c r="AJ134" s="138"/>
      <c r="AK134" s="138"/>
      <c r="AL134" s="138"/>
      <c r="AM134" s="138"/>
      <c r="AN134" s="138"/>
      <c r="AO134" s="138"/>
    </row>
    <row r="135" spans="1:4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  <c r="AB135" s="138"/>
      <c r="AC135" s="138"/>
      <c r="AD135" s="138"/>
      <c r="AE135" s="138"/>
      <c r="AF135" s="138"/>
      <c r="AG135" s="138"/>
      <c r="AH135" s="138"/>
      <c r="AI135" s="138"/>
      <c r="AJ135" s="138"/>
      <c r="AK135" s="138"/>
      <c r="AL135" s="138"/>
      <c r="AM135" s="138"/>
      <c r="AN135" s="138"/>
      <c r="AO135" s="138"/>
    </row>
    <row r="136" spans="1:4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  <c r="AB136" s="138"/>
      <c r="AC136" s="138"/>
      <c r="AD136" s="138"/>
      <c r="AE136" s="138"/>
      <c r="AF136" s="138"/>
      <c r="AG136" s="138"/>
      <c r="AH136" s="138"/>
      <c r="AI136" s="138"/>
      <c r="AJ136" s="138"/>
      <c r="AK136" s="138"/>
      <c r="AL136" s="138"/>
      <c r="AM136" s="138"/>
      <c r="AN136" s="138"/>
      <c r="AO136" s="138"/>
    </row>
    <row r="137" spans="1:4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  <c r="AB137" s="138"/>
      <c r="AC137" s="138"/>
      <c r="AD137" s="138"/>
      <c r="AE137" s="138"/>
      <c r="AF137" s="138"/>
      <c r="AG137" s="138"/>
      <c r="AH137" s="138"/>
      <c r="AI137" s="138"/>
      <c r="AJ137" s="138"/>
      <c r="AK137" s="138"/>
      <c r="AL137" s="138"/>
      <c r="AM137" s="138"/>
      <c r="AN137" s="138"/>
      <c r="AO137" s="138"/>
    </row>
    <row r="138" spans="1:4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  <c r="AB138" s="138"/>
      <c r="AC138" s="138"/>
      <c r="AD138" s="138"/>
      <c r="AE138" s="138"/>
      <c r="AF138" s="138"/>
      <c r="AG138" s="138"/>
      <c r="AH138" s="138"/>
      <c r="AI138" s="138"/>
      <c r="AJ138" s="138"/>
      <c r="AK138" s="138"/>
      <c r="AL138" s="138"/>
      <c r="AM138" s="138"/>
      <c r="AN138" s="138"/>
      <c r="AO138" s="138"/>
    </row>
    <row r="139" spans="1:4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  <c r="AB139" s="138"/>
      <c r="AC139" s="138"/>
      <c r="AD139" s="138"/>
      <c r="AE139" s="138"/>
      <c r="AF139" s="138"/>
      <c r="AG139" s="138"/>
      <c r="AH139" s="138"/>
      <c r="AI139" s="138"/>
      <c r="AJ139" s="138"/>
      <c r="AK139" s="138"/>
      <c r="AL139" s="138"/>
      <c r="AM139" s="138"/>
      <c r="AN139" s="138"/>
      <c r="AO139" s="138"/>
    </row>
    <row r="140" spans="1:4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  <c r="AB140" s="138"/>
      <c r="AC140" s="138"/>
      <c r="AD140" s="138"/>
      <c r="AE140" s="138"/>
      <c r="AF140" s="138"/>
      <c r="AG140" s="138"/>
      <c r="AH140" s="138"/>
      <c r="AI140" s="138"/>
      <c r="AJ140" s="138"/>
      <c r="AK140" s="138"/>
      <c r="AL140" s="138"/>
      <c r="AM140" s="138"/>
      <c r="AN140" s="138"/>
      <c r="AO140" s="138"/>
    </row>
    <row r="141" spans="1:4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  <c r="AC141" s="138"/>
      <c r="AD141" s="138"/>
      <c r="AE141" s="138"/>
      <c r="AF141" s="138"/>
      <c r="AG141" s="138"/>
      <c r="AH141" s="138"/>
      <c r="AI141" s="138"/>
      <c r="AJ141" s="138"/>
      <c r="AK141" s="138"/>
      <c r="AL141" s="138"/>
      <c r="AM141" s="138"/>
      <c r="AN141" s="138"/>
      <c r="AO141" s="138"/>
    </row>
    <row r="142" spans="1:4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  <c r="AB142" s="138"/>
      <c r="AC142" s="138"/>
      <c r="AD142" s="138"/>
      <c r="AE142" s="138"/>
      <c r="AF142" s="138"/>
      <c r="AG142" s="138"/>
      <c r="AH142" s="138"/>
      <c r="AI142" s="138"/>
      <c r="AJ142" s="138"/>
      <c r="AK142" s="138"/>
      <c r="AL142" s="138"/>
      <c r="AM142" s="138"/>
      <c r="AN142" s="138"/>
      <c r="AO142" s="138"/>
    </row>
    <row r="143" spans="1:4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  <c r="AB143" s="138"/>
      <c r="AC143" s="138"/>
      <c r="AD143" s="138"/>
      <c r="AE143" s="138"/>
      <c r="AF143" s="138"/>
      <c r="AG143" s="138"/>
      <c r="AH143" s="138"/>
      <c r="AI143" s="138"/>
      <c r="AJ143" s="138"/>
      <c r="AK143" s="138"/>
      <c r="AL143" s="138"/>
      <c r="AM143" s="138"/>
      <c r="AN143" s="138"/>
      <c r="AO143" s="138"/>
    </row>
    <row r="144" spans="1:4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  <c r="AB144" s="138"/>
      <c r="AC144" s="138"/>
      <c r="AD144" s="138"/>
      <c r="AE144" s="138"/>
      <c r="AF144" s="138"/>
      <c r="AG144" s="138"/>
      <c r="AH144" s="138"/>
      <c r="AI144" s="138"/>
      <c r="AJ144" s="138"/>
      <c r="AK144" s="138"/>
      <c r="AL144" s="138"/>
      <c r="AM144" s="138"/>
      <c r="AN144" s="138"/>
      <c r="AO144" s="138"/>
    </row>
    <row r="145" spans="1:4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  <c r="AB145" s="138"/>
      <c r="AC145" s="138"/>
      <c r="AD145" s="138"/>
      <c r="AE145" s="138"/>
      <c r="AF145" s="138"/>
      <c r="AG145" s="138"/>
      <c r="AH145" s="138"/>
      <c r="AI145" s="138"/>
      <c r="AJ145" s="138"/>
      <c r="AK145" s="138"/>
      <c r="AL145" s="138"/>
      <c r="AM145" s="138"/>
      <c r="AN145" s="138"/>
      <c r="AO145" s="138"/>
    </row>
    <row r="146" spans="1:4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  <c r="AB146" s="138"/>
      <c r="AC146" s="138"/>
      <c r="AD146" s="138"/>
      <c r="AE146" s="138"/>
      <c r="AF146" s="138"/>
      <c r="AG146" s="138"/>
      <c r="AH146" s="138"/>
      <c r="AI146" s="138"/>
      <c r="AJ146" s="138"/>
      <c r="AK146" s="138"/>
      <c r="AL146" s="138"/>
      <c r="AM146" s="138"/>
      <c r="AN146" s="138"/>
      <c r="AO146" s="138"/>
    </row>
    <row r="147" spans="1:4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  <c r="AB147" s="138"/>
      <c r="AC147" s="138"/>
      <c r="AD147" s="138"/>
      <c r="AE147" s="138"/>
      <c r="AF147" s="138"/>
      <c r="AG147" s="138"/>
      <c r="AH147" s="138"/>
      <c r="AI147" s="138"/>
      <c r="AJ147" s="138"/>
      <c r="AK147" s="138"/>
      <c r="AL147" s="138"/>
      <c r="AM147" s="138"/>
      <c r="AN147" s="138"/>
      <c r="AO147" s="138"/>
    </row>
    <row r="148" spans="1:4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  <c r="AC148" s="138"/>
      <c r="AD148" s="138"/>
      <c r="AE148" s="138"/>
      <c r="AF148" s="138"/>
      <c r="AG148" s="138"/>
      <c r="AH148" s="138"/>
      <c r="AI148" s="138"/>
      <c r="AJ148" s="138"/>
      <c r="AK148" s="138"/>
      <c r="AL148" s="138"/>
      <c r="AM148" s="138"/>
      <c r="AN148" s="138"/>
      <c r="AO148" s="138"/>
    </row>
    <row r="149" spans="1:4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/>
      <c r="AC149" s="138"/>
      <c r="AD149" s="138"/>
      <c r="AE149" s="138"/>
      <c r="AF149" s="138"/>
      <c r="AG149" s="138"/>
      <c r="AH149" s="138"/>
      <c r="AI149" s="138"/>
      <c r="AJ149" s="138"/>
      <c r="AK149" s="138"/>
      <c r="AL149" s="138"/>
      <c r="AM149" s="138"/>
      <c r="AN149" s="138"/>
      <c r="AO149" s="138"/>
    </row>
    <row r="150" spans="1:4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  <c r="AC150" s="138"/>
      <c r="AD150" s="138"/>
      <c r="AE150" s="138"/>
      <c r="AF150" s="138"/>
      <c r="AG150" s="138"/>
      <c r="AH150" s="138"/>
      <c r="AI150" s="138"/>
      <c r="AJ150" s="138"/>
      <c r="AK150" s="138"/>
      <c r="AL150" s="138"/>
      <c r="AM150" s="138"/>
      <c r="AN150" s="138"/>
      <c r="AO150" s="138"/>
    </row>
    <row r="151" spans="1:4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  <c r="AB151" s="138"/>
      <c r="AC151" s="138"/>
      <c r="AD151" s="138"/>
      <c r="AE151" s="138"/>
      <c r="AF151" s="138"/>
      <c r="AG151" s="138"/>
      <c r="AH151" s="138"/>
      <c r="AI151" s="138"/>
      <c r="AJ151" s="138"/>
      <c r="AK151" s="138"/>
      <c r="AL151" s="138"/>
      <c r="AM151" s="138"/>
      <c r="AN151" s="138"/>
      <c r="AO151" s="138"/>
    </row>
    <row r="152" spans="1:4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138"/>
      <c r="AD152" s="138"/>
      <c r="AE152" s="138"/>
      <c r="AF152" s="138"/>
      <c r="AG152" s="138"/>
      <c r="AH152" s="138"/>
      <c r="AI152" s="138"/>
      <c r="AJ152" s="138"/>
      <c r="AK152" s="138"/>
      <c r="AL152" s="138"/>
      <c r="AM152" s="138"/>
      <c r="AN152" s="138"/>
      <c r="AO152" s="138"/>
    </row>
    <row r="153" spans="1:4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  <c r="AB153" s="138"/>
      <c r="AC153" s="138"/>
      <c r="AD153" s="138"/>
      <c r="AE153" s="138"/>
      <c r="AF153" s="138"/>
      <c r="AG153" s="138"/>
      <c r="AH153" s="138"/>
      <c r="AI153" s="138"/>
      <c r="AJ153" s="138"/>
      <c r="AK153" s="138"/>
      <c r="AL153" s="138"/>
      <c r="AM153" s="138"/>
      <c r="AN153" s="138"/>
      <c r="AO153" s="138"/>
    </row>
    <row r="154" spans="1:4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  <c r="AE154" s="138"/>
      <c r="AF154" s="138"/>
      <c r="AG154" s="138"/>
      <c r="AH154" s="138"/>
      <c r="AI154" s="138"/>
      <c r="AJ154" s="138"/>
      <c r="AK154" s="138"/>
      <c r="AL154" s="138"/>
      <c r="AM154" s="138"/>
      <c r="AN154" s="138"/>
      <c r="AO154" s="138"/>
    </row>
    <row r="155" spans="1:4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  <c r="AB155" s="138"/>
      <c r="AC155" s="138"/>
      <c r="AD155" s="138"/>
      <c r="AE155" s="138"/>
      <c r="AF155" s="138"/>
      <c r="AG155" s="138"/>
      <c r="AH155" s="138"/>
      <c r="AI155" s="138"/>
      <c r="AJ155" s="138"/>
      <c r="AK155" s="138"/>
      <c r="AL155" s="138"/>
      <c r="AM155" s="138"/>
      <c r="AN155" s="138"/>
      <c r="AO155" s="138"/>
    </row>
    <row r="156" spans="1:4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  <c r="AB156" s="138"/>
      <c r="AC156" s="138"/>
      <c r="AD156" s="138"/>
      <c r="AE156" s="138"/>
      <c r="AF156" s="138"/>
      <c r="AG156" s="138"/>
      <c r="AH156" s="138"/>
      <c r="AI156" s="138"/>
      <c r="AJ156" s="138"/>
      <c r="AK156" s="138"/>
      <c r="AL156" s="138"/>
      <c r="AM156" s="138"/>
      <c r="AN156" s="138"/>
      <c r="AO156" s="138"/>
    </row>
    <row r="157" spans="1:4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  <c r="AB157" s="138"/>
      <c r="AC157" s="138"/>
      <c r="AD157" s="138"/>
      <c r="AE157" s="138"/>
      <c r="AF157" s="138"/>
      <c r="AG157" s="138"/>
      <c r="AH157" s="138"/>
      <c r="AI157" s="138"/>
      <c r="AJ157" s="138"/>
      <c r="AK157" s="138"/>
      <c r="AL157" s="138"/>
      <c r="AM157" s="138"/>
      <c r="AN157" s="138"/>
      <c r="AO157" s="138"/>
    </row>
    <row r="158" spans="1:4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  <c r="AC158" s="138"/>
      <c r="AD158" s="138"/>
      <c r="AE158" s="138"/>
      <c r="AF158" s="138"/>
      <c r="AG158" s="138"/>
      <c r="AH158" s="138"/>
      <c r="AI158" s="138"/>
      <c r="AJ158" s="138"/>
      <c r="AK158" s="138"/>
      <c r="AL158" s="138"/>
      <c r="AM158" s="138"/>
      <c r="AN158" s="138"/>
      <c r="AO158" s="138"/>
    </row>
    <row r="159" spans="1:4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  <c r="AB159" s="138"/>
      <c r="AC159" s="138"/>
      <c r="AD159" s="138"/>
      <c r="AE159" s="138"/>
      <c r="AF159" s="138"/>
      <c r="AG159" s="138"/>
      <c r="AH159" s="138"/>
      <c r="AI159" s="138"/>
      <c r="AJ159" s="138"/>
      <c r="AK159" s="138"/>
      <c r="AL159" s="138"/>
      <c r="AM159" s="138"/>
      <c r="AN159" s="138"/>
      <c r="AO159" s="138"/>
    </row>
    <row r="160" spans="1:4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138"/>
      <c r="AD160" s="138"/>
      <c r="AE160" s="138"/>
      <c r="AF160" s="138"/>
      <c r="AG160" s="138"/>
      <c r="AH160" s="138"/>
      <c r="AI160" s="138"/>
      <c r="AJ160" s="138"/>
      <c r="AK160" s="138"/>
      <c r="AL160" s="138"/>
      <c r="AM160" s="138"/>
      <c r="AN160" s="138"/>
      <c r="AO160" s="13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O160"/>
  <sheetViews>
    <sheetView showGridLines="0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18" customWidth="1"/>
    <col min="2" max="2" width="60" customWidth="1"/>
    <col min="3" max="11" width="18" customWidth="1"/>
    <col min="12" max="13" width="52" customWidth="1"/>
    <col min="14" max="15" width="18" customWidth="1"/>
    <col min="16" max="16" width="42" customWidth="1"/>
    <col min="17" max="23" width="18" customWidth="1"/>
  </cols>
  <sheetData>
    <row r="1" spans="1:41">
      <c r="A1" s="138" t="inlineStr">
        <is>
          <t>Prior-period invoice ledger used for comparison. Public demonstration data.</t>
        </is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</row>
    <row r="2" spans="1:41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</row>
    <row r="3" spans="1:41">
      <c r="A3" s="138"/>
      <c r="B3" s="138"/>
      <c r="C3" s="138"/>
      <c r="D3" s="141">
        <v>46284</v>
      </c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</row>
    <row r="4" spans="1:41">
      <c r="A4" s="138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</row>
    <row r="5" spans="1:41" ht="38.1" customHeight="1">
      <c r="A5" s="140" t="inlineStr">
        <is>
          <t>Customer</t>
        </is>
      </c>
      <c r="B5" s="140" t="inlineStr">
        <is>
          <t>Legal Name</t>
        </is>
      </c>
      <c r="C5" s="140" t="inlineStr">
        <is>
          <t>Document Number</t>
        </is>
      </c>
      <c r="D5" s="140" t="inlineStr">
        <is>
          <t>Invoice Number</t>
        </is>
      </c>
      <c r="E5" s="140" t="inlineStr">
        <is>
          <t>Invoice Date</t>
        </is>
      </c>
      <c r="F5" s="140" t="inlineStr">
        <is>
          <t>Due Date</t>
        </is>
      </c>
      <c r="G5" s="140" t="inlineStr">
        <is>
          <t>Invoice Gross Amount</t>
        </is>
      </c>
      <c r="H5" s="140" t="inlineStr">
        <is>
          <t>Receipts Applied</t>
        </is>
      </c>
      <c r="I5" s="140" t="inlineStr">
        <is>
          <t>Outstanding Balance</t>
        </is>
      </c>
      <c r="J5" s="140" t="inlineStr">
        <is>
          <t>Sales Representative</t>
        </is>
      </c>
      <c r="K5" s="140" t="inlineStr">
        <is>
          <t>Business Type</t>
        </is>
      </c>
      <c r="L5" s="140" t="inlineStr">
        <is>
          <t>Project</t>
        </is>
      </c>
      <c r="M5" s="140" t="inlineStr">
        <is>
          <t>Description</t>
        </is>
      </c>
      <c r="N5" s="140" t="inlineStr">
        <is>
          <t>Promised Payment Date</t>
        </is>
      </c>
      <c r="O5" s="140" t="inlineStr">
        <is>
          <t>Last Contact</t>
        </is>
      </c>
      <c r="P5" s="140" t="inlineStr">
        <is>
          <t>Next Action</t>
        </is>
      </c>
      <c r="Q5" s="140" t="inlineStr">
        <is>
          <t>Days Overdue</t>
        </is>
      </c>
      <c r="R5" s="140" t="inlineStr">
        <is>
          <t>Customer / Staff Match</t>
        </is>
      </c>
      <c r="S5" s="140" t="inlineStr">
        <is>
          <t>Selected Balance</t>
        </is>
      </c>
      <c r="T5" s="140" t="inlineStr">
        <is>
          <t>Selected Overdue</t>
        </is>
      </c>
      <c r="U5" s="140" t="inlineStr">
        <is>
          <t>Status Match</t>
        </is>
      </c>
      <c r="V5" s="140" t="inlineStr">
        <is>
          <t>Filtered Balance</t>
        </is>
      </c>
      <c r="W5" s="140" t="inlineStr">
        <is>
          <t>Overdue Days × Balance</t>
        </is>
      </c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</row>
    <row r="6" spans="1:41">
      <c r="A6" s="138" t="inlineStr">
        <is>
          <t>Client Beta (Heavy Const.)</t>
        </is>
      </c>
      <c r="B6" s="138" t="inlineStr">
        <is>
          <t>CLIENT BETA HEAVY INDUSTRIAL CONSTRUCTION CORP</t>
        </is>
      </c>
      <c r="C6" s="138" t="inlineStr">
        <is>
          <t>AR-00001</t>
        </is>
      </c>
      <c r="D6" s="138" t="inlineStr">
        <is>
          <t>70000001</t>
        </is>
      </c>
      <c r="E6" s="141">
        <v>46262.0</v>
      </c>
      <c r="F6" s="141">
        <v>46292.0</v>
      </c>
      <c r="G6" s="142">
        <v>78091274</v>
      </c>
      <c r="H6" s="142">
        <v>0</v>
      </c>
      <c r="I6" s="142">
        <v>78091274</v>
      </c>
      <c r="J6" s="138" t="inlineStr">
        <is>
          <t>Senior Sales Rep 1</t>
        </is>
      </c>
      <c r="K6" s="138" t="inlineStr">
        <is>
          <t>Trading</t>
        </is>
      </c>
      <c r="L6" s="138" t="inlineStr">
        <is>
          <t>Project 009</t>
        </is>
      </c>
      <c r="M6" s="138" t="inlineStr">
        <is>
          <t>Collection note 001</t>
        </is>
      </c>
      <c r="N6" s="143"/>
      <c r="O6" s="143"/>
      <c r="P6" s="144"/>
      <c r="Q6" s="138">
        <f>IF(ISNUMBER(F6),$D$3-F6,"")</f>
        <v>-8.0</v>
      </c>
      <c r="R6" s="138">
        <f>IF(AND(OR(Dashboard!$P$1="All",A6=Dashboard!$P$1),OR(Dashboard!$P$2="All",J6=Dashboard!$P$2)),1,0)</f>
        <v>1</v>
      </c>
      <c r="S6" s="138">
        <f>I6*R6</f>
        <v>78091274</v>
      </c>
      <c r="T6" s="138">
        <f>IF(AND(ISNUMBER(Q6),Q6&gt;0),S6,0)</f>
        <v>0</v>
      </c>
      <c r="U6" s="138">
        <f>IF(OR(Dashboard!$P$3="All",AND(Dashboard!$P$3="Not due",Q6&lt;0),AND(Dashboard!$P$3="Due in 10 days",Q6&gt;=-10,Q6&lt;=0),AND(Dashboard!$P$3="Due in 30 days",Q6&gt;=-30,Q6&lt;=0),AND(Dashboard!$P$3="Overdue 1–60 days",Q6&gt;0,Q6&lt;=60),AND(Dashboard!$P$3="Over 60 days",Q6&gt;60),AND(Dashboard!$P$3="All overdue",Q6&gt;0)),1,0)</f>
        <v>1</v>
      </c>
      <c r="V6" s="138">
        <f>S6*U6</f>
        <v>78091274</v>
      </c>
      <c r="W6" s="138">
        <f>IF(Q6&gt;0,T6*Q6,0)</f>
        <v>0</v>
      </c>
      <c r="X6" s="138">
        <f>IF(V6&gt;0,COUNTIF($V$6:V6,"&gt;0"),"")</f>
        <v>1</v>
      </c>
      <c r="Y6" s="138" t="str">
        <f>C6&amp;"|"&amp;D6</f>
        <v>AR-00001|70000001</v>
      </c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</row>
    <row r="7" spans="1:41">
      <c r="A7" s="138" t="inlineStr">
        <is>
          <t>Client Beta (Heavy Const.)</t>
        </is>
      </c>
      <c r="B7" s="138" t="inlineStr">
        <is>
          <t>CLIENT BETA HEAVY INDUSTRIAL CONSTRUCTION CORP</t>
        </is>
      </c>
      <c r="C7" s="138" t="inlineStr">
        <is>
          <t>AR-00002</t>
        </is>
      </c>
      <c r="D7" s="138" t="inlineStr">
        <is>
          <t>70000002</t>
        </is>
      </c>
      <c r="E7" s="141">
        <v>46262.0</v>
      </c>
      <c r="F7" s="141">
        <v>46292.0</v>
      </c>
      <c r="G7" s="142">
        <v>952138129</v>
      </c>
      <c r="H7" s="142">
        <v>0</v>
      </c>
      <c r="I7" s="142">
        <v>952138129</v>
      </c>
      <c r="J7" s="138" t="inlineStr">
        <is>
          <t>Senior Sales Rep 1</t>
        </is>
      </c>
      <c r="K7" s="138" t="inlineStr">
        <is>
          <t>Trading</t>
        </is>
      </c>
      <c r="L7" s="138" t="inlineStr">
        <is>
          <t>Project 009</t>
        </is>
      </c>
      <c r="M7" s="138" t="inlineStr">
        <is>
          <t>Collection note 001</t>
        </is>
      </c>
      <c r="N7" s="143"/>
      <c r="O7" s="143"/>
      <c r="P7" s="144"/>
      <c r="Q7" s="138">
        <f>IF(ISNUMBER(F7),$D$3-F7,"")</f>
        <v>-8.0</v>
      </c>
      <c r="R7" s="138">
        <f>IF(AND(OR(Dashboard!$P$1="All",A7=Dashboard!$P$1),OR(Dashboard!$P$2="All",J7=Dashboard!$P$2)),1,0)</f>
        <v>1</v>
      </c>
      <c r="S7" s="138">
        <f>I7*R7</f>
        <v>952138129</v>
      </c>
      <c r="T7" s="138">
        <f>IF(AND(ISNUMBER(Q7),Q7&gt;0),S7,0)</f>
        <v>0</v>
      </c>
      <c r="U7" s="138">
        <f>IF(OR(Dashboard!$P$3="All",AND(Dashboard!$P$3="Not due",Q7&lt;0),AND(Dashboard!$P$3="Due in 10 days",Q7&gt;=-10,Q7&lt;=0),AND(Dashboard!$P$3="Due in 30 days",Q7&gt;=-30,Q7&lt;=0),AND(Dashboard!$P$3="Overdue 1–60 days",Q7&gt;0,Q7&lt;=60),AND(Dashboard!$P$3="Over 60 days",Q7&gt;60),AND(Dashboard!$P$3="All overdue",Q7&gt;0)),1,0)</f>
        <v>1</v>
      </c>
      <c r="V7" s="138">
        <f>S7*U7</f>
        <v>952138129</v>
      </c>
      <c r="W7" s="138">
        <f>IF(Q7&gt;0,T7*Q7,0)</f>
        <v>0</v>
      </c>
      <c r="X7" s="138">
        <f>IF(V7&gt;0,COUNTIF($V$6:V7,"&gt;0"),"")</f>
        <v>2</v>
      </c>
      <c r="Y7" s="138" t="str">
        <f>C7&amp;"|"&amp;D7</f>
        <v>AR-00002|70000002</v>
      </c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</row>
    <row r="8" spans="1:41">
      <c r="A8" s="138" t="inlineStr">
        <is>
          <t>Client Beta (Heavy Const.)</t>
        </is>
      </c>
      <c r="B8" s="138" t="inlineStr">
        <is>
          <t>CLIENT BETA HEAVY INDUSTRIAL CONSTRUCTION CORP</t>
        </is>
      </c>
      <c r="C8" s="138" t="inlineStr">
        <is>
          <t>AR-00003</t>
        </is>
      </c>
      <c r="D8" s="138" t="inlineStr">
        <is>
          <t>70000003</t>
        </is>
      </c>
      <c r="E8" s="141">
        <v>46262.0</v>
      </c>
      <c r="F8" s="141">
        <v>46292.0</v>
      </c>
      <c r="G8" s="142">
        <v>572943345</v>
      </c>
      <c r="H8" s="142">
        <v>0</v>
      </c>
      <c r="I8" s="142">
        <v>572943345</v>
      </c>
      <c r="J8" s="138" t="inlineStr">
        <is>
          <t>Senior Sales Rep 1</t>
        </is>
      </c>
      <c r="K8" s="138" t="inlineStr">
        <is>
          <t>Trading</t>
        </is>
      </c>
      <c r="L8" s="138" t="inlineStr">
        <is>
          <t>Project 009</t>
        </is>
      </c>
      <c r="M8" s="138" t="inlineStr">
        <is>
          <t>Collection note 001</t>
        </is>
      </c>
      <c r="N8" s="143"/>
      <c r="O8" s="143"/>
      <c r="P8" s="144"/>
      <c r="Q8" s="138">
        <f>IF(ISNUMBER(F8),$D$3-F8,"")</f>
        <v>-8.0</v>
      </c>
      <c r="R8" s="138">
        <f>IF(AND(OR(Dashboard!$P$1="All",A8=Dashboard!$P$1),OR(Dashboard!$P$2="All",J8=Dashboard!$P$2)),1,0)</f>
        <v>1</v>
      </c>
      <c r="S8" s="138">
        <f>I8*R8</f>
        <v>572943345</v>
      </c>
      <c r="T8" s="138">
        <f>IF(AND(ISNUMBER(Q8),Q8&gt;0),S8,0)</f>
        <v>0</v>
      </c>
      <c r="U8" s="138">
        <f>IF(OR(Dashboard!$P$3="All",AND(Dashboard!$P$3="Not due",Q8&lt;0),AND(Dashboard!$P$3="Due in 10 days",Q8&gt;=-10,Q8&lt;=0),AND(Dashboard!$P$3="Due in 30 days",Q8&gt;=-30,Q8&lt;=0),AND(Dashboard!$P$3="Overdue 1–60 days",Q8&gt;0,Q8&lt;=60),AND(Dashboard!$P$3="Over 60 days",Q8&gt;60),AND(Dashboard!$P$3="All overdue",Q8&gt;0)),1,0)</f>
        <v>1</v>
      </c>
      <c r="V8" s="138">
        <f>S8*U8</f>
        <v>572943345</v>
      </c>
      <c r="W8" s="138">
        <f>IF(Q8&gt;0,T8*Q8,0)</f>
        <v>0</v>
      </c>
      <c r="X8" s="138">
        <f>IF(V8&gt;0,COUNTIF($V$6:V8,"&gt;0"),"")</f>
        <v>3</v>
      </c>
      <c r="Y8" s="138" t="str">
        <f>C8&amp;"|"&amp;D8</f>
        <v>AR-00003|70000003</v>
      </c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</row>
    <row r="9" spans="1:41">
      <c r="A9" s="138" t="inlineStr">
        <is>
          <t>Client Alpha (Steel EPC)</t>
        </is>
      </c>
      <c r="B9" s="138" t="inlineStr">
        <is>
          <t>CLIENT ALPHA STEEL STRUCTURE CORPORATION</t>
        </is>
      </c>
      <c r="C9" s="138" t="inlineStr">
        <is>
          <t>AR-00099</t>
        </is>
      </c>
      <c r="D9" s="138" t="inlineStr">
        <is>
          <t>70000099</t>
        </is>
      </c>
      <c r="E9" s="141">
        <v>46161.0</v>
      </c>
      <c r="F9" s="141">
        <v>46236.0</v>
      </c>
      <c r="G9" s="142">
        <v>673993453</v>
      </c>
      <c r="H9" s="142">
        <v>0</v>
      </c>
      <c r="I9" s="142">
        <v>673993453</v>
      </c>
      <c r="J9" s="138" t="inlineStr">
        <is>
          <t>Senior Sales Rep 2</t>
        </is>
      </c>
      <c r="K9" s="138" t="inlineStr">
        <is>
          <t>Trading</t>
        </is>
      </c>
      <c r="L9" s="138" t="inlineStr">
        <is>
          <t>Project 010</t>
        </is>
      </c>
      <c r="M9" s="138" t="inlineStr">
        <is>
          <t>Collection note 013</t>
        </is>
      </c>
      <c r="N9" s="143"/>
      <c r="O9" s="143"/>
      <c r="P9" s="144"/>
      <c r="Q9" s="138">
        <f>IF(ISNUMBER(F9),$D$3-F9,"")</f>
        <v>48.0</v>
      </c>
      <c r="R9" s="138">
        <f>IF(AND(OR(Dashboard!$P$1="All",A9=Dashboard!$P$1),OR(Dashboard!$P$2="All",J9=Dashboard!$P$2)),1,0)</f>
        <v>1</v>
      </c>
      <c r="S9" s="138">
        <f>I9*R9</f>
        <v>673993453</v>
      </c>
      <c r="T9" s="138">
        <f>IF(AND(ISNUMBER(Q9),Q9&gt;0),S9,0)</f>
        <v>673993453</v>
      </c>
      <c r="U9" s="138">
        <f>IF(OR(Dashboard!$P$3="All",AND(Dashboard!$P$3="Not due",Q9&lt;0),AND(Dashboard!$P$3="Due in 10 days",Q9&gt;=-10,Q9&lt;=0),AND(Dashboard!$P$3="Due in 30 days",Q9&gt;=-30,Q9&lt;=0),AND(Dashboard!$P$3="Overdue 1–60 days",Q9&gt;0,Q9&lt;=60),AND(Dashboard!$P$3="Over 60 days",Q9&gt;60),AND(Dashboard!$P$3="All overdue",Q9&gt;0)),1,0)</f>
        <v>1</v>
      </c>
      <c r="V9" s="138">
        <f>S9*U9</f>
        <v>673993453</v>
      </c>
      <c r="W9" s="138">
        <f>IF(Q9&gt;0,T9*Q9,0)</f>
        <v>32351685744.0</v>
      </c>
      <c r="X9" s="138">
        <f>IF(V9&gt;0,COUNTIF($V$6:V9,"&gt;0"),"")</f>
        <v>4</v>
      </c>
      <c r="Y9" s="138" t="str">
        <f>C9&amp;"|"&amp;D9</f>
        <v>AR-00099|70000099</v>
      </c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</row>
    <row r="10" spans="1:41">
      <c r="A10" s="138" t="inlineStr">
        <is>
          <t>Client Alpha (Steel EPC)</t>
        </is>
      </c>
      <c r="B10" s="138" t="inlineStr">
        <is>
          <t>CLIENT ALPHA STEEL STRUCTURE CORPORATION</t>
        </is>
      </c>
      <c r="C10" s="138" t="inlineStr">
        <is>
          <t>AR-00100</t>
        </is>
      </c>
      <c r="D10" s="138" t="inlineStr">
        <is>
          <t>70000100</t>
        </is>
      </c>
      <c r="E10" s="141">
        <v>46167.0</v>
      </c>
      <c r="F10" s="141">
        <v>46242.0</v>
      </c>
      <c r="G10" s="142">
        <v>554101470</v>
      </c>
      <c r="H10" s="142">
        <v>451313869</v>
      </c>
      <c r="I10" s="142">
        <v>102787601</v>
      </c>
      <c r="J10" s="138" t="inlineStr">
        <is>
          <t>Senior Sales Rep 1</t>
        </is>
      </c>
      <c r="K10" s="138" t="inlineStr">
        <is>
          <t>Trading</t>
        </is>
      </c>
      <c r="L10" s="138" t="inlineStr">
        <is>
          <t>Project 011</t>
        </is>
      </c>
      <c r="M10" s="138" t="inlineStr">
        <is>
          <t>Collection note 006</t>
        </is>
      </c>
      <c r="N10" s="143"/>
      <c r="O10" s="143"/>
      <c r="P10" s="144"/>
      <c r="Q10" s="138">
        <f>IF(ISNUMBER(F10),$D$3-F10,"")</f>
        <v>42.0</v>
      </c>
      <c r="R10" s="138">
        <f>IF(AND(OR(Dashboard!$P$1="All",A10=Dashboard!$P$1),OR(Dashboard!$P$2="All",J10=Dashboard!$P$2)),1,0)</f>
        <v>1</v>
      </c>
      <c r="S10" s="138">
        <f>I10*R10</f>
        <v>102787601</v>
      </c>
      <c r="T10" s="138">
        <f>IF(AND(ISNUMBER(Q10),Q10&gt;0),S10,0)</f>
        <v>102787601</v>
      </c>
      <c r="U10" s="138">
        <f>IF(OR(Dashboard!$P$3="All",AND(Dashboard!$P$3="Not due",Q10&lt;0),AND(Dashboard!$P$3="Due in 10 days",Q10&gt;=-10,Q10&lt;=0),AND(Dashboard!$P$3="Due in 30 days",Q10&gt;=-30,Q10&lt;=0),AND(Dashboard!$P$3="Overdue 1–60 days",Q10&gt;0,Q10&lt;=60),AND(Dashboard!$P$3="Over 60 days",Q10&gt;60),AND(Dashboard!$P$3="All overdue",Q10&gt;0)),1,0)</f>
        <v>1</v>
      </c>
      <c r="V10" s="138">
        <f>S10*U10</f>
        <v>102787601</v>
      </c>
      <c r="W10" s="138">
        <f>IF(Q10&gt;0,T10*Q10,0)</f>
        <v>4317079242.0</v>
      </c>
      <c r="X10" s="138">
        <f>IF(V10&gt;0,COUNTIF($V$6:V10,"&gt;0"),"")</f>
        <v>5</v>
      </c>
      <c r="Y10" s="138" t="str">
        <f>C10&amp;"|"&amp;D10</f>
        <v>AR-00100|70000100</v>
      </c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</row>
    <row r="11" spans="1:41">
      <c r="A11" s="138" t="inlineStr">
        <is>
          <t>Client Alpha (Steel EPC)</t>
        </is>
      </c>
      <c r="B11" s="138" t="inlineStr">
        <is>
          <t>CLIENT ALPHA STEEL STRUCTURE CORPORATION</t>
        </is>
      </c>
      <c r="C11" s="138" t="inlineStr">
        <is>
          <t>AR-00101</t>
        </is>
      </c>
      <c r="D11" s="138" t="inlineStr">
        <is>
          <t>70000101</t>
        </is>
      </c>
      <c r="E11" s="141">
        <v>46167.0</v>
      </c>
      <c r="F11" s="141">
        <v>46242.0</v>
      </c>
      <c r="G11" s="142">
        <v>34830763</v>
      </c>
      <c r="H11" s="142">
        <v>0</v>
      </c>
      <c r="I11" s="142">
        <v>34830763</v>
      </c>
      <c r="J11" s="138" t="inlineStr">
        <is>
          <t>Senior Sales Rep 1</t>
        </is>
      </c>
      <c r="K11" s="138" t="inlineStr">
        <is>
          <t>Trading</t>
        </is>
      </c>
      <c r="L11" s="138" t="inlineStr">
        <is>
          <t>Project 011</t>
        </is>
      </c>
      <c r="M11" s="138" t="inlineStr">
        <is>
          <t>Collection note 006</t>
        </is>
      </c>
      <c r="N11" s="143"/>
      <c r="O11" s="143"/>
      <c r="P11" s="144"/>
      <c r="Q11" s="138">
        <f>IF(ISNUMBER(F11),$D$3-F11,"")</f>
        <v>42.0</v>
      </c>
      <c r="R11" s="138">
        <f>IF(AND(OR(Dashboard!$P$1="All",A11=Dashboard!$P$1),OR(Dashboard!$P$2="All",J11=Dashboard!$P$2)),1,0)</f>
        <v>1</v>
      </c>
      <c r="S11" s="138">
        <f>I11*R11</f>
        <v>34830763</v>
      </c>
      <c r="T11" s="138">
        <f>IF(AND(ISNUMBER(Q11),Q11&gt;0),S11,0)</f>
        <v>34830763</v>
      </c>
      <c r="U11" s="138">
        <f>IF(OR(Dashboard!$P$3="All",AND(Dashboard!$P$3="Not due",Q11&lt;0),AND(Dashboard!$P$3="Due in 10 days",Q11&gt;=-10,Q11&lt;=0),AND(Dashboard!$P$3="Due in 30 days",Q11&gt;=-30,Q11&lt;=0),AND(Dashboard!$P$3="Overdue 1–60 days",Q11&gt;0,Q11&lt;=60),AND(Dashboard!$P$3="Over 60 days",Q11&gt;60),AND(Dashboard!$P$3="All overdue",Q11&gt;0)),1,0)</f>
        <v>1</v>
      </c>
      <c r="V11" s="138">
        <f>S11*U11</f>
        <v>34830763</v>
      </c>
      <c r="W11" s="138">
        <f>IF(Q11&gt;0,T11*Q11,0)</f>
        <v>1462892046.0</v>
      </c>
      <c r="X11" s="138">
        <f>IF(V11&gt;0,COUNTIF($V$6:V11,"&gt;0"),"")</f>
        <v>6</v>
      </c>
      <c r="Y11" s="138" t="str">
        <f>C11&amp;"|"&amp;D11</f>
        <v>AR-00101|70000101</v>
      </c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</row>
    <row r="12" spans="1:41">
      <c r="A12" s="138" t="inlineStr">
        <is>
          <t>Client Alpha (Steel EPC)</t>
        </is>
      </c>
      <c r="B12" s="138" t="inlineStr">
        <is>
          <t>CLIENT ALPHA STEEL STRUCTURE CORPORATION</t>
        </is>
      </c>
      <c r="C12" s="138" t="inlineStr">
        <is>
          <t>AR-00102</t>
        </is>
      </c>
      <c r="D12" s="138" t="inlineStr">
        <is>
          <t>70000102</t>
        </is>
      </c>
      <c r="E12" s="141">
        <v>46167.0</v>
      </c>
      <c r="F12" s="141">
        <v>46242.0</v>
      </c>
      <c r="G12" s="142">
        <v>207794714</v>
      </c>
      <c r="H12" s="142">
        <v>0</v>
      </c>
      <c r="I12" s="142">
        <v>207794714</v>
      </c>
      <c r="J12" s="138" t="inlineStr">
        <is>
          <t>Senior Sales Rep 1</t>
        </is>
      </c>
      <c r="K12" s="138" t="inlineStr">
        <is>
          <t>Trading</t>
        </is>
      </c>
      <c r="L12" s="138" t="inlineStr">
        <is>
          <t>Project 011</t>
        </is>
      </c>
      <c r="M12" s="138" t="inlineStr">
        <is>
          <t>Collection note 006</t>
        </is>
      </c>
      <c r="N12" s="143"/>
      <c r="O12" s="143"/>
      <c r="P12" s="144"/>
      <c r="Q12" s="138">
        <f>IF(ISNUMBER(F12),$D$3-F12,"")</f>
        <v>42.0</v>
      </c>
      <c r="R12" s="138">
        <f>IF(AND(OR(Dashboard!$P$1="All",A12=Dashboard!$P$1),OR(Dashboard!$P$2="All",J12=Dashboard!$P$2)),1,0)</f>
        <v>1</v>
      </c>
      <c r="S12" s="138">
        <f>I12*R12</f>
        <v>207794714</v>
      </c>
      <c r="T12" s="138">
        <f>IF(AND(ISNUMBER(Q12),Q12&gt;0),S12,0)</f>
        <v>207794714</v>
      </c>
      <c r="U12" s="138">
        <f>IF(OR(Dashboard!$P$3="All",AND(Dashboard!$P$3="Not due",Q12&lt;0),AND(Dashboard!$P$3="Due in 10 days",Q12&gt;=-10,Q12&lt;=0),AND(Dashboard!$P$3="Due in 30 days",Q12&gt;=-30,Q12&lt;=0),AND(Dashboard!$P$3="Overdue 1–60 days",Q12&gt;0,Q12&lt;=60),AND(Dashboard!$P$3="Over 60 days",Q12&gt;60),AND(Dashboard!$P$3="All overdue",Q12&gt;0)),1,0)</f>
        <v>1</v>
      </c>
      <c r="V12" s="138">
        <f>S12*U12</f>
        <v>207794714</v>
      </c>
      <c r="W12" s="138">
        <f>IF(Q12&gt;0,T12*Q12,0)</f>
        <v>8727377988.0</v>
      </c>
      <c r="X12" s="138">
        <f>IF(V12&gt;0,COUNTIF($V$6:V12,"&gt;0"),"")</f>
        <v>7</v>
      </c>
      <c r="Y12" s="138" t="str">
        <f>C12&amp;"|"&amp;D12</f>
        <v>AR-00102|70000102</v>
      </c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</row>
    <row r="13" spans="1:41">
      <c r="A13" s="138" t="inlineStr">
        <is>
          <t>Client Alpha (Steel EPC)</t>
        </is>
      </c>
      <c r="B13" s="138" t="inlineStr">
        <is>
          <t>CLIENT ALPHA STEEL STRUCTURE CORPORATION</t>
        </is>
      </c>
      <c r="C13" s="138" t="inlineStr">
        <is>
          <t>AR-00103</t>
        </is>
      </c>
      <c r="D13" s="138" t="inlineStr">
        <is>
          <t>70000103</t>
        </is>
      </c>
      <c r="E13" s="141">
        <v>46167.0</v>
      </c>
      <c r="F13" s="141">
        <v>46242.0</v>
      </c>
      <c r="G13" s="142">
        <v>505495089</v>
      </c>
      <c r="H13" s="142">
        <v>0</v>
      </c>
      <c r="I13" s="142">
        <v>505495089</v>
      </c>
      <c r="J13" s="138" t="inlineStr">
        <is>
          <t>Senior Sales Rep 2</t>
        </is>
      </c>
      <c r="K13" s="138" t="inlineStr">
        <is>
          <t>Trading</t>
        </is>
      </c>
      <c r="L13" s="138" t="inlineStr">
        <is>
          <t>Project 010</t>
        </is>
      </c>
      <c r="M13" s="138" t="inlineStr">
        <is>
          <t>Collection note 013</t>
        </is>
      </c>
      <c r="N13" s="143"/>
      <c r="O13" s="143"/>
      <c r="P13" s="144"/>
      <c r="Q13" s="138">
        <f>IF(ISNUMBER(F13),$D$3-F13,"")</f>
        <v>42.0</v>
      </c>
      <c r="R13" s="138">
        <f>IF(AND(OR(Dashboard!$P$1="All",A13=Dashboard!$P$1),OR(Dashboard!$P$2="All",J13=Dashboard!$P$2)),1,0)</f>
        <v>1</v>
      </c>
      <c r="S13" s="138">
        <f>I13*R13</f>
        <v>505495089</v>
      </c>
      <c r="T13" s="138">
        <f>IF(AND(ISNUMBER(Q13),Q13&gt;0),S13,0)</f>
        <v>505495089</v>
      </c>
      <c r="U13" s="138">
        <f>IF(OR(Dashboard!$P$3="All",AND(Dashboard!$P$3="Not due",Q13&lt;0),AND(Dashboard!$P$3="Due in 10 days",Q13&gt;=-10,Q13&lt;=0),AND(Dashboard!$P$3="Due in 30 days",Q13&gt;=-30,Q13&lt;=0),AND(Dashboard!$P$3="Overdue 1–60 days",Q13&gt;0,Q13&lt;=60),AND(Dashboard!$P$3="Over 60 days",Q13&gt;60),AND(Dashboard!$P$3="All overdue",Q13&gt;0)),1,0)</f>
        <v>1</v>
      </c>
      <c r="V13" s="138">
        <f>S13*U13</f>
        <v>505495089</v>
      </c>
      <c r="W13" s="138">
        <f>IF(Q13&gt;0,T13*Q13,0)</f>
        <v>21230793738.0</v>
      </c>
      <c r="X13" s="138">
        <f>IF(V13&gt;0,COUNTIF($V$6:V13,"&gt;0"),"")</f>
        <v>8</v>
      </c>
      <c r="Y13" s="138" t="str">
        <f>C13&amp;"|"&amp;D13</f>
        <v>AR-00103|70000103</v>
      </c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</row>
    <row r="14" spans="1:41">
      <c r="A14" s="138" t="inlineStr">
        <is>
          <t>Client Alpha (Steel EPC)</t>
        </is>
      </c>
      <c r="B14" s="138" t="inlineStr">
        <is>
          <t>CLIENT ALPHA STEEL STRUCTURE CORPORATION</t>
        </is>
      </c>
      <c r="C14" s="138" t="inlineStr">
        <is>
          <t>AR-00104</t>
        </is>
      </c>
      <c r="D14" s="138" t="inlineStr">
        <is>
          <t>70000104</t>
        </is>
      </c>
      <c r="E14" s="141">
        <v>46171.0</v>
      </c>
      <c r="F14" s="141">
        <v>46246.0</v>
      </c>
      <c r="G14" s="142">
        <v>130289125</v>
      </c>
      <c r="H14" s="142">
        <v>0</v>
      </c>
      <c r="I14" s="142">
        <v>130289125</v>
      </c>
      <c r="J14" s="138" t="inlineStr">
        <is>
          <t>Senior Sales Rep 1</t>
        </is>
      </c>
      <c r="K14" s="138" t="inlineStr">
        <is>
          <t>Trading</t>
        </is>
      </c>
      <c r="L14" s="138" t="inlineStr">
        <is>
          <t>Project 011</t>
        </is>
      </c>
      <c r="M14" s="138" t="inlineStr">
        <is>
          <t>Collection note 006</t>
        </is>
      </c>
      <c r="N14" s="143"/>
      <c r="O14" s="143"/>
      <c r="P14" s="144"/>
      <c r="Q14" s="138">
        <f>IF(ISNUMBER(F14),$D$3-F14,"")</f>
        <v>38.0</v>
      </c>
      <c r="R14" s="138">
        <f>IF(AND(OR(Dashboard!$P$1="All",A14=Dashboard!$P$1),OR(Dashboard!$P$2="All",J14=Dashboard!$P$2)),1,0)</f>
        <v>1</v>
      </c>
      <c r="S14" s="138">
        <f>I14*R14</f>
        <v>130289125</v>
      </c>
      <c r="T14" s="138">
        <f>IF(AND(ISNUMBER(Q14),Q14&gt;0),S14,0)</f>
        <v>130289125</v>
      </c>
      <c r="U14" s="138">
        <f>IF(OR(Dashboard!$P$3="All",AND(Dashboard!$P$3="Not due",Q14&lt;0),AND(Dashboard!$P$3="Due in 10 days",Q14&gt;=-10,Q14&lt;=0),AND(Dashboard!$P$3="Due in 30 days",Q14&gt;=-30,Q14&lt;=0),AND(Dashboard!$P$3="Overdue 1–60 days",Q14&gt;0,Q14&lt;=60),AND(Dashboard!$P$3="Over 60 days",Q14&gt;60),AND(Dashboard!$P$3="All overdue",Q14&gt;0)),1,0)</f>
        <v>1</v>
      </c>
      <c r="V14" s="138">
        <f>S14*U14</f>
        <v>130289125</v>
      </c>
      <c r="W14" s="138">
        <f>IF(Q14&gt;0,T14*Q14,0)</f>
        <v>4950986750.0</v>
      </c>
      <c r="X14" s="138">
        <f>IF(V14&gt;0,COUNTIF($V$6:V14,"&gt;0"),"")</f>
        <v>9</v>
      </c>
      <c r="Y14" s="138" t="str">
        <f>C14&amp;"|"&amp;D14</f>
        <v>AR-00104|70000104</v>
      </c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</row>
    <row r="15" spans="1:41">
      <c r="A15" s="138" t="inlineStr">
        <is>
          <t>Client Alpha (Steel EPC)</t>
        </is>
      </c>
      <c r="B15" s="138" t="inlineStr">
        <is>
          <t>CLIENT ALPHA STEEL STRUCTURE CORPORATION</t>
        </is>
      </c>
      <c r="C15" s="138" t="inlineStr">
        <is>
          <t>AR-00105</t>
        </is>
      </c>
      <c r="D15" s="138" t="inlineStr">
        <is>
          <t>70000105</t>
        </is>
      </c>
      <c r="E15" s="141">
        <v>46184.0</v>
      </c>
      <c r="F15" s="141">
        <v>46259.0</v>
      </c>
      <c r="G15" s="142">
        <v>505495089</v>
      </c>
      <c r="H15" s="142">
        <v>0</v>
      </c>
      <c r="I15" s="142">
        <v>505495089</v>
      </c>
      <c r="J15" s="138" t="inlineStr">
        <is>
          <t>Senior Sales Rep 2</t>
        </is>
      </c>
      <c r="K15" s="138" t="inlineStr">
        <is>
          <t>Trading</t>
        </is>
      </c>
      <c r="L15" s="138" t="inlineStr">
        <is>
          <t>Project 010</t>
        </is>
      </c>
      <c r="M15" s="138" t="inlineStr">
        <is>
          <t>Collection note 013</t>
        </is>
      </c>
      <c r="N15" s="143"/>
      <c r="O15" s="143"/>
      <c r="P15" s="144"/>
      <c r="Q15" s="138">
        <f>IF(ISNUMBER(F15),$D$3-F15,"")</f>
        <v>25.0</v>
      </c>
      <c r="R15" s="138">
        <f>IF(AND(OR(Dashboard!$P$1="All",A15=Dashboard!$P$1),OR(Dashboard!$P$2="All",J15=Dashboard!$P$2)),1,0)</f>
        <v>1</v>
      </c>
      <c r="S15" s="138">
        <f>I15*R15</f>
        <v>505495089</v>
      </c>
      <c r="T15" s="138">
        <f>IF(AND(ISNUMBER(Q15),Q15&gt;0),S15,0)</f>
        <v>505495089</v>
      </c>
      <c r="U15" s="138">
        <f>IF(OR(Dashboard!$P$3="All",AND(Dashboard!$P$3="Not due",Q15&lt;0),AND(Dashboard!$P$3="Due in 10 days",Q15&gt;=-10,Q15&lt;=0),AND(Dashboard!$P$3="Due in 30 days",Q15&gt;=-30,Q15&lt;=0),AND(Dashboard!$P$3="Overdue 1–60 days",Q15&gt;0,Q15&lt;=60),AND(Dashboard!$P$3="Over 60 days",Q15&gt;60),AND(Dashboard!$P$3="All overdue",Q15&gt;0)),1,0)</f>
        <v>1</v>
      </c>
      <c r="V15" s="138">
        <f>S15*U15</f>
        <v>505495089</v>
      </c>
      <c r="W15" s="138">
        <f>IF(Q15&gt;0,T15*Q15,0)</f>
        <v>12637377225.0</v>
      </c>
      <c r="X15" s="138">
        <f>IF(V15&gt;0,COUNTIF($V$6:V15,"&gt;0"),"")</f>
        <v>10</v>
      </c>
      <c r="Y15" s="138" t="str">
        <f>C15&amp;"|"&amp;D15</f>
        <v>AR-00105|70000105</v>
      </c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</row>
    <row r="16" spans="1:41">
      <c r="A16" s="138" t="inlineStr">
        <is>
          <t>Client Alpha (Steel EPC)</t>
        </is>
      </c>
      <c r="B16" s="138" t="inlineStr">
        <is>
          <t>CLIENT ALPHA STEEL STRUCTURE CORPORATION</t>
        </is>
      </c>
      <c r="C16" s="138" t="inlineStr">
        <is>
          <t>AR-00009</t>
        </is>
      </c>
      <c r="D16" s="138" t="inlineStr">
        <is>
          <t>70000009</t>
        </is>
      </c>
      <c r="E16" s="141">
        <v>46189.0</v>
      </c>
      <c r="F16" s="141">
        <v>46264.0</v>
      </c>
      <c r="G16" s="142">
        <v>97367488</v>
      </c>
      <c r="H16" s="142">
        <v>0</v>
      </c>
      <c r="I16" s="142">
        <v>97367488</v>
      </c>
      <c r="J16" s="138" t="inlineStr">
        <is>
          <t>Senior Sales Rep 1</t>
        </is>
      </c>
      <c r="K16" s="138" t="inlineStr">
        <is>
          <t>Trading</t>
        </is>
      </c>
      <c r="L16" s="138" t="inlineStr">
        <is>
          <t>Project 012</t>
        </is>
      </c>
      <c r="M16" s="138" t="inlineStr">
        <is>
          <t>Collection note 005</t>
        </is>
      </c>
      <c r="N16" s="143"/>
      <c r="O16" s="143"/>
      <c r="P16" s="144"/>
      <c r="Q16" s="138">
        <f>IF(ISNUMBER(F16),$D$3-F16,"")</f>
        <v>20.0</v>
      </c>
      <c r="R16" s="138">
        <f>IF(AND(OR(Dashboard!$P$1="All",A16=Dashboard!$P$1),OR(Dashboard!$P$2="All",J16=Dashboard!$P$2)),1,0)</f>
        <v>1</v>
      </c>
      <c r="S16" s="138">
        <f>I16*R16</f>
        <v>97367488</v>
      </c>
      <c r="T16" s="138">
        <f>IF(AND(ISNUMBER(Q16),Q16&gt;0),S16,0)</f>
        <v>97367488</v>
      </c>
      <c r="U16" s="138">
        <f>IF(OR(Dashboard!$P$3="All",AND(Dashboard!$P$3="Not due",Q16&lt;0),AND(Dashboard!$P$3="Due in 10 days",Q16&gt;=-10,Q16&lt;=0),AND(Dashboard!$P$3="Due in 30 days",Q16&gt;=-30,Q16&lt;=0),AND(Dashboard!$P$3="Overdue 1–60 days",Q16&gt;0,Q16&lt;=60),AND(Dashboard!$P$3="Over 60 days",Q16&gt;60),AND(Dashboard!$P$3="All overdue",Q16&gt;0)),1,0)</f>
        <v>1</v>
      </c>
      <c r="V16" s="138">
        <f>S16*U16</f>
        <v>97367488</v>
      </c>
      <c r="W16" s="138">
        <f>IF(Q16&gt;0,T16*Q16,0)</f>
        <v>1947349760.0</v>
      </c>
      <c r="X16" s="138">
        <f>IF(V16&gt;0,COUNTIF($V$6:V16,"&gt;0"),"")</f>
        <v>11</v>
      </c>
      <c r="Y16" s="138" t="str">
        <f>C16&amp;"|"&amp;D16</f>
        <v>AR-00009|70000009</v>
      </c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</row>
    <row r="17" spans="1:41">
      <c r="A17" s="138" t="inlineStr">
        <is>
          <t>Client Alpha (Steel EPC)</t>
        </is>
      </c>
      <c r="B17" s="138" t="inlineStr">
        <is>
          <t>CLIENT ALPHA STEEL STRUCTURE CORPORATION</t>
        </is>
      </c>
      <c r="C17" s="138" t="inlineStr">
        <is>
          <t>AR-00010</t>
        </is>
      </c>
      <c r="D17" s="138" t="inlineStr">
        <is>
          <t>70000010</t>
        </is>
      </c>
      <c r="E17" s="141">
        <v>46191.0</v>
      </c>
      <c r="F17" s="141">
        <v>46266.0</v>
      </c>
      <c r="G17" s="142">
        <v>483414781</v>
      </c>
      <c r="H17" s="142">
        <v>0</v>
      </c>
      <c r="I17" s="142">
        <v>483414781</v>
      </c>
      <c r="J17" s="138" t="inlineStr">
        <is>
          <t>Senior Sales Rep 1</t>
        </is>
      </c>
      <c r="K17" s="138" t="inlineStr">
        <is>
          <t>Trading</t>
        </is>
      </c>
      <c r="L17" s="138" t="inlineStr">
        <is>
          <t>Project 011</t>
        </is>
      </c>
      <c r="M17" s="138" t="inlineStr">
        <is>
          <t>Collection note 006</t>
        </is>
      </c>
      <c r="N17" s="143"/>
      <c r="O17" s="143"/>
      <c r="P17" s="144"/>
      <c r="Q17" s="138">
        <f>IF(ISNUMBER(F17),$D$3-F17,"")</f>
        <v>18.0</v>
      </c>
      <c r="R17" s="138">
        <f>IF(AND(OR(Dashboard!$P$1="All",A17=Dashboard!$P$1),OR(Dashboard!$P$2="All",J17=Dashboard!$P$2)),1,0)</f>
        <v>1</v>
      </c>
      <c r="S17" s="138">
        <f>I17*R17</f>
        <v>483414781</v>
      </c>
      <c r="T17" s="138">
        <f>IF(AND(ISNUMBER(Q17),Q17&gt;0),S17,0)</f>
        <v>483414781</v>
      </c>
      <c r="U17" s="138">
        <f>IF(OR(Dashboard!$P$3="All",AND(Dashboard!$P$3="Not due",Q17&lt;0),AND(Dashboard!$P$3="Due in 10 days",Q17&gt;=-10,Q17&lt;=0),AND(Dashboard!$P$3="Due in 30 days",Q17&gt;=-30,Q17&lt;=0),AND(Dashboard!$P$3="Overdue 1–60 days",Q17&gt;0,Q17&lt;=60),AND(Dashboard!$P$3="Over 60 days",Q17&gt;60),AND(Dashboard!$P$3="All overdue",Q17&gt;0)),1,0)</f>
        <v>1</v>
      </c>
      <c r="V17" s="138">
        <f>S17*U17</f>
        <v>483414781</v>
      </c>
      <c r="W17" s="138">
        <f>IF(Q17&gt;0,T17*Q17,0)</f>
        <v>8701466058.0</v>
      </c>
      <c r="X17" s="138">
        <f>IF(V17&gt;0,COUNTIF($V$6:V17,"&gt;0"),"")</f>
        <v>12</v>
      </c>
      <c r="Y17" s="138" t="str">
        <f>C17&amp;"|"&amp;D17</f>
        <v>AR-00010|70000010</v>
      </c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</row>
    <row r="18" spans="1:41">
      <c r="A18" s="138" t="inlineStr">
        <is>
          <t>Client Alpha (Steel EPC)</t>
        </is>
      </c>
      <c r="B18" s="138" t="inlineStr">
        <is>
          <t>CLIENT ALPHA STEEL STRUCTURE CORPORATION</t>
        </is>
      </c>
      <c r="C18" s="138" t="inlineStr">
        <is>
          <t>AR-00011</t>
        </is>
      </c>
      <c r="D18" s="138" t="inlineStr">
        <is>
          <t>70000011</t>
        </is>
      </c>
      <c r="E18" s="141">
        <v>46197.0</v>
      </c>
      <c r="F18" s="141">
        <v>46272.0</v>
      </c>
      <c r="G18" s="142">
        <v>155914073</v>
      </c>
      <c r="H18" s="142">
        <v>31200813</v>
      </c>
      <c r="I18" s="142">
        <v>124713260</v>
      </c>
      <c r="J18" s="138" t="inlineStr">
        <is>
          <t>Senior Sales Rep 1</t>
        </is>
      </c>
      <c r="K18" s="138" t="inlineStr">
        <is>
          <t>Trading</t>
        </is>
      </c>
      <c r="L18" s="138" t="inlineStr">
        <is>
          <t>Project 009</t>
        </is>
      </c>
      <c r="M18" s="138" t="inlineStr">
        <is>
          <t>Collection note 007</t>
        </is>
      </c>
      <c r="N18" s="143"/>
      <c r="O18" s="143"/>
      <c r="P18" s="144"/>
      <c r="Q18" s="138">
        <f>IF(ISNUMBER(F18),$D$3-F18,"")</f>
        <v>12.0</v>
      </c>
      <c r="R18" s="138">
        <f>IF(AND(OR(Dashboard!$P$1="All",A18=Dashboard!$P$1),OR(Dashboard!$P$2="All",J18=Dashboard!$P$2)),1,0)</f>
        <v>1</v>
      </c>
      <c r="S18" s="138">
        <f>I18*R18</f>
        <v>124713260</v>
      </c>
      <c r="T18" s="138">
        <f>IF(AND(ISNUMBER(Q18),Q18&gt;0),S18,0)</f>
        <v>124713260</v>
      </c>
      <c r="U18" s="138">
        <f>IF(OR(Dashboard!$P$3="All",AND(Dashboard!$P$3="Not due",Q18&lt;0),AND(Dashboard!$P$3="Due in 10 days",Q18&gt;=-10,Q18&lt;=0),AND(Dashboard!$P$3="Due in 30 days",Q18&gt;=-30,Q18&lt;=0),AND(Dashboard!$P$3="Overdue 1–60 days",Q18&gt;0,Q18&lt;=60),AND(Dashboard!$P$3="Over 60 days",Q18&gt;60),AND(Dashboard!$P$3="All overdue",Q18&gt;0)),1,0)</f>
        <v>1</v>
      </c>
      <c r="V18" s="138">
        <f>S18*U18</f>
        <v>124713260</v>
      </c>
      <c r="W18" s="138">
        <f>IF(Q18&gt;0,T18*Q18,0)</f>
        <v>1496559120.0</v>
      </c>
      <c r="X18" s="138">
        <f>IF(V18&gt;0,COUNTIF($V$6:V18,"&gt;0"),"")</f>
        <v>13</v>
      </c>
      <c r="Y18" s="138" t="str">
        <f>C18&amp;"|"&amp;D18</f>
        <v>AR-00011|70000011</v>
      </c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</row>
    <row r="19" spans="1:41">
      <c r="A19" s="138" t="inlineStr">
        <is>
          <t>Client Alpha (Steel EPC)</t>
        </is>
      </c>
      <c r="B19" s="138" t="inlineStr">
        <is>
          <t>CLIENT ALPHA STEEL STRUCTURE CORPORATION</t>
        </is>
      </c>
      <c r="C19" s="138" t="inlineStr">
        <is>
          <t>AR-00012</t>
        </is>
      </c>
      <c r="D19" s="138" t="inlineStr">
        <is>
          <t>70000012</t>
        </is>
      </c>
      <c r="E19" s="141">
        <v>46210.0</v>
      </c>
      <c r="F19" s="141">
        <v>46285.0</v>
      </c>
      <c r="G19" s="142">
        <v>58259173</v>
      </c>
      <c r="H19" s="142">
        <v>0</v>
      </c>
      <c r="I19" s="142">
        <v>58259173</v>
      </c>
      <c r="J19" s="138" t="inlineStr">
        <is>
          <t>Senior Sales Rep 1</t>
        </is>
      </c>
      <c r="K19" s="138" t="inlineStr">
        <is>
          <t>Trading</t>
        </is>
      </c>
      <c r="L19" s="138" t="inlineStr">
        <is>
          <t>Project 013</t>
        </is>
      </c>
      <c r="M19" s="138" t="inlineStr">
        <is>
          <t>Collection note 008</t>
        </is>
      </c>
      <c r="N19" s="143"/>
      <c r="O19" s="143"/>
      <c r="P19" s="144"/>
      <c r="Q19" s="138">
        <f>IF(ISNUMBER(F19),$D$3-F19,"")</f>
        <v>-1.0</v>
      </c>
      <c r="R19" s="138">
        <f>IF(AND(OR(Dashboard!$P$1="All",A19=Dashboard!$P$1),OR(Dashboard!$P$2="All",J19=Dashboard!$P$2)),1,0)</f>
        <v>1</v>
      </c>
      <c r="S19" s="138">
        <f>I19*R19</f>
        <v>58259173</v>
      </c>
      <c r="T19" s="138">
        <f>IF(AND(ISNUMBER(Q19),Q19&gt;0),S19,0)</f>
        <v>0</v>
      </c>
      <c r="U19" s="138">
        <f>IF(OR(Dashboard!$P$3="All",AND(Dashboard!$P$3="Not due",Q19&lt;0),AND(Dashboard!$P$3="Due in 10 days",Q19&gt;=-10,Q19&lt;=0),AND(Dashboard!$P$3="Due in 30 days",Q19&gt;=-30,Q19&lt;=0),AND(Dashboard!$P$3="Overdue 1–60 days",Q19&gt;0,Q19&lt;=60),AND(Dashboard!$P$3="Over 60 days",Q19&gt;60),AND(Dashboard!$P$3="All overdue",Q19&gt;0)),1,0)</f>
        <v>1</v>
      </c>
      <c r="V19" s="138">
        <f>S19*U19</f>
        <v>58259173</v>
      </c>
      <c r="W19" s="138">
        <f>IF(Q19&gt;0,T19*Q19,0)</f>
        <v>0</v>
      </c>
      <c r="X19" s="138">
        <f>IF(V19&gt;0,COUNTIF($V$6:V19,"&gt;0"),"")</f>
        <v>14</v>
      </c>
      <c r="Y19" s="138" t="str">
        <f>C19&amp;"|"&amp;D19</f>
        <v>AR-00012|70000012</v>
      </c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</row>
    <row r="20" spans="1:41">
      <c r="A20" s="138" t="inlineStr">
        <is>
          <t>Client Alpha (Steel EPC)</t>
        </is>
      </c>
      <c r="B20" s="138" t="inlineStr">
        <is>
          <t>CLIENT ALPHA STEEL STRUCTURE CORPORATION</t>
        </is>
      </c>
      <c r="C20" s="138" t="inlineStr">
        <is>
          <t>AR-00013</t>
        </is>
      </c>
      <c r="D20" s="138" t="inlineStr">
        <is>
          <t>70000013</t>
        </is>
      </c>
      <c r="E20" s="141">
        <v>46210.0</v>
      </c>
      <c r="F20" s="141">
        <v>46285.0</v>
      </c>
      <c r="G20" s="142">
        <v>922843626</v>
      </c>
      <c r="H20" s="142">
        <v>0</v>
      </c>
      <c r="I20" s="142">
        <v>922843626</v>
      </c>
      <c r="J20" s="138" t="inlineStr">
        <is>
          <t>Senior Sales Rep 1</t>
        </is>
      </c>
      <c r="K20" s="138" t="inlineStr">
        <is>
          <t>Trading</t>
        </is>
      </c>
      <c r="L20" s="138" t="inlineStr">
        <is>
          <t>Project 013</t>
        </is>
      </c>
      <c r="M20" s="138" t="inlineStr">
        <is>
          <t>Collection note 008</t>
        </is>
      </c>
      <c r="N20" s="143"/>
      <c r="O20" s="143"/>
      <c r="P20" s="144"/>
      <c r="Q20" s="138">
        <f>IF(ISNUMBER(F20),$D$3-F20,"")</f>
        <v>-1.0</v>
      </c>
      <c r="R20" s="138">
        <f>IF(AND(OR(Dashboard!$P$1="All",A20=Dashboard!$P$1),OR(Dashboard!$P$2="All",J20=Dashboard!$P$2)),1,0)</f>
        <v>1</v>
      </c>
      <c r="S20" s="138">
        <f>I20*R20</f>
        <v>922843626</v>
      </c>
      <c r="T20" s="138">
        <f>IF(AND(ISNUMBER(Q20),Q20&gt;0),S20,0)</f>
        <v>0</v>
      </c>
      <c r="U20" s="138">
        <f>IF(OR(Dashboard!$P$3="All",AND(Dashboard!$P$3="Not due",Q20&lt;0),AND(Dashboard!$P$3="Due in 10 days",Q20&gt;=-10,Q20&lt;=0),AND(Dashboard!$P$3="Due in 30 days",Q20&gt;=-30,Q20&lt;=0),AND(Dashboard!$P$3="Overdue 1–60 days",Q20&gt;0,Q20&lt;=60),AND(Dashboard!$P$3="Over 60 days",Q20&gt;60),AND(Dashboard!$P$3="All overdue",Q20&gt;0)),1,0)</f>
        <v>1</v>
      </c>
      <c r="V20" s="138">
        <f>S20*U20</f>
        <v>922843626</v>
      </c>
      <c r="W20" s="138">
        <f>IF(Q20&gt;0,T20*Q20,0)</f>
        <v>0</v>
      </c>
      <c r="X20" s="138">
        <f>IF(V20&gt;0,COUNTIF($V$6:V20,"&gt;0"),"")</f>
        <v>15</v>
      </c>
      <c r="Y20" s="138" t="str">
        <f>C20&amp;"|"&amp;D20</f>
        <v>AR-00013|70000013</v>
      </c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</row>
    <row r="21" spans="1:41">
      <c r="A21" s="138" t="inlineStr">
        <is>
          <t>Client Alpha (Steel EPC)</t>
        </is>
      </c>
      <c r="B21" s="138" t="inlineStr">
        <is>
          <t>CLIENT ALPHA STEEL STRUCTURE CORPORATION</t>
        </is>
      </c>
      <c r="C21" s="138" t="inlineStr">
        <is>
          <t>AR-00014</t>
        </is>
      </c>
      <c r="D21" s="138" t="inlineStr">
        <is>
          <t>70000014</t>
        </is>
      </c>
      <c r="E21" s="141">
        <v>46210.0</v>
      </c>
      <c r="F21" s="141">
        <v>46285.0</v>
      </c>
      <c r="G21" s="142">
        <v>22812927</v>
      </c>
      <c r="H21" s="142">
        <v>0</v>
      </c>
      <c r="I21" s="142">
        <v>22812927</v>
      </c>
      <c r="J21" s="138" t="inlineStr">
        <is>
          <t>Senior Sales Rep 1</t>
        </is>
      </c>
      <c r="K21" s="138" t="inlineStr">
        <is>
          <t>Trading</t>
        </is>
      </c>
      <c r="L21" s="138" t="inlineStr">
        <is>
          <t>Project 013</t>
        </is>
      </c>
      <c r="M21" s="138" t="inlineStr">
        <is>
          <t>Collection note 008</t>
        </is>
      </c>
      <c r="N21" s="143"/>
      <c r="O21" s="143"/>
      <c r="P21" s="144"/>
      <c r="Q21" s="138">
        <f>IF(ISNUMBER(F21),$D$3-F21,"")</f>
        <v>-1.0</v>
      </c>
      <c r="R21" s="138">
        <f>IF(AND(OR(Dashboard!$P$1="All",A21=Dashboard!$P$1),OR(Dashboard!$P$2="All",J21=Dashboard!$P$2)),1,0)</f>
        <v>1</v>
      </c>
      <c r="S21" s="138">
        <f>I21*R21</f>
        <v>22812927</v>
      </c>
      <c r="T21" s="138">
        <f>IF(AND(ISNUMBER(Q21),Q21&gt;0),S21,0)</f>
        <v>0</v>
      </c>
      <c r="U21" s="138">
        <f>IF(OR(Dashboard!$P$3="All",AND(Dashboard!$P$3="Not due",Q21&lt;0),AND(Dashboard!$P$3="Due in 10 days",Q21&gt;=-10,Q21&lt;=0),AND(Dashboard!$P$3="Due in 30 days",Q21&gt;=-30,Q21&lt;=0),AND(Dashboard!$P$3="Overdue 1–60 days",Q21&gt;0,Q21&lt;=60),AND(Dashboard!$P$3="Over 60 days",Q21&gt;60),AND(Dashboard!$P$3="All overdue",Q21&gt;0)),1,0)</f>
        <v>1</v>
      </c>
      <c r="V21" s="138">
        <f>S21*U21</f>
        <v>22812927</v>
      </c>
      <c r="W21" s="138">
        <f>IF(Q21&gt;0,T21*Q21,0)</f>
        <v>0</v>
      </c>
      <c r="X21" s="138">
        <f>IF(V21&gt;0,COUNTIF($V$6:V21,"&gt;0"),"")</f>
        <v>16</v>
      </c>
      <c r="Y21" s="138" t="str">
        <f>C21&amp;"|"&amp;D21</f>
        <v>AR-00014|70000014</v>
      </c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</row>
    <row r="22" spans="1:41">
      <c r="A22" s="138" t="inlineStr">
        <is>
          <t>Client Alpha (Steel EPC)</t>
        </is>
      </c>
      <c r="B22" s="138" t="inlineStr">
        <is>
          <t>CLIENT ALPHA STEEL STRUCTURE CORPORATION</t>
        </is>
      </c>
      <c r="C22" s="138" t="inlineStr">
        <is>
          <t>AR-00015</t>
        </is>
      </c>
      <c r="D22" s="138" t="inlineStr">
        <is>
          <t>70000015</t>
        </is>
      </c>
      <c r="E22" s="141">
        <v>46218.0</v>
      </c>
      <c r="F22" s="141">
        <v>46293.0</v>
      </c>
      <c r="G22" s="142">
        <v>155769790</v>
      </c>
      <c r="H22" s="142">
        <v>0</v>
      </c>
      <c r="I22" s="142">
        <v>155769790</v>
      </c>
      <c r="J22" s="138" t="inlineStr">
        <is>
          <t>Senior Sales Rep 1</t>
        </is>
      </c>
      <c r="K22" s="138" t="inlineStr">
        <is>
          <t>Trading</t>
        </is>
      </c>
      <c r="L22" s="138" t="inlineStr">
        <is>
          <t>Project 014</t>
        </is>
      </c>
      <c r="M22" s="138" t="inlineStr">
        <is>
          <t>Collection note 009</t>
        </is>
      </c>
      <c r="N22" s="143"/>
      <c r="O22" s="143"/>
      <c r="P22" s="144"/>
      <c r="Q22" s="138">
        <f>IF(ISNUMBER(F22),$D$3-F22,"")</f>
        <v>-9.0</v>
      </c>
      <c r="R22" s="138">
        <f>IF(AND(OR(Dashboard!$P$1="All",A22=Dashboard!$P$1),OR(Dashboard!$P$2="All",J22=Dashboard!$P$2)),1,0)</f>
        <v>1</v>
      </c>
      <c r="S22" s="138">
        <f>I22*R22</f>
        <v>155769790</v>
      </c>
      <c r="T22" s="138">
        <f>IF(AND(ISNUMBER(Q22),Q22&gt;0),S22,0)</f>
        <v>0</v>
      </c>
      <c r="U22" s="138">
        <f>IF(OR(Dashboard!$P$3="All",AND(Dashboard!$P$3="Not due",Q22&lt;0),AND(Dashboard!$P$3="Due in 10 days",Q22&gt;=-10,Q22&lt;=0),AND(Dashboard!$P$3="Due in 30 days",Q22&gt;=-30,Q22&lt;=0),AND(Dashboard!$P$3="Overdue 1–60 days",Q22&gt;0,Q22&lt;=60),AND(Dashboard!$P$3="Over 60 days",Q22&gt;60),AND(Dashboard!$P$3="All overdue",Q22&gt;0)),1,0)</f>
        <v>1</v>
      </c>
      <c r="V22" s="138">
        <f>S22*U22</f>
        <v>155769790</v>
      </c>
      <c r="W22" s="138">
        <f>IF(Q22&gt;0,T22*Q22,0)</f>
        <v>0</v>
      </c>
      <c r="X22" s="138">
        <f>IF(V22&gt;0,COUNTIF($V$6:V22,"&gt;0"),"")</f>
        <v>17</v>
      </c>
      <c r="Y22" s="138" t="str">
        <f>C22&amp;"|"&amp;D22</f>
        <v>AR-00015|70000015</v>
      </c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</row>
    <row r="23" spans="1:41">
      <c r="A23" s="138" t="inlineStr">
        <is>
          <t>Client Alpha (Steel EPC)</t>
        </is>
      </c>
      <c r="B23" s="138" t="inlineStr">
        <is>
          <t>CLIENT ALPHA STEEL STRUCTURE CORPORATION</t>
        </is>
      </c>
      <c r="C23" s="138" t="inlineStr">
        <is>
          <t>AR-00106</t>
        </is>
      </c>
      <c r="D23" s="138" t="inlineStr">
        <is>
          <t>70000106</t>
        </is>
      </c>
      <c r="E23" s="141">
        <v>46218.0</v>
      </c>
      <c r="F23" s="141">
        <v>46293.0</v>
      </c>
      <c r="G23" s="142">
        <v>5034832</v>
      </c>
      <c r="H23" s="142">
        <v>0</v>
      </c>
      <c r="I23" s="142">
        <v>5034832</v>
      </c>
      <c r="J23" s="138" t="inlineStr">
        <is>
          <t>Senior Sales Rep 2</t>
        </is>
      </c>
      <c r="K23" s="138" t="inlineStr">
        <is>
          <t>Trading</t>
        </is>
      </c>
      <c r="L23" s="138" t="inlineStr">
        <is>
          <t>Project 010</t>
        </is>
      </c>
      <c r="M23" s="138" t="inlineStr">
        <is>
          <t>Collection note 012</t>
        </is>
      </c>
      <c r="N23" s="143"/>
      <c r="O23" s="143"/>
      <c r="P23" s="144"/>
      <c r="Q23" s="138">
        <f>IF(ISNUMBER(F23),$D$3-F23,"")</f>
        <v>-9.0</v>
      </c>
      <c r="R23" s="138">
        <f>IF(AND(OR(Dashboard!$P$1="All",A23=Dashboard!$P$1),OR(Dashboard!$P$2="All",J23=Dashboard!$P$2)),1,0)</f>
        <v>1</v>
      </c>
      <c r="S23" s="138">
        <f>I23*R23</f>
        <v>5034832</v>
      </c>
      <c r="T23" s="138">
        <f>IF(AND(ISNUMBER(Q23),Q23&gt;0),S23,0)</f>
        <v>0</v>
      </c>
      <c r="U23" s="138">
        <f>IF(OR(Dashboard!$P$3="All",AND(Dashboard!$P$3="Not due",Q23&lt;0),AND(Dashboard!$P$3="Due in 10 days",Q23&gt;=-10,Q23&lt;=0),AND(Dashboard!$P$3="Due in 30 days",Q23&gt;=-30,Q23&lt;=0),AND(Dashboard!$P$3="Overdue 1–60 days",Q23&gt;0,Q23&lt;=60),AND(Dashboard!$P$3="Over 60 days",Q23&gt;60),AND(Dashboard!$P$3="All overdue",Q23&gt;0)),1,0)</f>
        <v>1</v>
      </c>
      <c r="V23" s="138">
        <f>S23*U23</f>
        <v>5034832</v>
      </c>
      <c r="W23" s="138">
        <f>IF(Q23&gt;0,T23*Q23,0)</f>
        <v>0</v>
      </c>
      <c r="X23" s="138">
        <f>IF(V23&gt;0,COUNTIF($V$6:V23,"&gt;0"),"")</f>
        <v>18</v>
      </c>
      <c r="Y23" s="138" t="str">
        <f>C23&amp;"|"&amp;D23</f>
        <v>AR-00106|70000106</v>
      </c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</row>
    <row r="24" spans="1:41">
      <c r="A24" s="138" t="inlineStr">
        <is>
          <t>Client Alpha (Steel EPC)</t>
        </is>
      </c>
      <c r="B24" s="138" t="inlineStr">
        <is>
          <t>CLIENT ALPHA STEEL STRUCTURE CORPORATION</t>
        </is>
      </c>
      <c r="C24" s="138" t="inlineStr">
        <is>
          <t>AR-00016</t>
        </is>
      </c>
      <c r="D24" s="138" t="inlineStr">
        <is>
          <t>70000016</t>
        </is>
      </c>
      <c r="E24" s="141">
        <v>46220.0</v>
      </c>
      <c r="F24" s="141">
        <v>46295.0</v>
      </c>
      <c r="G24" s="142">
        <v>216432020</v>
      </c>
      <c r="H24" s="142">
        <v>0</v>
      </c>
      <c r="I24" s="142">
        <v>216432020</v>
      </c>
      <c r="J24" s="138" t="inlineStr">
        <is>
          <t>Senior Sales Rep 1</t>
        </is>
      </c>
      <c r="K24" s="138" t="inlineStr">
        <is>
          <t>Trading</t>
        </is>
      </c>
      <c r="L24" s="138" t="inlineStr">
        <is>
          <t>Project 013</t>
        </is>
      </c>
      <c r="M24" s="138" t="inlineStr">
        <is>
          <t>Collection note 008</t>
        </is>
      </c>
      <c r="N24" s="143"/>
      <c r="O24" s="143"/>
      <c r="P24" s="144"/>
      <c r="Q24" s="138">
        <f>IF(ISNUMBER(F24),$D$3-F24,"")</f>
        <v>-11.0</v>
      </c>
      <c r="R24" s="138">
        <f>IF(AND(OR(Dashboard!$P$1="All",A24=Dashboard!$P$1),OR(Dashboard!$P$2="All",J24=Dashboard!$P$2)),1,0)</f>
        <v>1</v>
      </c>
      <c r="S24" s="138">
        <f>I24*R24</f>
        <v>216432020</v>
      </c>
      <c r="T24" s="138">
        <f>IF(AND(ISNUMBER(Q24),Q24&gt;0),S24,0)</f>
        <v>0</v>
      </c>
      <c r="U24" s="138">
        <f>IF(OR(Dashboard!$P$3="All",AND(Dashboard!$P$3="Not due",Q24&lt;0),AND(Dashboard!$P$3="Due in 10 days",Q24&gt;=-10,Q24&lt;=0),AND(Dashboard!$P$3="Due in 30 days",Q24&gt;=-30,Q24&lt;=0),AND(Dashboard!$P$3="Overdue 1–60 days",Q24&gt;0,Q24&lt;=60),AND(Dashboard!$P$3="Over 60 days",Q24&gt;60),AND(Dashboard!$P$3="All overdue",Q24&gt;0)),1,0)</f>
        <v>1</v>
      </c>
      <c r="V24" s="138">
        <f>S24*U24</f>
        <v>216432020</v>
      </c>
      <c r="W24" s="138">
        <f>IF(Q24&gt;0,T24*Q24,0)</f>
        <v>0</v>
      </c>
      <c r="X24" s="138">
        <f>IF(V24&gt;0,COUNTIF($V$6:V24,"&gt;0"),"")</f>
        <v>19</v>
      </c>
      <c r="Y24" s="138" t="str">
        <f>C24&amp;"|"&amp;D24</f>
        <v>AR-00016|70000016</v>
      </c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</row>
    <row r="25" spans="1:41">
      <c r="A25" s="138" t="inlineStr">
        <is>
          <t>Client Alpha (Steel EPC)</t>
        </is>
      </c>
      <c r="B25" s="138" t="inlineStr">
        <is>
          <t>CLIENT ALPHA STEEL STRUCTURE CORPORATION</t>
        </is>
      </c>
      <c r="C25" s="138" t="inlineStr">
        <is>
          <t>AR-00017</t>
        </is>
      </c>
      <c r="D25" s="138" t="inlineStr">
        <is>
          <t>70000017</t>
        </is>
      </c>
      <c r="E25" s="141">
        <v>46220.0</v>
      </c>
      <c r="F25" s="141">
        <v>46295.0</v>
      </c>
      <c r="G25" s="142">
        <v>289162739</v>
      </c>
      <c r="H25" s="142">
        <v>0</v>
      </c>
      <c r="I25" s="142">
        <v>289162739</v>
      </c>
      <c r="J25" s="138" t="inlineStr">
        <is>
          <t>Senior Sales Rep 1</t>
        </is>
      </c>
      <c r="K25" s="138" t="inlineStr">
        <is>
          <t>Trading</t>
        </is>
      </c>
      <c r="L25" s="138" t="inlineStr">
        <is>
          <t>Project 013</t>
        </is>
      </c>
      <c r="M25" s="138" t="inlineStr">
        <is>
          <t>Collection note 008</t>
        </is>
      </c>
      <c r="N25" s="143"/>
      <c r="O25" s="143"/>
      <c r="P25" s="144"/>
      <c r="Q25" s="138">
        <f>IF(ISNUMBER(F25),$D$3-F25,"")</f>
        <v>-11.0</v>
      </c>
      <c r="R25" s="138">
        <f>IF(AND(OR(Dashboard!$P$1="All",A25=Dashboard!$P$1),OR(Dashboard!$P$2="All",J25=Dashboard!$P$2)),1,0)</f>
        <v>1</v>
      </c>
      <c r="S25" s="138">
        <f>I25*R25</f>
        <v>289162739</v>
      </c>
      <c r="T25" s="138">
        <f>IF(AND(ISNUMBER(Q25),Q25&gt;0),S25,0)</f>
        <v>0</v>
      </c>
      <c r="U25" s="138">
        <f>IF(OR(Dashboard!$P$3="All",AND(Dashboard!$P$3="Not due",Q25&lt;0),AND(Dashboard!$P$3="Due in 10 days",Q25&gt;=-10,Q25&lt;=0),AND(Dashboard!$P$3="Due in 30 days",Q25&gt;=-30,Q25&lt;=0),AND(Dashboard!$P$3="Overdue 1–60 days",Q25&gt;0,Q25&lt;=60),AND(Dashboard!$P$3="Over 60 days",Q25&gt;60),AND(Dashboard!$P$3="All overdue",Q25&gt;0)),1,0)</f>
        <v>1</v>
      </c>
      <c r="V25" s="138">
        <f>S25*U25</f>
        <v>289162739</v>
      </c>
      <c r="W25" s="138">
        <f>IF(Q25&gt;0,T25*Q25,0)</f>
        <v>0</v>
      </c>
      <c r="X25" s="138">
        <f>IF(V25&gt;0,COUNTIF($V$6:V25,"&gt;0"),"")</f>
        <v>20</v>
      </c>
      <c r="Y25" s="138" t="str">
        <f>C25&amp;"|"&amp;D25</f>
        <v>AR-00017|70000017</v>
      </c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</row>
    <row r="26" spans="1:41">
      <c r="A26" s="138" t="inlineStr">
        <is>
          <t>Client Alpha (Steel EPC)</t>
        </is>
      </c>
      <c r="B26" s="138" t="inlineStr">
        <is>
          <t>CLIENT ALPHA STEEL STRUCTURE CORPORATION</t>
        </is>
      </c>
      <c r="C26" s="138" t="inlineStr">
        <is>
          <t>AR-00018</t>
        </is>
      </c>
      <c r="D26" s="138" t="inlineStr">
        <is>
          <t>70000018</t>
        </is>
      </c>
      <c r="E26" s="141">
        <v>46220.0</v>
      </c>
      <c r="F26" s="141">
        <v>46295.0</v>
      </c>
      <c r="G26" s="142">
        <v>351779610</v>
      </c>
      <c r="H26" s="142">
        <v>0</v>
      </c>
      <c r="I26" s="142">
        <v>351779610</v>
      </c>
      <c r="J26" s="138" t="inlineStr">
        <is>
          <t>Senior Sales Rep 1</t>
        </is>
      </c>
      <c r="K26" s="138" t="inlineStr">
        <is>
          <t>Trading</t>
        </is>
      </c>
      <c r="L26" s="138" t="inlineStr">
        <is>
          <t>Project 013</t>
        </is>
      </c>
      <c r="M26" s="138" t="inlineStr">
        <is>
          <t>Collection note 008</t>
        </is>
      </c>
      <c r="N26" s="143"/>
      <c r="O26" s="143"/>
      <c r="P26" s="144"/>
      <c r="Q26" s="138">
        <f>IF(ISNUMBER(F26),$D$3-F26,"")</f>
        <v>-11.0</v>
      </c>
      <c r="R26" s="138">
        <f>IF(AND(OR(Dashboard!$P$1="All",A26=Dashboard!$P$1),OR(Dashboard!$P$2="All",J26=Dashboard!$P$2)),1,0)</f>
        <v>1</v>
      </c>
      <c r="S26" s="138">
        <f>I26*R26</f>
        <v>351779610</v>
      </c>
      <c r="T26" s="138">
        <f>IF(AND(ISNUMBER(Q26),Q26&gt;0),S26,0)</f>
        <v>0</v>
      </c>
      <c r="U26" s="138">
        <f>IF(OR(Dashboard!$P$3="All",AND(Dashboard!$P$3="Not due",Q26&lt;0),AND(Dashboard!$P$3="Due in 10 days",Q26&gt;=-10,Q26&lt;=0),AND(Dashboard!$P$3="Due in 30 days",Q26&gt;=-30,Q26&lt;=0),AND(Dashboard!$P$3="Overdue 1–60 days",Q26&gt;0,Q26&lt;=60),AND(Dashboard!$P$3="Over 60 days",Q26&gt;60),AND(Dashboard!$P$3="All overdue",Q26&gt;0)),1,0)</f>
        <v>1</v>
      </c>
      <c r="V26" s="138">
        <f>S26*U26</f>
        <v>351779610</v>
      </c>
      <c r="W26" s="138">
        <f>IF(Q26&gt;0,T26*Q26,0)</f>
        <v>0</v>
      </c>
      <c r="X26" s="138">
        <f>IF(V26&gt;0,COUNTIF($V$6:V26,"&gt;0"),"")</f>
        <v>21</v>
      </c>
      <c r="Y26" s="138" t="str">
        <f>C26&amp;"|"&amp;D26</f>
        <v>AR-00018|70000018</v>
      </c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</row>
    <row r="27" spans="1:41">
      <c r="A27" s="138" t="inlineStr">
        <is>
          <t>Client Alpha (Steel EPC)</t>
        </is>
      </c>
      <c r="B27" s="138" t="inlineStr">
        <is>
          <t>CLIENT ALPHA STEEL STRUCTURE CORPORATION</t>
        </is>
      </c>
      <c r="C27" s="138" t="inlineStr">
        <is>
          <t>AR-00107</t>
        </is>
      </c>
      <c r="D27" s="138" t="inlineStr">
        <is>
          <t>70000107</t>
        </is>
      </c>
      <c r="E27" s="141">
        <v>46220.0</v>
      </c>
      <c r="F27" s="141">
        <v>46295.0</v>
      </c>
      <c r="G27" s="142">
        <v>43302844</v>
      </c>
      <c r="H27" s="142">
        <v>0</v>
      </c>
      <c r="I27" s="142">
        <v>43302844</v>
      </c>
      <c r="J27" s="138" t="inlineStr">
        <is>
          <t>Senior Sales Rep 2</t>
        </is>
      </c>
      <c r="K27" s="138" t="inlineStr">
        <is>
          <t>Trading</t>
        </is>
      </c>
      <c r="L27" s="138" t="inlineStr">
        <is>
          <t>Project 010</t>
        </is>
      </c>
      <c r="M27" s="138" t="inlineStr">
        <is>
          <t>Collection note 013</t>
        </is>
      </c>
      <c r="N27" s="143"/>
      <c r="O27" s="143"/>
      <c r="P27" s="144"/>
      <c r="Q27" s="138">
        <f>IF(ISNUMBER(F27),$D$3-F27,"")</f>
        <v>-11.0</v>
      </c>
      <c r="R27" s="138">
        <f>IF(AND(OR(Dashboard!$P$1="All",A27=Dashboard!$P$1),OR(Dashboard!$P$2="All",J27=Dashboard!$P$2)),1,0)</f>
        <v>1</v>
      </c>
      <c r="S27" s="138">
        <f>I27*R27</f>
        <v>43302844</v>
      </c>
      <c r="T27" s="138">
        <f>IF(AND(ISNUMBER(Q27),Q27&gt;0),S27,0)</f>
        <v>0</v>
      </c>
      <c r="U27" s="138">
        <f>IF(OR(Dashboard!$P$3="All",AND(Dashboard!$P$3="Not due",Q27&lt;0),AND(Dashboard!$P$3="Due in 10 days",Q27&gt;=-10,Q27&lt;=0),AND(Dashboard!$P$3="Due in 30 days",Q27&gt;=-30,Q27&lt;=0),AND(Dashboard!$P$3="Overdue 1–60 days",Q27&gt;0,Q27&lt;=60),AND(Dashboard!$P$3="Over 60 days",Q27&gt;60),AND(Dashboard!$P$3="All overdue",Q27&gt;0)),1,0)</f>
        <v>1</v>
      </c>
      <c r="V27" s="138">
        <f>S27*U27</f>
        <v>43302844</v>
      </c>
      <c r="W27" s="138">
        <f>IF(Q27&gt;0,T27*Q27,0)</f>
        <v>0</v>
      </c>
      <c r="X27" s="138">
        <f>IF(V27&gt;0,COUNTIF($V$6:V27,"&gt;0"),"")</f>
        <v>22</v>
      </c>
      <c r="Y27" s="138" t="str">
        <f>C27&amp;"|"&amp;D27</f>
        <v>AR-00107|70000107</v>
      </c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</row>
    <row r="28" spans="1:41">
      <c r="A28" s="138" t="inlineStr">
        <is>
          <t>Client Alpha (Steel EPC)</t>
        </is>
      </c>
      <c r="B28" s="138" t="inlineStr">
        <is>
          <t>CLIENT ALPHA STEEL STRUCTURE CORPORATION</t>
        </is>
      </c>
      <c r="C28" s="138" t="inlineStr">
        <is>
          <t>AR-00108</t>
        </is>
      </c>
      <c r="D28" s="138" t="inlineStr">
        <is>
          <t>70000108</t>
        </is>
      </c>
      <c r="E28" s="141">
        <v>46220.0</v>
      </c>
      <c r="F28" s="141">
        <v>46295.0</v>
      </c>
      <c r="G28" s="142">
        <v>10069664</v>
      </c>
      <c r="H28" s="142">
        <v>0</v>
      </c>
      <c r="I28" s="142">
        <v>10069664</v>
      </c>
      <c r="J28" s="138" t="inlineStr">
        <is>
          <t>Senior Sales Rep 2</t>
        </is>
      </c>
      <c r="K28" s="138" t="inlineStr">
        <is>
          <t>Trading</t>
        </is>
      </c>
      <c r="L28" s="138" t="inlineStr">
        <is>
          <t>Project 010</t>
        </is>
      </c>
      <c r="M28" s="138" t="inlineStr">
        <is>
          <t>Collection note 013</t>
        </is>
      </c>
      <c r="N28" s="143"/>
      <c r="O28" s="143"/>
      <c r="P28" s="144"/>
      <c r="Q28" s="138">
        <f>IF(ISNUMBER(F28),$D$3-F28,"")</f>
        <v>-11.0</v>
      </c>
      <c r="R28" s="138">
        <f>IF(AND(OR(Dashboard!$P$1="All",A28=Dashboard!$P$1),OR(Dashboard!$P$2="All",J28=Dashboard!$P$2)),1,0)</f>
        <v>1</v>
      </c>
      <c r="S28" s="138">
        <f>I28*R28</f>
        <v>10069664</v>
      </c>
      <c r="T28" s="138">
        <f>IF(AND(ISNUMBER(Q28),Q28&gt;0),S28,0)</f>
        <v>0</v>
      </c>
      <c r="U28" s="138">
        <f>IF(OR(Dashboard!$P$3="All",AND(Dashboard!$P$3="Not due",Q28&lt;0),AND(Dashboard!$P$3="Due in 10 days",Q28&gt;=-10,Q28&lt;=0),AND(Dashboard!$P$3="Due in 30 days",Q28&gt;=-30,Q28&lt;=0),AND(Dashboard!$P$3="Overdue 1–60 days",Q28&gt;0,Q28&lt;=60),AND(Dashboard!$P$3="Over 60 days",Q28&gt;60),AND(Dashboard!$P$3="All overdue",Q28&gt;0)),1,0)</f>
        <v>1</v>
      </c>
      <c r="V28" s="138">
        <f>S28*U28</f>
        <v>10069664</v>
      </c>
      <c r="W28" s="138">
        <f>IF(Q28&gt;0,T28*Q28,0)</f>
        <v>0</v>
      </c>
      <c r="X28" s="138">
        <f>IF(V28&gt;0,COUNTIF($V$6:V28,"&gt;0"),"")</f>
        <v>23</v>
      </c>
      <c r="Y28" s="138" t="str">
        <f>C28&amp;"|"&amp;D28</f>
        <v>AR-00108|70000108</v>
      </c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</row>
    <row r="29" spans="1:41">
      <c r="A29" s="138" t="inlineStr">
        <is>
          <t>Client Alpha (Steel EPC)</t>
        </is>
      </c>
      <c r="B29" s="138" t="inlineStr">
        <is>
          <t>CLIENT ALPHA STEEL STRUCTURE CORPORATION</t>
        </is>
      </c>
      <c r="C29" s="138" t="inlineStr">
        <is>
          <t>AR-00109</t>
        </is>
      </c>
      <c r="D29" s="138" t="inlineStr">
        <is>
          <t>70000109</t>
        </is>
      </c>
      <c r="E29" s="141">
        <v>46220.0</v>
      </c>
      <c r="F29" s="141">
        <v>46295.0</v>
      </c>
      <c r="G29" s="142">
        <v>34709516</v>
      </c>
      <c r="H29" s="142">
        <v>0</v>
      </c>
      <c r="I29" s="142">
        <v>34709516</v>
      </c>
      <c r="J29" s="138" t="inlineStr">
        <is>
          <t>Senior Sales Rep 2</t>
        </is>
      </c>
      <c r="K29" s="138" t="inlineStr">
        <is>
          <t>Trading</t>
        </is>
      </c>
      <c r="L29" s="138" t="inlineStr">
        <is>
          <t>Project 010</t>
        </is>
      </c>
      <c r="M29" s="138" t="inlineStr">
        <is>
          <t>Collection note 013</t>
        </is>
      </c>
      <c r="N29" s="143"/>
      <c r="O29" s="143"/>
      <c r="P29" s="144"/>
      <c r="Q29" s="138">
        <f>IF(ISNUMBER(F29),$D$3-F29,"")</f>
        <v>-11.0</v>
      </c>
      <c r="R29" s="138">
        <f>IF(AND(OR(Dashboard!$P$1="All",A29=Dashboard!$P$1),OR(Dashboard!$P$2="All",J29=Dashboard!$P$2)),1,0)</f>
        <v>1</v>
      </c>
      <c r="S29" s="138">
        <f>I29*R29</f>
        <v>34709516</v>
      </c>
      <c r="T29" s="138">
        <f>IF(AND(ISNUMBER(Q29),Q29&gt;0),S29,0)</f>
        <v>0</v>
      </c>
      <c r="U29" s="138">
        <f>IF(OR(Dashboard!$P$3="All",AND(Dashboard!$P$3="Not due",Q29&lt;0),AND(Dashboard!$P$3="Due in 10 days",Q29&gt;=-10,Q29&lt;=0),AND(Dashboard!$P$3="Due in 30 days",Q29&gt;=-30,Q29&lt;=0),AND(Dashboard!$P$3="Overdue 1–60 days",Q29&gt;0,Q29&lt;=60),AND(Dashboard!$P$3="Over 60 days",Q29&gt;60),AND(Dashboard!$P$3="All overdue",Q29&gt;0)),1,0)</f>
        <v>1</v>
      </c>
      <c r="V29" s="138">
        <f>S29*U29</f>
        <v>34709516</v>
      </c>
      <c r="W29" s="138">
        <f>IF(Q29&gt;0,T29*Q29,0)</f>
        <v>0</v>
      </c>
      <c r="X29" s="138">
        <f>IF(V29&gt;0,COUNTIF($V$6:V29,"&gt;0"),"")</f>
        <v>24</v>
      </c>
      <c r="Y29" s="138" t="str">
        <f>C29&amp;"|"&amp;D29</f>
        <v>AR-00109|70000109</v>
      </c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</row>
    <row r="30" spans="1:41">
      <c r="A30" s="138" t="inlineStr">
        <is>
          <t>Client Alpha (Steel EPC)</t>
        </is>
      </c>
      <c r="B30" s="138" t="inlineStr">
        <is>
          <t>CLIENT ALPHA STEEL STRUCTURE CORPORATION</t>
        </is>
      </c>
      <c r="C30" s="138" t="inlineStr">
        <is>
          <t>AR-00019</t>
        </is>
      </c>
      <c r="D30" s="138" t="inlineStr">
        <is>
          <t>70000019</t>
        </is>
      </c>
      <c r="E30" s="141">
        <v>46225.0</v>
      </c>
      <c r="F30" s="141">
        <v>46300.0</v>
      </c>
      <c r="G30" s="142">
        <v>47973561</v>
      </c>
      <c r="H30" s="142">
        <v>9600250</v>
      </c>
      <c r="I30" s="142">
        <v>38373311</v>
      </c>
      <c r="J30" s="138" t="inlineStr">
        <is>
          <t>Senior Sales Rep 1</t>
        </is>
      </c>
      <c r="K30" s="138" t="inlineStr">
        <is>
          <t>Trading</t>
        </is>
      </c>
      <c r="L30" s="138" t="inlineStr">
        <is>
          <t>Project 009</t>
        </is>
      </c>
      <c r="M30" s="138" t="inlineStr">
        <is>
          <t>Collection note 007</t>
        </is>
      </c>
      <c r="N30" s="143"/>
      <c r="O30" s="143"/>
      <c r="P30" s="144"/>
      <c r="Q30" s="138">
        <f>IF(ISNUMBER(F30),$D$3-F30,"")</f>
        <v>-16.0</v>
      </c>
      <c r="R30" s="138">
        <f>IF(AND(OR(Dashboard!$P$1="All",A30=Dashboard!$P$1),OR(Dashboard!$P$2="All",J30=Dashboard!$P$2)),1,0)</f>
        <v>1</v>
      </c>
      <c r="S30" s="138">
        <f>I30*R30</f>
        <v>38373311</v>
      </c>
      <c r="T30" s="138">
        <f>IF(AND(ISNUMBER(Q30),Q30&gt;0),S30,0)</f>
        <v>0</v>
      </c>
      <c r="U30" s="138">
        <f>IF(OR(Dashboard!$P$3="All",AND(Dashboard!$P$3="Not due",Q30&lt;0),AND(Dashboard!$P$3="Due in 10 days",Q30&gt;=-10,Q30&lt;=0),AND(Dashboard!$P$3="Due in 30 days",Q30&gt;=-30,Q30&lt;=0),AND(Dashboard!$P$3="Overdue 1–60 days",Q30&gt;0,Q30&lt;=60),AND(Dashboard!$P$3="Over 60 days",Q30&gt;60),AND(Dashboard!$P$3="All overdue",Q30&gt;0)),1,0)</f>
        <v>1</v>
      </c>
      <c r="V30" s="138">
        <f>S30*U30</f>
        <v>38373311</v>
      </c>
      <c r="W30" s="138">
        <f>IF(Q30&gt;0,T30*Q30,0)</f>
        <v>0</v>
      </c>
      <c r="X30" s="138">
        <f>IF(V30&gt;0,COUNTIF($V$6:V30,"&gt;0"),"")</f>
        <v>25</v>
      </c>
      <c r="Y30" s="138" t="str">
        <f>C30&amp;"|"&amp;D30</f>
        <v>AR-00019|70000019</v>
      </c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</row>
    <row r="31" spans="1:41">
      <c r="A31" s="138" t="inlineStr">
        <is>
          <t>Client Alpha (Steel EPC)</t>
        </is>
      </c>
      <c r="B31" s="138" t="inlineStr">
        <is>
          <t>CLIENT ALPHA STEEL STRUCTURE CORPORATION</t>
        </is>
      </c>
      <c r="C31" s="138" t="inlineStr">
        <is>
          <t>AR-00020</t>
        </is>
      </c>
      <c r="D31" s="138" t="inlineStr">
        <is>
          <t>70000020</t>
        </is>
      </c>
      <c r="E31" s="141">
        <v>46226.0</v>
      </c>
      <c r="F31" s="141">
        <v>46301.0</v>
      </c>
      <c r="G31" s="142">
        <v>799132919</v>
      </c>
      <c r="H31" s="142">
        <v>159918831</v>
      </c>
      <c r="I31" s="142">
        <v>639214088</v>
      </c>
      <c r="J31" s="138" t="inlineStr">
        <is>
          <t>Senior Sales Rep 1</t>
        </is>
      </c>
      <c r="K31" s="138" t="inlineStr">
        <is>
          <t>Trading</t>
        </is>
      </c>
      <c r="L31" s="138" t="inlineStr">
        <is>
          <t>Project 009</t>
        </is>
      </c>
      <c r="M31" s="138" t="inlineStr">
        <is>
          <t>Collection note 007</t>
        </is>
      </c>
      <c r="N31" s="143"/>
      <c r="O31" s="143"/>
      <c r="P31" s="144"/>
      <c r="Q31" s="138">
        <f>IF(ISNUMBER(F31),$D$3-F31,"")</f>
        <v>-17.0</v>
      </c>
      <c r="R31" s="138">
        <f>IF(AND(OR(Dashboard!$P$1="All",A31=Dashboard!$P$1),OR(Dashboard!$P$2="All",J31=Dashboard!$P$2)),1,0)</f>
        <v>1</v>
      </c>
      <c r="S31" s="138">
        <f>I31*R31</f>
        <v>639214088</v>
      </c>
      <c r="T31" s="138">
        <f>IF(AND(ISNUMBER(Q31),Q31&gt;0),S31,0)</f>
        <v>0</v>
      </c>
      <c r="U31" s="138">
        <f>IF(OR(Dashboard!$P$3="All",AND(Dashboard!$P$3="Not due",Q31&lt;0),AND(Dashboard!$P$3="Due in 10 days",Q31&gt;=-10,Q31&lt;=0),AND(Dashboard!$P$3="Due in 30 days",Q31&gt;=-30,Q31&lt;=0),AND(Dashboard!$P$3="Overdue 1–60 days",Q31&gt;0,Q31&lt;=60),AND(Dashboard!$P$3="Over 60 days",Q31&gt;60),AND(Dashboard!$P$3="All overdue",Q31&gt;0)),1,0)</f>
        <v>1</v>
      </c>
      <c r="V31" s="138">
        <f>S31*U31</f>
        <v>639214088</v>
      </c>
      <c r="W31" s="138">
        <f>IF(Q31&gt;0,T31*Q31,0)</f>
        <v>0</v>
      </c>
      <c r="X31" s="138">
        <f>IF(V31&gt;0,COUNTIF($V$6:V31,"&gt;0"),"")</f>
        <v>26</v>
      </c>
      <c r="Y31" s="138" t="str">
        <f>C31&amp;"|"&amp;D31</f>
        <v>AR-00020|70000020</v>
      </c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</row>
    <row r="32" spans="1:41">
      <c r="A32" s="138" t="inlineStr">
        <is>
          <t>Client Alpha (Steel EPC)</t>
        </is>
      </c>
      <c r="B32" s="138" t="inlineStr">
        <is>
          <t>CLIENT ALPHA STEEL STRUCTURE CORPORATION</t>
        </is>
      </c>
      <c r="C32" s="138" t="inlineStr">
        <is>
          <t>AR-00021</t>
        </is>
      </c>
      <c r="D32" s="138" t="inlineStr">
        <is>
          <t>70000021</t>
        </is>
      </c>
      <c r="E32" s="141">
        <v>46233.0</v>
      </c>
      <c r="F32" s="141">
        <v>46308.0</v>
      </c>
      <c r="G32" s="142">
        <v>348574785</v>
      </c>
      <c r="H32" s="142">
        <v>0</v>
      </c>
      <c r="I32" s="142">
        <v>348574785</v>
      </c>
      <c r="J32" s="138" t="inlineStr">
        <is>
          <t>Senior Sales Rep 1</t>
        </is>
      </c>
      <c r="K32" s="138" t="inlineStr">
        <is>
          <t>Trading</t>
        </is>
      </c>
      <c r="L32" s="138" t="inlineStr">
        <is>
          <t>Project 014</t>
        </is>
      </c>
      <c r="M32" s="138" t="inlineStr">
        <is>
          <t>Collection note 009</t>
        </is>
      </c>
      <c r="N32" s="143"/>
      <c r="O32" s="143"/>
      <c r="P32" s="144"/>
      <c r="Q32" s="138">
        <f>IF(ISNUMBER(F32),$D$3-F32,"")</f>
        <v>-24.0</v>
      </c>
      <c r="R32" s="138">
        <f>IF(AND(OR(Dashboard!$P$1="All",A32=Dashboard!$P$1),OR(Dashboard!$P$2="All",J32=Dashboard!$P$2)),1,0)</f>
        <v>1</v>
      </c>
      <c r="S32" s="138">
        <f>I32*R32</f>
        <v>348574785</v>
      </c>
      <c r="T32" s="138">
        <f>IF(AND(ISNUMBER(Q32),Q32&gt;0),S32,0)</f>
        <v>0</v>
      </c>
      <c r="U32" s="138">
        <f>IF(OR(Dashboard!$P$3="All",AND(Dashboard!$P$3="Not due",Q32&lt;0),AND(Dashboard!$P$3="Due in 10 days",Q32&gt;=-10,Q32&lt;=0),AND(Dashboard!$P$3="Due in 30 days",Q32&gt;=-30,Q32&lt;=0),AND(Dashboard!$P$3="Overdue 1–60 days",Q32&gt;0,Q32&lt;=60),AND(Dashboard!$P$3="Over 60 days",Q32&gt;60),AND(Dashboard!$P$3="All overdue",Q32&gt;0)),1,0)</f>
        <v>1</v>
      </c>
      <c r="V32" s="138">
        <f>S32*U32</f>
        <v>348574785</v>
      </c>
      <c r="W32" s="138">
        <f>IF(Q32&gt;0,T32*Q32,0)</f>
        <v>0</v>
      </c>
      <c r="X32" s="138">
        <f>IF(V32&gt;0,COUNTIF($V$6:V32,"&gt;0"),"")</f>
        <v>27</v>
      </c>
      <c r="Y32" s="138" t="str">
        <f>C32&amp;"|"&amp;D32</f>
        <v>AR-00021|70000021</v>
      </c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</row>
    <row r="33" spans="1:41">
      <c r="A33" s="138" t="inlineStr">
        <is>
          <t>Client Alpha (Steel EPC)</t>
        </is>
      </c>
      <c r="B33" s="138" t="inlineStr">
        <is>
          <t>CLIENT ALPHA STEEL STRUCTURE CORPORATION</t>
        </is>
      </c>
      <c r="C33" s="138" t="inlineStr">
        <is>
          <t>AR-00022</t>
        </is>
      </c>
      <c r="D33" s="138" t="inlineStr">
        <is>
          <t>70000022</t>
        </is>
      </c>
      <c r="E33" s="141">
        <v>46233.0</v>
      </c>
      <c r="F33" s="141">
        <v>46308.0</v>
      </c>
      <c r="G33" s="142">
        <v>174287393</v>
      </c>
      <c r="H33" s="142">
        <v>0</v>
      </c>
      <c r="I33" s="142">
        <v>174287393</v>
      </c>
      <c r="J33" s="138" t="inlineStr">
        <is>
          <t>Senior Sales Rep 1</t>
        </is>
      </c>
      <c r="K33" s="138" t="inlineStr">
        <is>
          <t>Trading</t>
        </is>
      </c>
      <c r="L33" s="138" t="inlineStr">
        <is>
          <t>Project 014</t>
        </is>
      </c>
      <c r="M33" s="138" t="inlineStr">
        <is>
          <t>Collection note 009</t>
        </is>
      </c>
      <c r="N33" s="143"/>
      <c r="O33" s="143"/>
      <c r="P33" s="144"/>
      <c r="Q33" s="138">
        <f>IF(ISNUMBER(F33),$D$3-F33,"")</f>
        <v>-24.0</v>
      </c>
      <c r="R33" s="138">
        <f>IF(AND(OR(Dashboard!$P$1="All",A33=Dashboard!$P$1),OR(Dashboard!$P$2="All",J33=Dashboard!$P$2)),1,0)</f>
        <v>1</v>
      </c>
      <c r="S33" s="138">
        <f>I33*R33</f>
        <v>174287393</v>
      </c>
      <c r="T33" s="138">
        <f>IF(AND(ISNUMBER(Q33),Q33&gt;0),S33,0)</f>
        <v>0</v>
      </c>
      <c r="U33" s="138">
        <f>IF(OR(Dashboard!$P$3="All",AND(Dashboard!$P$3="Not due",Q33&lt;0),AND(Dashboard!$P$3="Due in 10 days",Q33&gt;=-10,Q33&lt;=0),AND(Dashboard!$P$3="Due in 30 days",Q33&gt;=-30,Q33&lt;=0),AND(Dashboard!$P$3="Overdue 1–60 days",Q33&gt;0,Q33&lt;=60),AND(Dashboard!$P$3="Over 60 days",Q33&gt;60),AND(Dashboard!$P$3="All overdue",Q33&gt;0)),1,0)</f>
        <v>1</v>
      </c>
      <c r="V33" s="138">
        <f>S33*U33</f>
        <v>174287393</v>
      </c>
      <c r="W33" s="138">
        <f>IF(Q33&gt;0,T33*Q33,0)</f>
        <v>0</v>
      </c>
      <c r="X33" s="138">
        <f>IF(V33&gt;0,COUNTIF($V$6:V33,"&gt;0"),"")</f>
        <v>28</v>
      </c>
      <c r="Y33" s="138" t="str">
        <f>C33&amp;"|"&amp;D33</f>
        <v>AR-00022|70000022</v>
      </c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</row>
    <row r="34" spans="1:41">
      <c r="A34" s="138" t="inlineStr">
        <is>
          <t>Client Alpha (Steel EPC)</t>
        </is>
      </c>
      <c r="B34" s="138" t="inlineStr">
        <is>
          <t>CLIENT ALPHA STEEL STRUCTURE CORPORATION</t>
        </is>
      </c>
      <c r="C34" s="138" t="inlineStr">
        <is>
          <t>AR-00023</t>
        </is>
      </c>
      <c r="D34" s="138" t="inlineStr">
        <is>
          <t>70000023</t>
        </is>
      </c>
      <c r="E34" s="141">
        <v>46233.0</v>
      </c>
      <c r="F34" s="141">
        <v>46308.0</v>
      </c>
      <c r="G34" s="142">
        <v>64009929</v>
      </c>
      <c r="H34" s="142">
        <v>0</v>
      </c>
      <c r="I34" s="142">
        <v>64009929</v>
      </c>
      <c r="J34" s="138" t="inlineStr">
        <is>
          <t>Senior Sales Rep 1</t>
        </is>
      </c>
      <c r="K34" s="138" t="inlineStr">
        <is>
          <t>Trading</t>
        </is>
      </c>
      <c r="L34" s="138" t="inlineStr">
        <is>
          <t>Project 014</t>
        </is>
      </c>
      <c r="M34" s="138" t="inlineStr">
        <is>
          <t>Collection note 009</t>
        </is>
      </c>
      <c r="N34" s="143"/>
      <c r="O34" s="143"/>
      <c r="P34" s="144"/>
      <c r="Q34" s="138">
        <f>IF(ISNUMBER(F34),$D$3-F34,"")</f>
        <v>-24.0</v>
      </c>
      <c r="R34" s="138">
        <f>IF(AND(OR(Dashboard!$P$1="All",A34=Dashboard!$P$1),OR(Dashboard!$P$2="All",J34=Dashboard!$P$2)),1,0)</f>
        <v>1</v>
      </c>
      <c r="S34" s="138">
        <f>I34*R34</f>
        <v>64009929</v>
      </c>
      <c r="T34" s="138">
        <f>IF(AND(ISNUMBER(Q34),Q34&gt;0),S34,0)</f>
        <v>0</v>
      </c>
      <c r="U34" s="138">
        <f>IF(OR(Dashboard!$P$3="All",AND(Dashboard!$P$3="Not due",Q34&lt;0),AND(Dashboard!$P$3="Due in 10 days",Q34&gt;=-10,Q34&lt;=0),AND(Dashboard!$P$3="Due in 30 days",Q34&gt;=-30,Q34&lt;=0),AND(Dashboard!$P$3="Overdue 1–60 days",Q34&gt;0,Q34&lt;=60),AND(Dashboard!$P$3="Over 60 days",Q34&gt;60),AND(Dashboard!$P$3="All overdue",Q34&gt;0)),1,0)</f>
        <v>1</v>
      </c>
      <c r="V34" s="138">
        <f>S34*U34</f>
        <v>64009929</v>
      </c>
      <c r="W34" s="138">
        <f>IF(Q34&gt;0,T34*Q34,0)</f>
        <v>0</v>
      </c>
      <c r="X34" s="138">
        <f>IF(V34&gt;0,COUNTIF($V$6:V34,"&gt;0"),"")</f>
        <v>29</v>
      </c>
      <c r="Y34" s="138" t="str">
        <f>C34&amp;"|"&amp;D34</f>
        <v>AR-00023|70000023</v>
      </c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</row>
    <row r="35" spans="1:41">
      <c r="A35" s="138" t="inlineStr">
        <is>
          <t>Client Alpha (Steel EPC)</t>
        </is>
      </c>
      <c r="B35" s="138" t="inlineStr">
        <is>
          <t>CLIENT ALPHA STEEL STRUCTURE CORPORATION</t>
        </is>
      </c>
      <c r="C35" s="138" t="inlineStr">
        <is>
          <t>AR-00024</t>
        </is>
      </c>
      <c r="D35" s="138" t="inlineStr">
        <is>
          <t>70000024</t>
        </is>
      </c>
      <c r="E35" s="141">
        <v>46233.0</v>
      </c>
      <c r="F35" s="141">
        <v>46308.0</v>
      </c>
      <c r="G35" s="142">
        <v>490609413</v>
      </c>
      <c r="H35" s="142">
        <v>0</v>
      </c>
      <c r="I35" s="142">
        <v>490609413</v>
      </c>
      <c r="J35" s="138" t="inlineStr">
        <is>
          <t>Senior Sales Rep 1</t>
        </is>
      </c>
      <c r="K35" s="138" t="inlineStr">
        <is>
          <t>Trading</t>
        </is>
      </c>
      <c r="L35" s="138" t="inlineStr">
        <is>
          <t>Project 014</t>
        </is>
      </c>
      <c r="M35" s="138" t="inlineStr">
        <is>
          <t>Collection note 009</t>
        </is>
      </c>
      <c r="N35" s="143"/>
      <c r="O35" s="143"/>
      <c r="P35" s="144"/>
      <c r="Q35" s="138">
        <f>IF(ISNUMBER(F35),$D$3-F35,"")</f>
        <v>-24.0</v>
      </c>
      <c r="R35" s="138">
        <f>IF(AND(OR(Dashboard!$P$1="All",A35=Dashboard!$P$1),OR(Dashboard!$P$2="All",J35=Dashboard!$P$2)),1,0)</f>
        <v>1</v>
      </c>
      <c r="S35" s="138">
        <f>I35*R35</f>
        <v>490609413</v>
      </c>
      <c r="T35" s="138">
        <f>IF(AND(ISNUMBER(Q35),Q35&gt;0),S35,0)</f>
        <v>0</v>
      </c>
      <c r="U35" s="138">
        <f>IF(OR(Dashboard!$P$3="All",AND(Dashboard!$P$3="Not due",Q35&lt;0),AND(Dashboard!$P$3="Due in 10 days",Q35&gt;=-10,Q35&lt;=0),AND(Dashboard!$P$3="Due in 30 days",Q35&gt;=-30,Q35&lt;=0),AND(Dashboard!$P$3="Overdue 1–60 days",Q35&gt;0,Q35&lt;=60),AND(Dashboard!$P$3="Over 60 days",Q35&gt;60),AND(Dashboard!$P$3="All overdue",Q35&gt;0)),1,0)</f>
        <v>1</v>
      </c>
      <c r="V35" s="138">
        <f>S35*U35</f>
        <v>490609413</v>
      </c>
      <c r="W35" s="138">
        <f>IF(Q35&gt;0,T35*Q35,0)</f>
        <v>0</v>
      </c>
      <c r="X35" s="138">
        <f>IF(V35&gt;0,COUNTIF($V$6:V35,"&gt;0"),"")</f>
        <v>30</v>
      </c>
      <c r="Y35" s="138" t="str">
        <f>C35&amp;"|"&amp;D35</f>
        <v>AR-00024|70000024</v>
      </c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</row>
    <row r="36" spans="1:41">
      <c r="A36" s="138" t="inlineStr">
        <is>
          <t>Client Alpha (Steel EPC)</t>
        </is>
      </c>
      <c r="B36" s="138" t="inlineStr">
        <is>
          <t>CLIENT ALPHA STEEL STRUCTURE CORPORATION</t>
        </is>
      </c>
      <c r="C36" s="138" t="inlineStr">
        <is>
          <t>AR-00025</t>
        </is>
      </c>
      <c r="D36" s="138" t="inlineStr">
        <is>
          <t>70000025</t>
        </is>
      </c>
      <c r="E36" s="141">
        <v>46233.0</v>
      </c>
      <c r="F36" s="141">
        <v>46308.0</v>
      </c>
      <c r="G36" s="142">
        <v>75097176</v>
      </c>
      <c r="H36" s="142">
        <v>0</v>
      </c>
      <c r="I36" s="142">
        <v>75097176</v>
      </c>
      <c r="J36" s="138" t="inlineStr">
        <is>
          <t>Senior Sales Rep 1</t>
        </is>
      </c>
      <c r="K36" s="138" t="inlineStr">
        <is>
          <t>Trading</t>
        </is>
      </c>
      <c r="L36" s="138" t="inlineStr">
        <is>
          <t>Project 014</t>
        </is>
      </c>
      <c r="M36" s="138" t="inlineStr">
        <is>
          <t>Collection note 009</t>
        </is>
      </c>
      <c r="N36" s="143"/>
      <c r="O36" s="143"/>
      <c r="P36" s="144"/>
      <c r="Q36" s="138">
        <f>IF(ISNUMBER(F36),$D$3-F36,"")</f>
        <v>-24.0</v>
      </c>
      <c r="R36" s="138">
        <f>IF(AND(OR(Dashboard!$P$1="All",A36=Dashboard!$P$1),OR(Dashboard!$P$2="All",J36=Dashboard!$P$2)),1,0)</f>
        <v>1</v>
      </c>
      <c r="S36" s="138">
        <f>I36*R36</f>
        <v>75097176</v>
      </c>
      <c r="T36" s="138">
        <f>IF(AND(ISNUMBER(Q36),Q36&gt;0),S36,0)</f>
        <v>0</v>
      </c>
      <c r="U36" s="138">
        <f>IF(OR(Dashboard!$P$3="All",AND(Dashboard!$P$3="Not due",Q36&lt;0),AND(Dashboard!$P$3="Due in 10 days",Q36&gt;=-10,Q36&lt;=0),AND(Dashboard!$P$3="Due in 30 days",Q36&gt;=-30,Q36&lt;=0),AND(Dashboard!$P$3="Overdue 1–60 days",Q36&gt;0,Q36&lt;=60),AND(Dashboard!$P$3="Over 60 days",Q36&gt;60),AND(Dashboard!$P$3="All overdue",Q36&gt;0)),1,0)</f>
        <v>1</v>
      </c>
      <c r="V36" s="138">
        <f>S36*U36</f>
        <v>75097176</v>
      </c>
      <c r="W36" s="138">
        <f>IF(Q36&gt;0,T36*Q36,0)</f>
        <v>0</v>
      </c>
      <c r="X36" s="138">
        <f>IF(V36&gt;0,COUNTIF($V$6:V36,"&gt;0"),"")</f>
        <v>31</v>
      </c>
      <c r="Y36" s="138" t="str">
        <f>C36&amp;"|"&amp;D36</f>
        <v>AR-00025|70000025</v>
      </c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</row>
    <row r="37" spans="1:41">
      <c r="A37" s="138" t="inlineStr">
        <is>
          <t>Client Alpha (Steel EPC)</t>
        </is>
      </c>
      <c r="B37" s="138" t="inlineStr">
        <is>
          <t>CLIENT ALPHA STEEL STRUCTURE CORPORATION</t>
        </is>
      </c>
      <c r="C37" s="138" t="inlineStr">
        <is>
          <t>AR-00026</t>
        </is>
      </c>
      <c r="D37" s="138" t="inlineStr">
        <is>
          <t>70000026</t>
        </is>
      </c>
      <c r="E37" s="141">
        <v>46233.0</v>
      </c>
      <c r="F37" s="141">
        <v>46308.0</v>
      </c>
      <c r="G37" s="142">
        <v>145783506</v>
      </c>
      <c r="H37" s="142">
        <v>0</v>
      </c>
      <c r="I37" s="142">
        <v>145783506</v>
      </c>
      <c r="J37" s="138" t="inlineStr">
        <is>
          <t>Senior Sales Rep 1</t>
        </is>
      </c>
      <c r="K37" s="138" t="inlineStr">
        <is>
          <t>Trading</t>
        </is>
      </c>
      <c r="L37" s="138" t="inlineStr">
        <is>
          <t>Project 014</t>
        </is>
      </c>
      <c r="M37" s="138" t="inlineStr">
        <is>
          <t>Collection note 009</t>
        </is>
      </c>
      <c r="N37" s="143"/>
      <c r="O37" s="143"/>
      <c r="P37" s="144"/>
      <c r="Q37" s="138">
        <f>IF(ISNUMBER(F37),$D$3-F37,"")</f>
        <v>-24.0</v>
      </c>
      <c r="R37" s="138">
        <f>IF(AND(OR(Dashboard!$P$1="All",A37=Dashboard!$P$1),OR(Dashboard!$P$2="All",J37=Dashboard!$P$2)),1,0)</f>
        <v>1</v>
      </c>
      <c r="S37" s="138">
        <f>I37*R37</f>
        <v>145783506</v>
      </c>
      <c r="T37" s="138">
        <f>IF(AND(ISNUMBER(Q37),Q37&gt;0),S37,0)</f>
        <v>0</v>
      </c>
      <c r="U37" s="138">
        <f>IF(OR(Dashboard!$P$3="All",AND(Dashboard!$P$3="Not due",Q37&lt;0),AND(Dashboard!$P$3="Due in 10 days",Q37&gt;=-10,Q37&lt;=0),AND(Dashboard!$P$3="Due in 30 days",Q37&gt;=-30,Q37&lt;=0),AND(Dashboard!$P$3="Overdue 1–60 days",Q37&gt;0,Q37&lt;=60),AND(Dashboard!$P$3="Over 60 days",Q37&gt;60),AND(Dashboard!$P$3="All overdue",Q37&gt;0)),1,0)</f>
        <v>1</v>
      </c>
      <c r="V37" s="138">
        <f>S37*U37</f>
        <v>145783506</v>
      </c>
      <c r="W37" s="138">
        <f>IF(Q37&gt;0,T37*Q37,0)</f>
        <v>0</v>
      </c>
      <c r="X37" s="138">
        <f>IF(V37&gt;0,COUNTIF($V$6:V37,"&gt;0"),"")</f>
        <v>32</v>
      </c>
      <c r="Y37" s="138" t="str">
        <f>C37&amp;"|"&amp;D37</f>
        <v>AR-00026|70000026</v>
      </c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</row>
    <row r="38" spans="1:41">
      <c r="A38" s="138" t="inlineStr">
        <is>
          <t>Client Alpha (Steel EPC)</t>
        </is>
      </c>
      <c r="B38" s="138" t="inlineStr">
        <is>
          <t>CLIENT ALPHA STEEL STRUCTURE CORPORATION</t>
        </is>
      </c>
      <c r="C38" s="138" t="inlineStr">
        <is>
          <t>AR-00027</t>
        </is>
      </c>
      <c r="D38" s="138" t="inlineStr">
        <is>
          <t>70000027</t>
        </is>
      </c>
      <c r="E38" s="141">
        <v>46233.0</v>
      </c>
      <c r="F38" s="141">
        <v>46308.0</v>
      </c>
      <c r="G38" s="142">
        <v>63039181</v>
      </c>
      <c r="H38" s="142">
        <v>0</v>
      </c>
      <c r="I38" s="142">
        <v>63039181</v>
      </c>
      <c r="J38" s="138" t="inlineStr">
        <is>
          <t>Senior Sales Rep 2</t>
        </is>
      </c>
      <c r="K38" s="138" t="inlineStr">
        <is>
          <t>Trading</t>
        </is>
      </c>
      <c r="L38" s="138" t="inlineStr">
        <is>
          <t>Project 015</t>
        </is>
      </c>
      <c r="M38" s="138" t="inlineStr">
        <is>
          <t>Collection note 010</t>
        </is>
      </c>
      <c r="N38" s="143"/>
      <c r="O38" s="143"/>
      <c r="P38" s="144"/>
      <c r="Q38" s="138">
        <f>IF(ISNUMBER(F38),$D$3-F38,"")</f>
        <v>-24.0</v>
      </c>
      <c r="R38" s="138">
        <f>IF(AND(OR(Dashboard!$P$1="All",A38=Dashboard!$P$1),OR(Dashboard!$P$2="All",J38=Dashboard!$P$2)),1,0)</f>
        <v>1</v>
      </c>
      <c r="S38" s="138">
        <f>I38*R38</f>
        <v>63039181</v>
      </c>
      <c r="T38" s="138">
        <f>IF(AND(ISNUMBER(Q38),Q38&gt;0),S38,0)</f>
        <v>0</v>
      </c>
      <c r="U38" s="138">
        <f>IF(OR(Dashboard!$P$3="All",AND(Dashboard!$P$3="Not due",Q38&lt;0),AND(Dashboard!$P$3="Due in 10 days",Q38&gt;=-10,Q38&lt;=0),AND(Dashboard!$P$3="Due in 30 days",Q38&gt;=-30,Q38&lt;=0),AND(Dashboard!$P$3="Overdue 1–60 days",Q38&gt;0,Q38&lt;=60),AND(Dashboard!$P$3="Over 60 days",Q38&gt;60),AND(Dashboard!$P$3="All overdue",Q38&gt;0)),1,0)</f>
        <v>1</v>
      </c>
      <c r="V38" s="138">
        <f>S38*U38</f>
        <v>63039181</v>
      </c>
      <c r="W38" s="138">
        <f>IF(Q38&gt;0,T38*Q38,0)</f>
        <v>0</v>
      </c>
      <c r="X38" s="138">
        <f>IF(V38&gt;0,COUNTIF($V$6:V38,"&gt;0"),"")</f>
        <v>33</v>
      </c>
      <c r="Y38" s="138" t="str">
        <f>C38&amp;"|"&amp;D38</f>
        <v>AR-00027|70000027</v>
      </c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</row>
    <row r="39" spans="1:41">
      <c r="A39" s="138" t="inlineStr">
        <is>
          <t>Client Alpha (Steel EPC)</t>
        </is>
      </c>
      <c r="B39" s="138" t="inlineStr">
        <is>
          <t>CLIENT ALPHA STEEL STRUCTURE CORPORATION</t>
        </is>
      </c>
      <c r="C39" s="138" t="inlineStr">
        <is>
          <t>AR-00028</t>
        </is>
      </c>
      <c r="D39" s="138" t="inlineStr">
        <is>
          <t>70000028</t>
        </is>
      </c>
      <c r="E39" s="141">
        <v>46234.0</v>
      </c>
      <c r="F39" s="141">
        <v>46309.0</v>
      </c>
      <c r="G39" s="142">
        <v>723974340</v>
      </c>
      <c r="H39" s="142">
        <v>144878439</v>
      </c>
      <c r="I39" s="142">
        <v>579095901</v>
      </c>
      <c r="J39" s="138" t="inlineStr">
        <is>
          <t>Senior Sales Rep 1</t>
        </is>
      </c>
      <c r="K39" s="138" t="inlineStr">
        <is>
          <t>Trading</t>
        </is>
      </c>
      <c r="L39" s="138" t="inlineStr">
        <is>
          <t>Project 009</t>
        </is>
      </c>
      <c r="M39" s="138" t="inlineStr">
        <is>
          <t>Collection note 007</t>
        </is>
      </c>
      <c r="N39" s="143"/>
      <c r="O39" s="143"/>
      <c r="P39" s="144"/>
      <c r="Q39" s="138">
        <f>IF(ISNUMBER(F39),$D$3-F39,"")</f>
        <v>-25.0</v>
      </c>
      <c r="R39" s="138">
        <f>IF(AND(OR(Dashboard!$P$1="All",A39=Dashboard!$P$1),OR(Dashboard!$P$2="All",J39=Dashboard!$P$2)),1,0)</f>
        <v>1</v>
      </c>
      <c r="S39" s="138">
        <f>I39*R39</f>
        <v>579095901</v>
      </c>
      <c r="T39" s="138">
        <f>IF(AND(ISNUMBER(Q39),Q39&gt;0),S39,0)</f>
        <v>0</v>
      </c>
      <c r="U39" s="138">
        <f>IF(OR(Dashboard!$P$3="All",AND(Dashboard!$P$3="Not due",Q39&lt;0),AND(Dashboard!$P$3="Due in 10 days",Q39&gt;=-10,Q39&lt;=0),AND(Dashboard!$P$3="Due in 30 days",Q39&gt;=-30,Q39&lt;=0),AND(Dashboard!$P$3="Overdue 1–60 days",Q39&gt;0,Q39&lt;=60),AND(Dashboard!$P$3="Over 60 days",Q39&gt;60),AND(Dashboard!$P$3="All overdue",Q39&gt;0)),1,0)</f>
        <v>1</v>
      </c>
      <c r="V39" s="138">
        <f>S39*U39</f>
        <v>579095901</v>
      </c>
      <c r="W39" s="138">
        <f>IF(Q39&gt;0,T39*Q39,0)</f>
        <v>0</v>
      </c>
      <c r="X39" s="138">
        <f>IF(V39&gt;0,COUNTIF($V$6:V39,"&gt;0"),"")</f>
        <v>34</v>
      </c>
      <c r="Y39" s="138" t="str">
        <f>C39&amp;"|"&amp;D39</f>
        <v>AR-00028|70000028</v>
      </c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</row>
    <row r="40" spans="1:41">
      <c r="A40" s="138" t="inlineStr">
        <is>
          <t>Client Alpha (Steel EPC)</t>
        </is>
      </c>
      <c r="B40" s="138" t="inlineStr">
        <is>
          <t>CLIENT ALPHA STEEL STRUCTURE CORPORATION</t>
        </is>
      </c>
      <c r="C40" s="138" t="inlineStr">
        <is>
          <t>AR-00029</t>
        </is>
      </c>
      <c r="D40" s="138" t="inlineStr">
        <is>
          <t>70000029</t>
        </is>
      </c>
      <c r="E40" s="141">
        <v>46234.0</v>
      </c>
      <c r="F40" s="141">
        <v>46309.0</v>
      </c>
      <c r="G40" s="142">
        <v>479735610</v>
      </c>
      <c r="H40" s="142">
        <v>96002500</v>
      </c>
      <c r="I40" s="142">
        <v>383733110</v>
      </c>
      <c r="J40" s="138" t="inlineStr">
        <is>
          <t>Senior Sales Rep 1</t>
        </is>
      </c>
      <c r="K40" s="138" t="inlineStr">
        <is>
          <t>Trading</t>
        </is>
      </c>
      <c r="L40" s="138" t="inlineStr">
        <is>
          <t>Project 009</t>
        </is>
      </c>
      <c r="M40" s="138" t="inlineStr">
        <is>
          <t>Collection note 007</t>
        </is>
      </c>
      <c r="N40" s="143"/>
      <c r="O40" s="143"/>
      <c r="P40" s="144"/>
      <c r="Q40" s="138">
        <f>IF(ISNUMBER(F40),$D$3-F40,"")</f>
        <v>-25.0</v>
      </c>
      <c r="R40" s="138">
        <f>IF(AND(OR(Dashboard!$P$1="All",A40=Dashboard!$P$1),OR(Dashboard!$P$2="All",J40=Dashboard!$P$2)),1,0)</f>
        <v>1</v>
      </c>
      <c r="S40" s="138">
        <f>I40*R40</f>
        <v>383733110</v>
      </c>
      <c r="T40" s="138">
        <f>IF(AND(ISNUMBER(Q40),Q40&gt;0),S40,0)</f>
        <v>0</v>
      </c>
      <c r="U40" s="138">
        <f>IF(OR(Dashboard!$P$3="All",AND(Dashboard!$P$3="Not due",Q40&lt;0),AND(Dashboard!$P$3="Due in 10 days",Q40&gt;=-10,Q40&lt;=0),AND(Dashboard!$P$3="Due in 30 days",Q40&gt;=-30,Q40&lt;=0),AND(Dashboard!$P$3="Overdue 1–60 days",Q40&gt;0,Q40&lt;=60),AND(Dashboard!$P$3="Over 60 days",Q40&gt;60),AND(Dashboard!$P$3="All overdue",Q40&gt;0)),1,0)</f>
        <v>1</v>
      </c>
      <c r="V40" s="138">
        <f>S40*U40</f>
        <v>383733110</v>
      </c>
      <c r="W40" s="138">
        <f>IF(Q40&gt;0,T40*Q40,0)</f>
        <v>0</v>
      </c>
      <c r="X40" s="138">
        <f>IF(V40&gt;0,COUNTIF($V$6:V40,"&gt;0"),"")</f>
        <v>35</v>
      </c>
      <c r="Y40" s="138" t="str">
        <f>C40&amp;"|"&amp;D40</f>
        <v>AR-00029|70000029</v>
      </c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</row>
    <row r="41" spans="1:41">
      <c r="A41" s="138" t="inlineStr">
        <is>
          <t>Client Alpha (Steel EPC)</t>
        </is>
      </c>
      <c r="B41" s="138" t="inlineStr">
        <is>
          <t>CLIENT ALPHA STEEL STRUCTURE CORPORATION</t>
        </is>
      </c>
      <c r="C41" s="138" t="inlineStr">
        <is>
          <t>AR-00030</t>
        </is>
      </c>
      <c r="D41" s="138" t="inlineStr">
        <is>
          <t>70000030</t>
        </is>
      </c>
      <c r="E41" s="141">
        <v>46253.0</v>
      </c>
      <c r="F41" s="141">
        <v>46328.0</v>
      </c>
      <c r="G41" s="142">
        <v>151049073</v>
      </c>
      <c r="H41" s="142">
        <v>0</v>
      </c>
      <c r="I41" s="142">
        <v>151049073</v>
      </c>
      <c r="J41" s="138" t="inlineStr">
        <is>
          <t>Senior Sales Rep 1</t>
        </is>
      </c>
      <c r="K41" s="138" t="inlineStr">
        <is>
          <t>Trading</t>
        </is>
      </c>
      <c r="L41" s="138" t="inlineStr">
        <is>
          <t>Project 014</t>
        </is>
      </c>
      <c r="M41" s="138" t="inlineStr">
        <is>
          <t>Collection note 009</t>
        </is>
      </c>
      <c r="N41" s="143"/>
      <c r="O41" s="143"/>
      <c r="P41" s="144"/>
      <c r="Q41" s="138">
        <f>IF(ISNUMBER(F41),$D$3-F41,"")</f>
        <v>-44.0</v>
      </c>
      <c r="R41" s="138">
        <f>IF(AND(OR(Dashboard!$P$1="All",A41=Dashboard!$P$1),OR(Dashboard!$P$2="All",J41=Dashboard!$P$2)),1,0)</f>
        <v>1</v>
      </c>
      <c r="S41" s="138">
        <f>I41*R41</f>
        <v>151049073</v>
      </c>
      <c r="T41" s="138">
        <f>IF(AND(ISNUMBER(Q41),Q41&gt;0),S41,0)</f>
        <v>0</v>
      </c>
      <c r="U41" s="138">
        <f>IF(OR(Dashboard!$P$3="All",AND(Dashboard!$P$3="Not due",Q41&lt;0),AND(Dashboard!$P$3="Due in 10 days",Q41&gt;=-10,Q41&lt;=0),AND(Dashboard!$P$3="Due in 30 days",Q41&gt;=-30,Q41&lt;=0),AND(Dashboard!$P$3="Overdue 1–60 days",Q41&gt;0,Q41&lt;=60),AND(Dashboard!$P$3="Over 60 days",Q41&gt;60),AND(Dashboard!$P$3="All overdue",Q41&gt;0)),1,0)</f>
        <v>1</v>
      </c>
      <c r="V41" s="138">
        <f>S41*U41</f>
        <v>151049073</v>
      </c>
      <c r="W41" s="138">
        <f>IF(Q41&gt;0,T41*Q41,0)</f>
        <v>0</v>
      </c>
      <c r="X41" s="138">
        <f>IF(V41&gt;0,COUNTIF($V$6:V41,"&gt;0"),"")</f>
        <v>36</v>
      </c>
      <c r="Y41" s="138" t="str">
        <f>C41&amp;"|"&amp;D41</f>
        <v>AR-00030|70000030</v>
      </c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</row>
    <row r="42" spans="1:41">
      <c r="A42" s="138" t="inlineStr">
        <is>
          <t>Client Alpha (Steel EPC)</t>
        </is>
      </c>
      <c r="B42" s="138" t="inlineStr">
        <is>
          <t>CLIENT ALPHA STEEL STRUCTURE CORPORATION</t>
        </is>
      </c>
      <c r="C42" s="138" t="inlineStr">
        <is>
          <t>AR-00031</t>
        </is>
      </c>
      <c r="D42" s="138" t="inlineStr">
        <is>
          <t>70000031</t>
        </is>
      </c>
      <c r="E42" s="141">
        <v>46253.0</v>
      </c>
      <c r="F42" s="141">
        <v>46328.0</v>
      </c>
      <c r="G42" s="142">
        <v>219307958</v>
      </c>
      <c r="H42" s="142">
        <v>0</v>
      </c>
      <c r="I42" s="142">
        <v>219307958</v>
      </c>
      <c r="J42" s="138" t="inlineStr">
        <is>
          <t>Senior Sales Rep 1</t>
        </is>
      </c>
      <c r="K42" s="138" t="inlineStr">
        <is>
          <t>Trading</t>
        </is>
      </c>
      <c r="L42" s="138" t="inlineStr">
        <is>
          <t>Project 014</t>
        </is>
      </c>
      <c r="M42" s="138" t="inlineStr">
        <is>
          <t>Collection note 009</t>
        </is>
      </c>
      <c r="N42" s="143"/>
      <c r="O42" s="143"/>
      <c r="P42" s="144"/>
      <c r="Q42" s="138">
        <f>IF(ISNUMBER(F42),$D$3-F42,"")</f>
        <v>-44.0</v>
      </c>
      <c r="R42" s="138">
        <f>IF(AND(OR(Dashboard!$P$1="All",A42=Dashboard!$P$1),OR(Dashboard!$P$2="All",J42=Dashboard!$P$2)),1,0)</f>
        <v>1</v>
      </c>
      <c r="S42" s="138">
        <f>I42*R42</f>
        <v>219307958</v>
      </c>
      <c r="T42" s="138">
        <f>IF(AND(ISNUMBER(Q42),Q42&gt;0),S42,0)</f>
        <v>0</v>
      </c>
      <c r="U42" s="138">
        <f>IF(OR(Dashboard!$P$3="All",AND(Dashboard!$P$3="Not due",Q42&lt;0),AND(Dashboard!$P$3="Due in 10 days",Q42&gt;=-10,Q42&lt;=0),AND(Dashboard!$P$3="Due in 30 days",Q42&gt;=-30,Q42&lt;=0),AND(Dashboard!$P$3="Overdue 1–60 days",Q42&gt;0,Q42&lt;=60),AND(Dashboard!$P$3="Over 60 days",Q42&gt;60),AND(Dashboard!$P$3="All overdue",Q42&gt;0)),1,0)</f>
        <v>1</v>
      </c>
      <c r="V42" s="138">
        <f>S42*U42</f>
        <v>219307958</v>
      </c>
      <c r="W42" s="138">
        <f>IF(Q42&gt;0,T42*Q42,0)</f>
        <v>0</v>
      </c>
      <c r="X42" s="138">
        <f>IF(V42&gt;0,COUNTIF($V$6:V42,"&gt;0"),"")</f>
        <v>37</v>
      </c>
      <c r="Y42" s="138" t="str">
        <f>C42&amp;"|"&amp;D42</f>
        <v>AR-00031|70000031</v>
      </c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</row>
    <row r="43" spans="1:41">
      <c r="A43" s="138" t="inlineStr">
        <is>
          <t>Client Alpha (Steel EPC)</t>
        </is>
      </c>
      <c r="B43" s="138" t="inlineStr">
        <is>
          <t>CLIENT ALPHA STEEL STRUCTURE CORPORATION</t>
        </is>
      </c>
      <c r="C43" s="138" t="inlineStr">
        <is>
          <t>AR-00032</t>
        </is>
      </c>
      <c r="D43" s="138" t="inlineStr">
        <is>
          <t>70000032</t>
        </is>
      </c>
      <c r="E43" s="141">
        <v>46253.0</v>
      </c>
      <c r="F43" s="141">
        <v>46328.0</v>
      </c>
      <c r="G43" s="142">
        <v>151565429</v>
      </c>
      <c r="H43" s="142">
        <v>0</v>
      </c>
      <c r="I43" s="142">
        <v>151565429</v>
      </c>
      <c r="J43" s="138" t="inlineStr">
        <is>
          <t>Senior Sales Rep 1</t>
        </is>
      </c>
      <c r="K43" s="138" t="inlineStr">
        <is>
          <t>Trading</t>
        </is>
      </c>
      <c r="L43" s="138" t="inlineStr">
        <is>
          <t>Project 014</t>
        </is>
      </c>
      <c r="M43" s="138" t="inlineStr">
        <is>
          <t>Collection note 009</t>
        </is>
      </c>
      <c r="N43" s="143"/>
      <c r="O43" s="143"/>
      <c r="P43" s="144"/>
      <c r="Q43" s="138">
        <f>IF(ISNUMBER(F43),$D$3-F43,"")</f>
        <v>-44.0</v>
      </c>
      <c r="R43" s="138">
        <f>IF(AND(OR(Dashboard!$P$1="All",A43=Dashboard!$P$1),OR(Dashboard!$P$2="All",J43=Dashboard!$P$2)),1,0)</f>
        <v>1</v>
      </c>
      <c r="S43" s="138">
        <f>I43*R43</f>
        <v>151565429</v>
      </c>
      <c r="T43" s="138">
        <f>IF(AND(ISNUMBER(Q43),Q43&gt;0),S43,0)</f>
        <v>0</v>
      </c>
      <c r="U43" s="138">
        <f>IF(OR(Dashboard!$P$3="All",AND(Dashboard!$P$3="Not due",Q43&lt;0),AND(Dashboard!$P$3="Due in 10 days",Q43&gt;=-10,Q43&lt;=0),AND(Dashboard!$P$3="Due in 30 days",Q43&gt;=-30,Q43&lt;=0),AND(Dashboard!$P$3="Overdue 1–60 days",Q43&gt;0,Q43&lt;=60),AND(Dashboard!$P$3="Over 60 days",Q43&gt;60),AND(Dashboard!$P$3="All overdue",Q43&gt;0)),1,0)</f>
        <v>1</v>
      </c>
      <c r="V43" s="138">
        <f>S43*U43</f>
        <v>151565429</v>
      </c>
      <c r="W43" s="138">
        <f>IF(Q43&gt;0,T43*Q43,0)</f>
        <v>0</v>
      </c>
      <c r="X43" s="138">
        <f>IF(V43&gt;0,COUNTIF($V$6:V43,"&gt;0"),"")</f>
        <v>38</v>
      </c>
      <c r="Y43" s="138" t="str">
        <f>C43&amp;"|"&amp;D43</f>
        <v>AR-00032|70000032</v>
      </c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</row>
    <row r="44" spans="1:41">
      <c r="A44" s="138" t="inlineStr">
        <is>
          <t>Client Alpha (Steel EPC)</t>
        </is>
      </c>
      <c r="B44" s="138" t="inlineStr">
        <is>
          <t>CLIENT ALPHA STEEL STRUCTURE CORPORATION</t>
        </is>
      </c>
      <c r="C44" s="138" t="inlineStr">
        <is>
          <t>AR-00033</t>
        </is>
      </c>
      <c r="D44" s="138" t="inlineStr">
        <is>
          <t>70000033</t>
        </is>
      </c>
      <c r="E44" s="141">
        <v>46255.0</v>
      </c>
      <c r="F44" s="141">
        <v>46330.0</v>
      </c>
      <c r="G44" s="142">
        <v>239297351</v>
      </c>
      <c r="H44" s="142">
        <v>0</v>
      </c>
      <c r="I44" s="142">
        <v>239297351</v>
      </c>
      <c r="J44" s="138" t="inlineStr">
        <is>
          <t>Senior Sales Rep 1</t>
        </is>
      </c>
      <c r="K44" s="138" t="inlineStr">
        <is>
          <t>Trading</t>
        </is>
      </c>
      <c r="L44" s="138" t="inlineStr">
        <is>
          <t>Project 013</t>
        </is>
      </c>
      <c r="M44" s="138" t="inlineStr">
        <is>
          <t>Collection note 011</t>
        </is>
      </c>
      <c r="N44" s="143"/>
      <c r="O44" s="143"/>
      <c r="P44" s="144"/>
      <c r="Q44" s="138">
        <f>IF(ISNUMBER(F44),$D$3-F44,"")</f>
        <v>-46.0</v>
      </c>
      <c r="R44" s="138">
        <f>IF(AND(OR(Dashboard!$P$1="All",A44=Dashboard!$P$1),OR(Dashboard!$P$2="All",J44=Dashboard!$P$2)),1,0)</f>
        <v>1</v>
      </c>
      <c r="S44" s="138">
        <f>I44*R44</f>
        <v>239297351</v>
      </c>
      <c r="T44" s="138">
        <f>IF(AND(ISNUMBER(Q44),Q44&gt;0),S44,0)</f>
        <v>0</v>
      </c>
      <c r="U44" s="138">
        <f>IF(OR(Dashboard!$P$3="All",AND(Dashboard!$P$3="Not due",Q44&lt;0),AND(Dashboard!$P$3="Due in 10 days",Q44&gt;=-10,Q44&lt;=0),AND(Dashboard!$P$3="Due in 30 days",Q44&gt;=-30,Q44&lt;=0),AND(Dashboard!$P$3="Overdue 1–60 days",Q44&gt;0,Q44&lt;=60),AND(Dashboard!$P$3="Over 60 days",Q44&gt;60),AND(Dashboard!$P$3="All overdue",Q44&gt;0)),1,0)</f>
        <v>1</v>
      </c>
      <c r="V44" s="138">
        <f>S44*U44</f>
        <v>239297351</v>
      </c>
      <c r="W44" s="138">
        <f>IF(Q44&gt;0,T44*Q44,0)</f>
        <v>0</v>
      </c>
      <c r="X44" s="138">
        <f>IF(V44&gt;0,COUNTIF($V$6:V44,"&gt;0"),"")</f>
        <v>39</v>
      </c>
      <c r="Y44" s="138" t="str">
        <f>C44&amp;"|"&amp;D44</f>
        <v>AR-00033|70000033</v>
      </c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</row>
    <row r="45" spans="1:41">
      <c r="A45" s="138" t="inlineStr">
        <is>
          <t>Client Alpha (Steel EPC)</t>
        </is>
      </c>
      <c r="B45" s="138" t="inlineStr">
        <is>
          <t>CLIENT ALPHA STEEL STRUCTURE CORPORATION</t>
        </is>
      </c>
      <c r="C45" s="138" t="inlineStr">
        <is>
          <t>AR-00034</t>
        </is>
      </c>
      <c r="D45" s="138" t="inlineStr">
        <is>
          <t>70000034</t>
        </is>
      </c>
      <c r="E45" s="141">
        <v>46255.0</v>
      </c>
      <c r="F45" s="141">
        <v>46330.0</v>
      </c>
      <c r="G45" s="142">
        <v>140826393</v>
      </c>
      <c r="H45" s="142">
        <v>0</v>
      </c>
      <c r="I45" s="142">
        <v>140826393</v>
      </c>
      <c r="J45" s="138" t="inlineStr">
        <is>
          <t>Senior Sales Rep 1</t>
        </is>
      </c>
      <c r="K45" s="138" t="inlineStr">
        <is>
          <t>Trading</t>
        </is>
      </c>
      <c r="L45" s="138" t="inlineStr">
        <is>
          <t>Project 014</t>
        </is>
      </c>
      <c r="M45" s="138" t="inlineStr">
        <is>
          <t>Collection note 009</t>
        </is>
      </c>
      <c r="N45" s="143"/>
      <c r="O45" s="143"/>
      <c r="P45" s="144"/>
      <c r="Q45" s="138">
        <f>IF(ISNUMBER(F45),$D$3-F45,"")</f>
        <v>-46.0</v>
      </c>
      <c r="R45" s="138">
        <f>IF(AND(OR(Dashboard!$P$1="All",A45=Dashboard!$P$1),OR(Dashboard!$P$2="All",J45=Dashboard!$P$2)),1,0)</f>
        <v>1</v>
      </c>
      <c r="S45" s="138">
        <f>I45*R45</f>
        <v>140826393</v>
      </c>
      <c r="T45" s="138">
        <f>IF(AND(ISNUMBER(Q45),Q45&gt;0),S45,0)</f>
        <v>0</v>
      </c>
      <c r="U45" s="138">
        <f>IF(OR(Dashboard!$P$3="All",AND(Dashboard!$P$3="Not due",Q45&lt;0),AND(Dashboard!$P$3="Due in 10 days",Q45&gt;=-10,Q45&lt;=0),AND(Dashboard!$P$3="Due in 30 days",Q45&gt;=-30,Q45&lt;=0),AND(Dashboard!$P$3="Overdue 1–60 days",Q45&gt;0,Q45&lt;=60),AND(Dashboard!$P$3="Over 60 days",Q45&gt;60),AND(Dashboard!$P$3="All overdue",Q45&gt;0)),1,0)</f>
        <v>1</v>
      </c>
      <c r="V45" s="138">
        <f>S45*U45</f>
        <v>140826393</v>
      </c>
      <c r="W45" s="138">
        <f>IF(Q45&gt;0,T45*Q45,0)</f>
        <v>0</v>
      </c>
      <c r="X45" s="138">
        <f>IF(V45&gt;0,COUNTIF($V$6:V45,"&gt;0"),"")</f>
        <v>40</v>
      </c>
      <c r="Y45" s="138" t="str">
        <f>C45&amp;"|"&amp;D45</f>
        <v>AR-00034|70000034</v>
      </c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</row>
    <row r="46" spans="1:41">
      <c r="A46" s="138" t="inlineStr">
        <is>
          <t>Client Alpha (Steel EPC)</t>
        </is>
      </c>
      <c r="B46" s="138" t="inlineStr">
        <is>
          <t>CLIENT ALPHA STEEL STRUCTURE CORPORATION</t>
        </is>
      </c>
      <c r="C46" s="138" t="inlineStr">
        <is>
          <t>AR-00035</t>
        </is>
      </c>
      <c r="D46" s="138" t="inlineStr">
        <is>
          <t>70000035</t>
        </is>
      </c>
      <c r="E46" s="141">
        <v>46255.0</v>
      </c>
      <c r="F46" s="141">
        <v>46330.0</v>
      </c>
      <c r="G46" s="142">
        <v>46074878</v>
      </c>
      <c r="H46" s="142">
        <v>0</v>
      </c>
      <c r="I46" s="142">
        <v>46074878</v>
      </c>
      <c r="J46" s="138" t="inlineStr">
        <is>
          <t>Senior Sales Rep 1</t>
        </is>
      </c>
      <c r="K46" s="138" t="inlineStr">
        <is>
          <t>Trading</t>
        </is>
      </c>
      <c r="L46" s="138" t="inlineStr">
        <is>
          <t>Project 013</t>
        </is>
      </c>
      <c r="M46" s="138" t="inlineStr">
        <is>
          <t>Collection note 011</t>
        </is>
      </c>
      <c r="N46" s="143"/>
      <c r="O46" s="143"/>
      <c r="P46" s="144"/>
      <c r="Q46" s="138">
        <f>IF(ISNUMBER(F46),$D$3-F46,"")</f>
        <v>-46.0</v>
      </c>
      <c r="R46" s="138">
        <f>IF(AND(OR(Dashboard!$P$1="All",A46=Dashboard!$P$1),OR(Dashboard!$P$2="All",J46=Dashboard!$P$2)),1,0)</f>
        <v>1</v>
      </c>
      <c r="S46" s="138">
        <f>I46*R46</f>
        <v>46074878</v>
      </c>
      <c r="T46" s="138">
        <f>IF(AND(ISNUMBER(Q46),Q46&gt;0),S46,0)</f>
        <v>0</v>
      </c>
      <c r="U46" s="138">
        <f>IF(OR(Dashboard!$P$3="All",AND(Dashboard!$P$3="Not due",Q46&lt;0),AND(Dashboard!$P$3="Due in 10 days",Q46&gt;=-10,Q46&lt;=0),AND(Dashboard!$P$3="Due in 30 days",Q46&gt;=-30,Q46&lt;=0),AND(Dashboard!$P$3="Overdue 1–60 days",Q46&gt;0,Q46&lt;=60),AND(Dashboard!$P$3="Over 60 days",Q46&gt;60),AND(Dashboard!$P$3="All overdue",Q46&gt;0)),1,0)</f>
        <v>1</v>
      </c>
      <c r="V46" s="138">
        <f>S46*U46</f>
        <v>46074878</v>
      </c>
      <c r="W46" s="138">
        <f>IF(Q46&gt;0,T46*Q46,0)</f>
        <v>0</v>
      </c>
      <c r="X46" s="138">
        <f>IF(V46&gt;0,COUNTIF($V$6:V46,"&gt;0"),"")</f>
        <v>41</v>
      </c>
      <c r="Y46" s="138" t="str">
        <f>C46&amp;"|"&amp;D46</f>
        <v>AR-00035|70000035</v>
      </c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</row>
    <row r="47" spans="1:41">
      <c r="A47" s="138" t="inlineStr">
        <is>
          <t>Client Alpha (Steel EPC)</t>
        </is>
      </c>
      <c r="B47" s="138" t="inlineStr">
        <is>
          <t>CLIENT ALPHA STEEL STRUCTURE CORPORATION</t>
        </is>
      </c>
      <c r="C47" s="138" t="inlineStr">
        <is>
          <t>AR-00036</t>
        </is>
      </c>
      <c r="D47" s="138" t="inlineStr">
        <is>
          <t>70000036</t>
        </is>
      </c>
      <c r="E47" s="141">
        <v>46259.0</v>
      </c>
      <c r="F47" s="141">
        <v>46334.0</v>
      </c>
      <c r="G47" s="142">
        <v>37802342</v>
      </c>
      <c r="H47" s="142">
        <v>0</v>
      </c>
      <c r="I47" s="142">
        <v>37802342</v>
      </c>
      <c r="J47" s="138" t="inlineStr">
        <is>
          <t>Senior Sales Rep 2</t>
        </is>
      </c>
      <c r="K47" s="138" t="inlineStr">
        <is>
          <t>Trading</t>
        </is>
      </c>
      <c r="L47" s="138" t="inlineStr">
        <is>
          <t>Project 015</t>
        </is>
      </c>
      <c r="M47" s="138" t="inlineStr">
        <is>
          <t>Collection note 010</t>
        </is>
      </c>
      <c r="N47" s="143"/>
      <c r="O47" s="143"/>
      <c r="P47" s="144"/>
      <c r="Q47" s="138">
        <f>IF(ISNUMBER(F47),$D$3-F47,"")</f>
        <v>-50.0</v>
      </c>
      <c r="R47" s="138">
        <f>IF(AND(OR(Dashboard!$P$1="All",A47=Dashboard!$P$1),OR(Dashboard!$P$2="All",J47=Dashboard!$P$2)),1,0)</f>
        <v>1</v>
      </c>
      <c r="S47" s="138">
        <f>I47*R47</f>
        <v>37802342</v>
      </c>
      <c r="T47" s="138">
        <f>IF(AND(ISNUMBER(Q47),Q47&gt;0),S47,0)</f>
        <v>0</v>
      </c>
      <c r="U47" s="138">
        <f>IF(OR(Dashboard!$P$3="All",AND(Dashboard!$P$3="Not due",Q47&lt;0),AND(Dashboard!$P$3="Due in 10 days",Q47&gt;=-10,Q47&lt;=0),AND(Dashboard!$P$3="Due in 30 days",Q47&gt;=-30,Q47&lt;=0),AND(Dashboard!$P$3="Overdue 1–60 days",Q47&gt;0,Q47&lt;=60),AND(Dashboard!$P$3="Over 60 days",Q47&gt;60),AND(Dashboard!$P$3="All overdue",Q47&gt;0)),1,0)</f>
        <v>1</v>
      </c>
      <c r="V47" s="138">
        <f>S47*U47</f>
        <v>37802342</v>
      </c>
      <c r="W47" s="138">
        <f>IF(Q47&gt;0,T47*Q47,0)</f>
        <v>0</v>
      </c>
      <c r="X47" s="138">
        <f>IF(V47&gt;0,COUNTIF($V$6:V47,"&gt;0"),"")</f>
        <v>42</v>
      </c>
      <c r="Y47" s="138" t="str">
        <f>C47&amp;"|"&amp;D47</f>
        <v>AR-00036|70000036</v>
      </c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</row>
    <row r="48" spans="1:41">
      <c r="A48" s="138" t="inlineStr">
        <is>
          <t>Client Alpha (Steel EPC)</t>
        </is>
      </c>
      <c r="B48" s="138" t="inlineStr">
        <is>
          <t>CLIENT ALPHA STEEL STRUCTURE CORPORATION</t>
        </is>
      </c>
      <c r="C48" s="138" t="inlineStr">
        <is>
          <t>AR-00037</t>
        </is>
      </c>
      <c r="D48" s="138" t="inlineStr">
        <is>
          <t>70000037</t>
        </is>
      </c>
      <c r="E48" s="141">
        <v>46259.0</v>
      </c>
      <c r="F48" s="141">
        <v>46334.0</v>
      </c>
      <c r="G48" s="142">
        <v>671193731</v>
      </c>
      <c r="H48" s="142">
        <v>134316225</v>
      </c>
      <c r="I48" s="142">
        <v>536877506</v>
      </c>
      <c r="J48" s="138" t="inlineStr">
        <is>
          <t>Senior Sales Rep 1</t>
        </is>
      </c>
      <c r="K48" s="138" t="inlineStr">
        <is>
          <t>Trading</t>
        </is>
      </c>
      <c r="L48" s="138" t="inlineStr">
        <is>
          <t>Project 009</t>
        </is>
      </c>
      <c r="M48" s="138" t="inlineStr">
        <is>
          <t>Collection note 007</t>
        </is>
      </c>
      <c r="N48" s="143"/>
      <c r="O48" s="143"/>
      <c r="P48" s="144"/>
      <c r="Q48" s="138">
        <f>IF(ISNUMBER(F48),$D$3-F48,"")</f>
        <v>-50.0</v>
      </c>
      <c r="R48" s="138">
        <f>IF(AND(OR(Dashboard!$P$1="All",A48=Dashboard!$P$1),OR(Dashboard!$P$2="All",J48=Dashboard!$P$2)),1,0)</f>
        <v>1</v>
      </c>
      <c r="S48" s="138">
        <f>I48*R48</f>
        <v>536877506</v>
      </c>
      <c r="T48" s="138">
        <f>IF(AND(ISNUMBER(Q48),Q48&gt;0),S48,0)</f>
        <v>0</v>
      </c>
      <c r="U48" s="138">
        <f>IF(OR(Dashboard!$P$3="All",AND(Dashboard!$P$3="Not due",Q48&lt;0),AND(Dashboard!$P$3="Due in 10 days",Q48&gt;=-10,Q48&lt;=0),AND(Dashboard!$P$3="Due in 30 days",Q48&gt;=-30,Q48&lt;=0),AND(Dashboard!$P$3="Overdue 1–60 days",Q48&gt;0,Q48&lt;=60),AND(Dashboard!$P$3="Over 60 days",Q48&gt;60),AND(Dashboard!$P$3="All overdue",Q48&gt;0)),1,0)</f>
        <v>1</v>
      </c>
      <c r="V48" s="138">
        <f>S48*U48</f>
        <v>536877506</v>
      </c>
      <c r="W48" s="138">
        <f>IF(Q48&gt;0,T48*Q48,0)</f>
        <v>0</v>
      </c>
      <c r="X48" s="138">
        <f>IF(V48&gt;0,COUNTIF($V$6:V48,"&gt;0"),"")</f>
        <v>43</v>
      </c>
      <c r="Y48" s="138" t="str">
        <f>C48&amp;"|"&amp;D48</f>
        <v>AR-00037|70000037</v>
      </c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</row>
    <row r="49" spans="1:41">
      <c r="A49" s="138" t="inlineStr">
        <is>
          <t>Client Alpha (Steel EPC)</t>
        </is>
      </c>
      <c r="B49" s="138" t="inlineStr">
        <is>
          <t>CLIENT ALPHA STEEL STRUCTURE CORPORATION</t>
        </is>
      </c>
      <c r="C49" s="138" t="inlineStr">
        <is>
          <t>AR-00038</t>
        </is>
      </c>
      <c r="D49" s="138" t="inlineStr">
        <is>
          <t>70000038</t>
        </is>
      </c>
      <c r="E49" s="141">
        <v>46262.0</v>
      </c>
      <c r="F49" s="141">
        <v>46337.0</v>
      </c>
      <c r="G49" s="142">
        <v>250160315</v>
      </c>
      <c r="H49" s="142">
        <v>50060940</v>
      </c>
      <c r="I49" s="142">
        <v>200099375</v>
      </c>
      <c r="J49" s="138" t="inlineStr">
        <is>
          <t>Senior Sales Rep 1</t>
        </is>
      </c>
      <c r="K49" s="138" t="inlineStr">
        <is>
          <t>Trading</t>
        </is>
      </c>
      <c r="L49" s="138" t="inlineStr">
        <is>
          <t>Project 009</t>
        </is>
      </c>
      <c r="M49" s="138" t="inlineStr">
        <is>
          <t>Collection note 007</t>
        </is>
      </c>
      <c r="N49" s="143"/>
      <c r="O49" s="143"/>
      <c r="P49" s="144"/>
      <c r="Q49" s="138">
        <f>IF(ISNUMBER(F49),$D$3-F49,"")</f>
        <v>-53.0</v>
      </c>
      <c r="R49" s="138">
        <f>IF(AND(OR(Dashboard!$P$1="All",A49=Dashboard!$P$1),OR(Dashboard!$P$2="All",J49=Dashboard!$P$2)),1,0)</f>
        <v>1</v>
      </c>
      <c r="S49" s="138">
        <f>I49*R49</f>
        <v>200099375</v>
      </c>
      <c r="T49" s="138">
        <f>IF(AND(ISNUMBER(Q49),Q49&gt;0),S49,0)</f>
        <v>0</v>
      </c>
      <c r="U49" s="138">
        <f>IF(OR(Dashboard!$P$3="All",AND(Dashboard!$P$3="Not due",Q49&lt;0),AND(Dashboard!$P$3="Due in 10 days",Q49&gt;=-10,Q49&lt;=0),AND(Dashboard!$P$3="Due in 30 days",Q49&gt;=-30,Q49&lt;=0),AND(Dashboard!$P$3="Overdue 1–60 days",Q49&gt;0,Q49&lt;=60),AND(Dashboard!$P$3="Over 60 days",Q49&gt;60),AND(Dashboard!$P$3="All overdue",Q49&gt;0)),1,0)</f>
        <v>1</v>
      </c>
      <c r="V49" s="138">
        <f>S49*U49</f>
        <v>200099375</v>
      </c>
      <c r="W49" s="138">
        <f>IF(Q49&gt;0,T49*Q49,0)</f>
        <v>0</v>
      </c>
      <c r="X49" s="138">
        <f>IF(V49&gt;0,COUNTIF($V$6:V49,"&gt;0"),"")</f>
        <v>44</v>
      </c>
      <c r="Y49" s="138" t="str">
        <f>C49&amp;"|"&amp;D49</f>
        <v>AR-00038|70000038</v>
      </c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</row>
    <row r="50" spans="1:41">
      <c r="A50" s="138" t="inlineStr">
        <is>
          <t>Client Alpha (Steel EPC)</t>
        </is>
      </c>
      <c r="B50" s="138" t="inlineStr">
        <is>
          <t>CLIENT ALPHA STEEL STRUCTURE CORPORATION</t>
        </is>
      </c>
      <c r="C50" s="138" t="inlineStr">
        <is>
          <t>AR-00039</t>
        </is>
      </c>
      <c r="D50" s="138" t="inlineStr">
        <is>
          <t>70000039</t>
        </is>
      </c>
      <c r="E50" s="141">
        <v>46262.0</v>
      </c>
      <c r="F50" s="141">
        <v>46337.0</v>
      </c>
      <c r="G50" s="142">
        <v>665714606</v>
      </c>
      <c r="H50" s="142">
        <v>0</v>
      </c>
      <c r="I50" s="142">
        <v>665714606</v>
      </c>
      <c r="J50" s="138" t="inlineStr">
        <is>
          <t>Senior Sales Rep 1</t>
        </is>
      </c>
      <c r="K50" s="138" t="inlineStr">
        <is>
          <t>Trading</t>
        </is>
      </c>
      <c r="L50" s="138" t="inlineStr">
        <is>
          <t>Project 013</t>
        </is>
      </c>
      <c r="M50" s="138" t="inlineStr">
        <is>
          <t>Collection note 011</t>
        </is>
      </c>
      <c r="N50" s="143"/>
      <c r="O50" s="143"/>
      <c r="P50" s="144"/>
      <c r="Q50" s="138">
        <f>IF(ISNUMBER(F50),$D$3-F50,"")</f>
        <v>-53.0</v>
      </c>
      <c r="R50" s="138">
        <f>IF(AND(OR(Dashboard!$P$1="All",A50=Dashboard!$P$1),OR(Dashboard!$P$2="All",J50=Dashboard!$P$2)),1,0)</f>
        <v>1</v>
      </c>
      <c r="S50" s="138">
        <f>I50*R50</f>
        <v>665714606</v>
      </c>
      <c r="T50" s="138">
        <f>IF(AND(ISNUMBER(Q50),Q50&gt;0),S50,0)</f>
        <v>0</v>
      </c>
      <c r="U50" s="138">
        <f>IF(OR(Dashboard!$P$3="All",AND(Dashboard!$P$3="Not due",Q50&lt;0),AND(Dashboard!$P$3="Due in 10 days",Q50&gt;=-10,Q50&lt;=0),AND(Dashboard!$P$3="Due in 30 days",Q50&gt;=-30,Q50&lt;=0),AND(Dashboard!$P$3="Overdue 1–60 days",Q50&gt;0,Q50&lt;=60),AND(Dashboard!$P$3="Over 60 days",Q50&gt;60),AND(Dashboard!$P$3="All overdue",Q50&gt;0)),1,0)</f>
        <v>1</v>
      </c>
      <c r="V50" s="138">
        <f>S50*U50</f>
        <v>665714606</v>
      </c>
      <c r="W50" s="138">
        <f>IF(Q50&gt;0,T50*Q50,0)</f>
        <v>0</v>
      </c>
      <c r="X50" s="138">
        <f>IF(V50&gt;0,COUNTIF($V$6:V50,"&gt;0"),"")</f>
        <v>45</v>
      </c>
      <c r="Y50" s="138" t="str">
        <f>C50&amp;"|"&amp;D50</f>
        <v>AR-00039|70000039</v>
      </c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</row>
    <row r="51" spans="1:41">
      <c r="A51" s="138" t="inlineStr">
        <is>
          <t>Client Alpha (Steel EPC)</t>
        </is>
      </c>
      <c r="B51" s="138" t="inlineStr">
        <is>
          <t>CLIENT ALPHA STEEL STRUCTURE CORPORATION</t>
        </is>
      </c>
      <c r="C51" s="138" t="inlineStr">
        <is>
          <t>AR-00040</t>
        </is>
      </c>
      <c r="D51" s="138" t="inlineStr">
        <is>
          <t>70000040</t>
        </is>
      </c>
      <c r="E51" s="141">
        <v>46262.0</v>
      </c>
      <c r="F51" s="141">
        <v>46337.0</v>
      </c>
      <c r="G51" s="142">
        <v>166273461</v>
      </c>
      <c r="H51" s="142">
        <v>0</v>
      </c>
      <c r="I51" s="142">
        <v>166273461</v>
      </c>
      <c r="J51" s="138" t="inlineStr">
        <is>
          <t>Senior Sales Rep 1</t>
        </is>
      </c>
      <c r="K51" s="138" t="inlineStr">
        <is>
          <t>Trading</t>
        </is>
      </c>
      <c r="L51" s="138" t="inlineStr">
        <is>
          <t>Project 013</t>
        </is>
      </c>
      <c r="M51" s="138" t="inlineStr">
        <is>
          <t>Collection note 011</t>
        </is>
      </c>
      <c r="N51" s="143"/>
      <c r="O51" s="143"/>
      <c r="P51" s="144"/>
      <c r="Q51" s="138">
        <f>IF(ISNUMBER(F51),$D$3-F51,"")</f>
        <v>-53.0</v>
      </c>
      <c r="R51" s="138">
        <f>IF(AND(OR(Dashboard!$P$1="All",A51=Dashboard!$P$1),OR(Dashboard!$P$2="All",J51=Dashboard!$P$2)),1,0)</f>
        <v>1</v>
      </c>
      <c r="S51" s="138">
        <f>I51*R51</f>
        <v>166273461</v>
      </c>
      <c r="T51" s="138">
        <f>IF(AND(ISNUMBER(Q51),Q51&gt;0),S51,0)</f>
        <v>0</v>
      </c>
      <c r="U51" s="138">
        <f>IF(OR(Dashboard!$P$3="All",AND(Dashboard!$P$3="Not due",Q51&lt;0),AND(Dashboard!$P$3="Due in 10 days",Q51&gt;=-10,Q51&lt;=0),AND(Dashboard!$P$3="Due in 30 days",Q51&gt;=-30,Q51&lt;=0),AND(Dashboard!$P$3="Overdue 1–60 days",Q51&gt;0,Q51&lt;=60),AND(Dashboard!$P$3="Over 60 days",Q51&gt;60),AND(Dashboard!$P$3="All overdue",Q51&gt;0)),1,0)</f>
        <v>1</v>
      </c>
      <c r="V51" s="138">
        <f>S51*U51</f>
        <v>166273461</v>
      </c>
      <c r="W51" s="138">
        <f>IF(Q51&gt;0,T51*Q51,0)</f>
        <v>0</v>
      </c>
      <c r="X51" s="138">
        <f>IF(V51&gt;0,COUNTIF($V$6:V51,"&gt;0"),"")</f>
        <v>46</v>
      </c>
      <c r="Y51" s="138" t="str">
        <f>C51&amp;"|"&amp;D51</f>
        <v>AR-00040|70000040</v>
      </c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</row>
    <row r="52" spans="1:41">
      <c r="A52" s="138" t="inlineStr">
        <is>
          <t>Client Alpha (Steel EPC)</t>
        </is>
      </c>
      <c r="B52" s="138" t="inlineStr">
        <is>
          <t>CLIENT ALPHA STEEL STRUCTURE CORPORATION</t>
        </is>
      </c>
      <c r="C52" s="138" t="inlineStr">
        <is>
          <t>AR-00041</t>
        </is>
      </c>
      <c r="D52" s="138" t="inlineStr">
        <is>
          <t>70000041</t>
        </is>
      </c>
      <c r="E52" s="141">
        <v>46262.0</v>
      </c>
      <c r="F52" s="141">
        <v>46337.0</v>
      </c>
      <c r="G52" s="142">
        <v>640473800</v>
      </c>
      <c r="H52" s="142">
        <v>0</v>
      </c>
      <c r="I52" s="142">
        <v>640473800</v>
      </c>
      <c r="J52" s="138" t="inlineStr">
        <is>
          <t>Senior Sales Rep 2</t>
        </is>
      </c>
      <c r="K52" s="138" t="inlineStr">
        <is>
          <t>Trading</t>
        </is>
      </c>
      <c r="L52" s="138" t="inlineStr">
        <is>
          <t>Project 010</t>
        </is>
      </c>
      <c r="M52" s="138" t="inlineStr">
        <is>
          <t>Collection note 012</t>
        </is>
      </c>
      <c r="N52" s="143"/>
      <c r="O52" s="143"/>
      <c r="P52" s="144"/>
      <c r="Q52" s="138">
        <f>IF(ISNUMBER(F52),$D$3-F52,"")</f>
        <v>-53.0</v>
      </c>
      <c r="R52" s="138">
        <f>IF(AND(OR(Dashboard!$P$1="All",A52=Dashboard!$P$1),OR(Dashboard!$P$2="All",J52=Dashboard!$P$2)),1,0)</f>
        <v>1</v>
      </c>
      <c r="S52" s="138">
        <f>I52*R52</f>
        <v>640473800</v>
      </c>
      <c r="T52" s="138">
        <f>IF(AND(ISNUMBER(Q52),Q52&gt;0),S52,0)</f>
        <v>0</v>
      </c>
      <c r="U52" s="138">
        <f>IF(OR(Dashboard!$P$3="All",AND(Dashboard!$P$3="Not due",Q52&lt;0),AND(Dashboard!$P$3="Due in 10 days",Q52&gt;=-10,Q52&lt;=0),AND(Dashboard!$P$3="Due in 30 days",Q52&gt;=-30,Q52&lt;=0),AND(Dashboard!$P$3="Overdue 1–60 days",Q52&gt;0,Q52&lt;=60),AND(Dashboard!$P$3="Over 60 days",Q52&gt;60),AND(Dashboard!$P$3="All overdue",Q52&gt;0)),1,0)</f>
        <v>1</v>
      </c>
      <c r="V52" s="138">
        <f>S52*U52</f>
        <v>640473800</v>
      </c>
      <c r="W52" s="138">
        <f>IF(Q52&gt;0,T52*Q52,0)</f>
        <v>0</v>
      </c>
      <c r="X52" s="138">
        <f>IF(V52&gt;0,COUNTIF($V$6:V52,"&gt;0"),"")</f>
        <v>47</v>
      </c>
      <c r="Y52" s="138" t="str">
        <f>C52&amp;"|"&amp;D52</f>
        <v>AR-00041|70000041</v>
      </c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</row>
    <row r="53" spans="1:41">
      <c r="A53" s="138" t="inlineStr">
        <is>
          <t>Client Alpha (Steel EPC)</t>
        </is>
      </c>
      <c r="B53" s="138" t="inlineStr">
        <is>
          <t>CLIENT ALPHA STEEL STRUCTURE CORPORATION</t>
        </is>
      </c>
      <c r="C53" s="138" t="inlineStr">
        <is>
          <t>AR-00042</t>
        </is>
      </c>
      <c r="D53" s="138" t="inlineStr">
        <is>
          <t>70000042</t>
        </is>
      </c>
      <c r="E53" s="141">
        <v>46262.0</v>
      </c>
      <c r="F53" s="141">
        <v>46337.0</v>
      </c>
      <c r="G53" s="142">
        <v>6043736436</v>
      </c>
      <c r="H53" s="142">
        <v>0</v>
      </c>
      <c r="I53" s="142">
        <v>6043736436</v>
      </c>
      <c r="J53" s="138" t="inlineStr">
        <is>
          <t>Senior Sales Rep 2</t>
        </is>
      </c>
      <c r="K53" s="138" t="inlineStr">
        <is>
          <t>Trading</t>
        </is>
      </c>
      <c r="L53" s="138" t="inlineStr">
        <is>
          <t>Project 010</t>
        </is>
      </c>
      <c r="M53" s="138" t="inlineStr">
        <is>
          <t>Collection note 012</t>
        </is>
      </c>
      <c r="N53" s="143"/>
      <c r="O53" s="143"/>
      <c r="P53" s="144"/>
      <c r="Q53" s="138">
        <f>IF(ISNUMBER(F53),$D$3-F53,"")</f>
        <v>-53.0</v>
      </c>
      <c r="R53" s="138">
        <f>IF(AND(OR(Dashboard!$P$1="All",A53=Dashboard!$P$1),OR(Dashboard!$P$2="All",J53=Dashboard!$P$2)),1,0)</f>
        <v>1</v>
      </c>
      <c r="S53" s="138">
        <f>I53*R53</f>
        <v>6043736436</v>
      </c>
      <c r="T53" s="138">
        <f>IF(AND(ISNUMBER(Q53),Q53&gt;0),S53,0)</f>
        <v>0</v>
      </c>
      <c r="U53" s="138">
        <f>IF(OR(Dashboard!$P$3="All",AND(Dashboard!$P$3="Not due",Q53&lt;0),AND(Dashboard!$P$3="Due in 10 days",Q53&gt;=-10,Q53&lt;=0),AND(Dashboard!$P$3="Due in 30 days",Q53&gt;=-30,Q53&lt;=0),AND(Dashboard!$P$3="Overdue 1–60 days",Q53&gt;0,Q53&lt;=60),AND(Dashboard!$P$3="Over 60 days",Q53&gt;60),AND(Dashboard!$P$3="All overdue",Q53&gt;0)),1,0)</f>
        <v>1</v>
      </c>
      <c r="V53" s="138">
        <f>S53*U53</f>
        <v>6043736436</v>
      </c>
      <c r="W53" s="138">
        <f>IF(Q53&gt;0,T53*Q53,0)</f>
        <v>0</v>
      </c>
      <c r="X53" s="138">
        <f>IF(V53&gt;0,COUNTIF($V$6:V53,"&gt;0"),"")</f>
        <v>48</v>
      </c>
      <c r="Y53" s="138" t="str">
        <f>C53&amp;"|"&amp;D53</f>
        <v>AR-00042|70000042</v>
      </c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</row>
    <row r="54" spans="1:41">
      <c r="A54" s="138" t="inlineStr">
        <is>
          <t>Client Alpha (Steel EPC)</t>
        </is>
      </c>
      <c r="B54" s="138" t="inlineStr">
        <is>
          <t>CLIENT ALPHA STEEL STRUCTURE CORPORATION</t>
        </is>
      </c>
      <c r="C54" s="138" t="inlineStr">
        <is>
          <t>AR-00043</t>
        </is>
      </c>
      <c r="D54" s="138" t="inlineStr">
        <is>
          <t>70000043</t>
        </is>
      </c>
      <c r="E54" s="141">
        <v>46268.0</v>
      </c>
      <c r="F54" s="141">
        <v>46343.0</v>
      </c>
      <c r="G54" s="142">
        <v>15679183</v>
      </c>
      <c r="H54" s="142">
        <v>0</v>
      </c>
      <c r="I54" s="142">
        <v>15679183</v>
      </c>
      <c r="J54" s="138" t="inlineStr">
        <is>
          <t>Senior Sales Rep 1</t>
        </is>
      </c>
      <c r="K54" s="138" t="inlineStr">
        <is>
          <t>Trading</t>
        </is>
      </c>
      <c r="L54" s="138" t="inlineStr">
        <is>
          <t>Project 014</t>
        </is>
      </c>
      <c r="M54" s="138" t="inlineStr">
        <is>
          <t>Collection note 009</t>
        </is>
      </c>
      <c r="N54" s="143"/>
      <c r="O54" s="143"/>
      <c r="P54" s="144"/>
      <c r="Q54" s="138">
        <f>IF(ISNUMBER(F54),$D$3-F54,"")</f>
        <v>-59.0</v>
      </c>
      <c r="R54" s="138">
        <f>IF(AND(OR(Dashboard!$P$1="All",A54=Dashboard!$P$1),OR(Dashboard!$P$2="All",J54=Dashboard!$P$2)),1,0)</f>
        <v>1</v>
      </c>
      <c r="S54" s="138">
        <f>I54*R54</f>
        <v>15679183</v>
      </c>
      <c r="T54" s="138">
        <f>IF(AND(ISNUMBER(Q54),Q54&gt;0),S54,0)</f>
        <v>0</v>
      </c>
      <c r="U54" s="138">
        <f>IF(OR(Dashboard!$P$3="All",AND(Dashboard!$P$3="Not due",Q54&lt;0),AND(Dashboard!$P$3="Due in 10 days",Q54&gt;=-10,Q54&lt;=0),AND(Dashboard!$P$3="Due in 30 days",Q54&gt;=-30,Q54&lt;=0),AND(Dashboard!$P$3="Overdue 1–60 days",Q54&gt;0,Q54&lt;=60),AND(Dashboard!$P$3="Over 60 days",Q54&gt;60),AND(Dashboard!$P$3="All overdue",Q54&gt;0)),1,0)</f>
        <v>1</v>
      </c>
      <c r="V54" s="138">
        <f>S54*U54</f>
        <v>15679183</v>
      </c>
      <c r="W54" s="138">
        <f>IF(Q54&gt;0,T54*Q54,0)</f>
        <v>0</v>
      </c>
      <c r="X54" s="138">
        <f>IF(V54&gt;0,COUNTIF($V$6:V54,"&gt;0"),"")</f>
        <v>49</v>
      </c>
      <c r="Y54" s="138" t="str">
        <f>C54&amp;"|"&amp;D54</f>
        <v>AR-00043|70000043</v>
      </c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</row>
    <row r="55" spans="1:41">
      <c r="A55" s="138" t="inlineStr">
        <is>
          <t>Client Alpha (Steel EPC)</t>
        </is>
      </c>
      <c r="B55" s="138" t="inlineStr">
        <is>
          <t>CLIENT ALPHA STEEL STRUCTURE CORPORATION</t>
        </is>
      </c>
      <c r="C55" s="138" t="inlineStr">
        <is>
          <t>AR-00044</t>
        </is>
      </c>
      <c r="D55" s="138" t="inlineStr">
        <is>
          <t>70000044</t>
        </is>
      </c>
      <c r="E55" s="141">
        <v>46268.0</v>
      </c>
      <c r="F55" s="141">
        <v>46343.0</v>
      </c>
      <c r="G55" s="142">
        <v>104527883</v>
      </c>
      <c r="H55" s="142">
        <v>0</v>
      </c>
      <c r="I55" s="142">
        <v>104527883</v>
      </c>
      <c r="J55" s="138" t="inlineStr">
        <is>
          <t>Senior Sales Rep 1</t>
        </is>
      </c>
      <c r="K55" s="138" t="inlineStr">
        <is>
          <t>Trading</t>
        </is>
      </c>
      <c r="L55" s="138" t="inlineStr">
        <is>
          <t>Project 014</t>
        </is>
      </c>
      <c r="M55" s="138" t="inlineStr">
        <is>
          <t>Collection note 009</t>
        </is>
      </c>
      <c r="N55" s="143"/>
      <c r="O55" s="143"/>
      <c r="P55" s="144"/>
      <c r="Q55" s="138">
        <f>IF(ISNUMBER(F55),$D$3-F55,"")</f>
        <v>-59.0</v>
      </c>
      <c r="R55" s="138">
        <f>IF(AND(OR(Dashboard!$P$1="All",A55=Dashboard!$P$1),OR(Dashboard!$P$2="All",J55=Dashboard!$P$2)),1,0)</f>
        <v>1</v>
      </c>
      <c r="S55" s="138">
        <f>I55*R55</f>
        <v>104527883</v>
      </c>
      <c r="T55" s="138">
        <f>IF(AND(ISNUMBER(Q55),Q55&gt;0),S55,0)</f>
        <v>0</v>
      </c>
      <c r="U55" s="138">
        <f>IF(OR(Dashboard!$P$3="All",AND(Dashboard!$P$3="Not due",Q55&lt;0),AND(Dashboard!$P$3="Due in 10 days",Q55&gt;=-10,Q55&lt;=0),AND(Dashboard!$P$3="Due in 30 days",Q55&gt;=-30,Q55&lt;=0),AND(Dashboard!$P$3="Overdue 1–60 days",Q55&gt;0,Q55&lt;=60),AND(Dashboard!$P$3="Over 60 days",Q55&gt;60),AND(Dashboard!$P$3="All overdue",Q55&gt;0)),1,0)</f>
        <v>1</v>
      </c>
      <c r="V55" s="138">
        <f>S55*U55</f>
        <v>104527883</v>
      </c>
      <c r="W55" s="138">
        <f>IF(Q55&gt;0,T55*Q55,0)</f>
        <v>0</v>
      </c>
      <c r="X55" s="138">
        <f>IF(V55&gt;0,COUNTIF($V$6:V55,"&gt;0"),"")</f>
        <v>50</v>
      </c>
      <c r="Y55" s="138" t="str">
        <f>C55&amp;"|"&amp;D55</f>
        <v>AR-00044|70000044</v>
      </c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</row>
    <row r="56" spans="1:41">
      <c r="A56" s="138" t="inlineStr">
        <is>
          <t>Client Alpha (Steel EPC)</t>
        </is>
      </c>
      <c r="B56" s="138" t="inlineStr">
        <is>
          <t>CLIENT ALPHA STEEL STRUCTURE CORPORATION</t>
        </is>
      </c>
      <c r="C56" s="138" t="inlineStr">
        <is>
          <t>AR-00045</t>
        </is>
      </c>
      <c r="D56" s="138" t="inlineStr">
        <is>
          <t>70000045</t>
        </is>
      </c>
      <c r="E56" s="141">
        <v>46268.0</v>
      </c>
      <c r="F56" s="141">
        <v>46343.0</v>
      </c>
      <c r="G56" s="142">
        <v>314650703</v>
      </c>
      <c r="H56" s="142">
        <v>0</v>
      </c>
      <c r="I56" s="142">
        <v>314650703</v>
      </c>
      <c r="J56" s="138" t="inlineStr">
        <is>
          <t>Senior Sales Rep 1</t>
        </is>
      </c>
      <c r="K56" s="138" t="inlineStr">
        <is>
          <t>Trading</t>
        </is>
      </c>
      <c r="L56" s="138" t="inlineStr">
        <is>
          <t>Project 014</t>
        </is>
      </c>
      <c r="M56" s="138" t="inlineStr">
        <is>
          <t>Collection note 009</t>
        </is>
      </c>
      <c r="N56" s="143"/>
      <c r="O56" s="143"/>
      <c r="P56" s="144"/>
      <c r="Q56" s="138">
        <f>IF(ISNUMBER(F56),$D$3-F56,"")</f>
        <v>-59.0</v>
      </c>
      <c r="R56" s="138">
        <f>IF(AND(OR(Dashboard!$P$1="All",A56=Dashboard!$P$1),OR(Dashboard!$P$2="All",J56=Dashboard!$P$2)),1,0)</f>
        <v>1</v>
      </c>
      <c r="S56" s="138">
        <f>I56*R56</f>
        <v>314650703</v>
      </c>
      <c r="T56" s="138">
        <f>IF(AND(ISNUMBER(Q56),Q56&gt;0),S56,0)</f>
        <v>0</v>
      </c>
      <c r="U56" s="138">
        <f>IF(OR(Dashboard!$P$3="All",AND(Dashboard!$P$3="Not due",Q56&lt;0),AND(Dashboard!$P$3="Due in 10 days",Q56&gt;=-10,Q56&lt;=0),AND(Dashboard!$P$3="Due in 30 days",Q56&gt;=-30,Q56&lt;=0),AND(Dashboard!$P$3="Overdue 1–60 days",Q56&gt;0,Q56&lt;=60),AND(Dashboard!$P$3="Over 60 days",Q56&gt;60),AND(Dashboard!$P$3="All overdue",Q56&gt;0)),1,0)</f>
        <v>1</v>
      </c>
      <c r="V56" s="138">
        <f>S56*U56</f>
        <v>314650703</v>
      </c>
      <c r="W56" s="138">
        <f>IF(Q56&gt;0,T56*Q56,0)</f>
        <v>0</v>
      </c>
      <c r="X56" s="138">
        <f>IF(V56&gt;0,COUNTIF($V$6:V56,"&gt;0"),"")</f>
        <v>51</v>
      </c>
      <c r="Y56" s="138" t="str">
        <f>C56&amp;"|"&amp;D56</f>
        <v>AR-00045|70000045</v>
      </c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</row>
    <row r="57" spans="1:41">
      <c r="A57" s="138" t="inlineStr">
        <is>
          <t>Client Alpha (Steel EPC)</t>
        </is>
      </c>
      <c r="B57" s="138" t="inlineStr">
        <is>
          <t>CLIENT ALPHA STEEL STRUCTURE CORPORATION</t>
        </is>
      </c>
      <c r="C57" s="138" t="inlineStr">
        <is>
          <t>AR-00046</t>
        </is>
      </c>
      <c r="D57" s="138" t="inlineStr">
        <is>
          <t>70000046</t>
        </is>
      </c>
      <c r="E57" s="141">
        <v>46268.0</v>
      </c>
      <c r="F57" s="141">
        <v>46343.0</v>
      </c>
      <c r="G57" s="142">
        <v>289251640</v>
      </c>
      <c r="H57" s="142">
        <v>0</v>
      </c>
      <c r="I57" s="142">
        <v>289251640</v>
      </c>
      <c r="J57" s="138" t="inlineStr">
        <is>
          <t>Senior Sales Rep 1</t>
        </is>
      </c>
      <c r="K57" s="138" t="inlineStr">
        <is>
          <t>Trading</t>
        </is>
      </c>
      <c r="L57" s="138" t="inlineStr">
        <is>
          <t>Project 013</t>
        </is>
      </c>
      <c r="M57" s="138" t="inlineStr">
        <is>
          <t>Collection note 011</t>
        </is>
      </c>
      <c r="N57" s="143"/>
      <c r="O57" s="143"/>
      <c r="P57" s="144"/>
      <c r="Q57" s="138">
        <f>IF(ISNUMBER(F57),$D$3-F57,"")</f>
        <v>-59.0</v>
      </c>
      <c r="R57" s="138">
        <f>IF(AND(OR(Dashboard!$P$1="All",A57=Dashboard!$P$1),OR(Dashboard!$P$2="All",J57=Dashboard!$P$2)),1,0)</f>
        <v>1</v>
      </c>
      <c r="S57" s="138">
        <f>I57*R57</f>
        <v>289251640</v>
      </c>
      <c r="T57" s="138">
        <f>IF(AND(ISNUMBER(Q57),Q57&gt;0),S57,0)</f>
        <v>0</v>
      </c>
      <c r="U57" s="138">
        <f>IF(OR(Dashboard!$P$3="All",AND(Dashboard!$P$3="Not due",Q57&lt;0),AND(Dashboard!$P$3="Due in 10 days",Q57&gt;=-10,Q57&lt;=0),AND(Dashboard!$P$3="Due in 30 days",Q57&gt;=-30,Q57&lt;=0),AND(Dashboard!$P$3="Overdue 1–60 days",Q57&gt;0,Q57&lt;=60),AND(Dashboard!$P$3="Over 60 days",Q57&gt;60),AND(Dashboard!$P$3="All overdue",Q57&gt;0)),1,0)</f>
        <v>1</v>
      </c>
      <c r="V57" s="138">
        <f>S57*U57</f>
        <v>289251640</v>
      </c>
      <c r="W57" s="138">
        <f>IF(Q57&gt;0,T57*Q57,0)</f>
        <v>0</v>
      </c>
      <c r="X57" s="138">
        <f>IF(V57&gt;0,COUNTIF($V$6:V57,"&gt;0"),"")</f>
        <v>52</v>
      </c>
      <c r="Y57" s="138" t="str">
        <f>C57&amp;"|"&amp;D57</f>
        <v>AR-00046|70000046</v>
      </c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</row>
    <row r="58" spans="1:41">
      <c r="A58" s="138" t="inlineStr">
        <is>
          <t>Client Alpha (Steel EPC)</t>
        </is>
      </c>
      <c r="B58" s="138" t="inlineStr">
        <is>
          <t>CLIENT ALPHA STEEL STRUCTURE CORPORATION</t>
        </is>
      </c>
      <c r="C58" s="138" t="inlineStr">
        <is>
          <t>AR-00047</t>
        </is>
      </c>
      <c r="D58" s="138" t="inlineStr">
        <is>
          <t>70000047</t>
        </is>
      </c>
      <c r="E58" s="141">
        <v>46268.0</v>
      </c>
      <c r="F58" s="141">
        <v>46343.0</v>
      </c>
      <c r="G58" s="142">
        <v>127466823</v>
      </c>
      <c r="H58" s="142">
        <v>0</v>
      </c>
      <c r="I58" s="142">
        <v>127466823</v>
      </c>
      <c r="J58" s="138" t="inlineStr">
        <is>
          <t>Senior Sales Rep 1</t>
        </is>
      </c>
      <c r="K58" s="138" t="inlineStr">
        <is>
          <t>Trading</t>
        </is>
      </c>
      <c r="L58" s="138" t="inlineStr">
        <is>
          <t>Project 013</t>
        </is>
      </c>
      <c r="M58" s="138" t="inlineStr">
        <is>
          <t>Collection note 011</t>
        </is>
      </c>
      <c r="N58" s="143"/>
      <c r="O58" s="143"/>
      <c r="P58" s="144"/>
      <c r="Q58" s="138">
        <f>IF(ISNUMBER(F58),$D$3-F58,"")</f>
        <v>-59.0</v>
      </c>
      <c r="R58" s="138">
        <f>IF(AND(OR(Dashboard!$P$1="All",A58=Dashboard!$P$1),OR(Dashboard!$P$2="All",J58=Dashboard!$P$2)),1,0)</f>
        <v>1</v>
      </c>
      <c r="S58" s="138">
        <f>I58*R58</f>
        <v>127466823</v>
      </c>
      <c r="T58" s="138">
        <f>IF(AND(ISNUMBER(Q58),Q58&gt;0),S58,0)</f>
        <v>0</v>
      </c>
      <c r="U58" s="138">
        <f>IF(OR(Dashboard!$P$3="All",AND(Dashboard!$P$3="Not due",Q58&lt;0),AND(Dashboard!$P$3="Due in 10 days",Q58&gt;=-10,Q58&lt;=0),AND(Dashboard!$P$3="Due in 30 days",Q58&gt;=-30,Q58&lt;=0),AND(Dashboard!$P$3="Overdue 1–60 days",Q58&gt;0,Q58&lt;=60),AND(Dashboard!$P$3="Over 60 days",Q58&gt;60),AND(Dashboard!$P$3="All overdue",Q58&gt;0)),1,0)</f>
        <v>1</v>
      </c>
      <c r="V58" s="138">
        <f>S58*U58</f>
        <v>127466823</v>
      </c>
      <c r="W58" s="138">
        <f>IF(Q58&gt;0,T58*Q58,0)</f>
        <v>0</v>
      </c>
      <c r="X58" s="138">
        <f>IF(V58&gt;0,COUNTIF($V$6:V58,"&gt;0"),"")</f>
        <v>53</v>
      </c>
      <c r="Y58" s="138" t="str">
        <f>C58&amp;"|"&amp;D58</f>
        <v>AR-00047|70000047</v>
      </c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</row>
    <row r="59" spans="1:41">
      <c r="A59" s="138" t="inlineStr">
        <is>
          <t>Client Alpha (Steel EPC)</t>
        </is>
      </c>
      <c r="B59" s="138" t="inlineStr">
        <is>
          <t>CLIENT ALPHA STEEL STRUCTURE CORPORATION</t>
        </is>
      </c>
      <c r="C59" s="138" t="inlineStr">
        <is>
          <t>AR-00048</t>
        </is>
      </c>
      <c r="D59" s="138" t="inlineStr">
        <is>
          <t>70000048</t>
        </is>
      </c>
      <c r="E59" s="141">
        <v>46268.0</v>
      </c>
      <c r="F59" s="141">
        <v>46343.0</v>
      </c>
      <c r="G59" s="142">
        <v>93930404</v>
      </c>
      <c r="H59" s="142">
        <v>0</v>
      </c>
      <c r="I59" s="142">
        <v>93930404</v>
      </c>
      <c r="J59" s="138" t="inlineStr">
        <is>
          <t>Senior Sales Rep 1</t>
        </is>
      </c>
      <c r="K59" s="138" t="inlineStr">
        <is>
          <t>Trading</t>
        </is>
      </c>
      <c r="L59" s="138" t="inlineStr">
        <is>
          <t>Project 013</t>
        </is>
      </c>
      <c r="M59" s="138" t="inlineStr">
        <is>
          <t>Collection note 011</t>
        </is>
      </c>
      <c r="N59" s="143"/>
      <c r="O59" s="143"/>
      <c r="P59" s="144"/>
      <c r="Q59" s="138">
        <f>IF(ISNUMBER(F59),$D$3-F59,"")</f>
        <v>-59.0</v>
      </c>
      <c r="R59" s="138">
        <f>IF(AND(OR(Dashboard!$P$1="All",A59=Dashboard!$P$1),OR(Dashboard!$P$2="All",J59=Dashboard!$P$2)),1,0)</f>
        <v>1</v>
      </c>
      <c r="S59" s="138">
        <f>I59*R59</f>
        <v>93930404</v>
      </c>
      <c r="T59" s="138">
        <f>IF(AND(ISNUMBER(Q59),Q59&gt;0),S59,0)</f>
        <v>0</v>
      </c>
      <c r="U59" s="138">
        <f>IF(OR(Dashboard!$P$3="All",AND(Dashboard!$P$3="Not due",Q59&lt;0),AND(Dashboard!$P$3="Due in 10 days",Q59&gt;=-10,Q59&lt;=0),AND(Dashboard!$P$3="Due in 30 days",Q59&gt;=-30,Q59&lt;=0),AND(Dashboard!$P$3="Overdue 1–60 days",Q59&gt;0,Q59&lt;=60),AND(Dashboard!$P$3="Over 60 days",Q59&gt;60),AND(Dashboard!$P$3="All overdue",Q59&gt;0)),1,0)</f>
        <v>1</v>
      </c>
      <c r="V59" s="138">
        <f>S59*U59</f>
        <v>93930404</v>
      </c>
      <c r="W59" s="138">
        <f>IF(Q59&gt;0,T59*Q59,0)</f>
        <v>0</v>
      </c>
      <c r="X59" s="138">
        <f>IF(V59&gt;0,COUNTIF($V$6:V59,"&gt;0"),"")</f>
        <v>54</v>
      </c>
      <c r="Y59" s="138" t="str">
        <f>C59&amp;"|"&amp;D59</f>
        <v>AR-00048|70000048</v>
      </c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</row>
    <row r="60" spans="1:41">
      <c r="A60" s="138" t="inlineStr">
        <is>
          <t>Client Alpha (Steel EPC)</t>
        </is>
      </c>
      <c r="B60" s="138" t="inlineStr">
        <is>
          <t>CLIENT ALPHA STEEL STRUCTURE CORPORATION</t>
        </is>
      </c>
      <c r="C60" s="138" t="inlineStr">
        <is>
          <t>AR-00049</t>
        </is>
      </c>
      <c r="D60" s="138" t="inlineStr">
        <is>
          <t>70000049</t>
        </is>
      </c>
      <c r="E60" s="141">
        <v>46268.0</v>
      </c>
      <c r="F60" s="141">
        <v>46343.0</v>
      </c>
      <c r="G60" s="142">
        <v>37810825</v>
      </c>
      <c r="H60" s="142">
        <v>0</v>
      </c>
      <c r="I60" s="142">
        <v>37810825</v>
      </c>
      <c r="J60" s="138" t="inlineStr">
        <is>
          <t>Senior Sales Rep 1</t>
        </is>
      </c>
      <c r="K60" s="138" t="inlineStr">
        <is>
          <t>Trading</t>
        </is>
      </c>
      <c r="L60" s="138" t="inlineStr">
        <is>
          <t>Project 014</t>
        </is>
      </c>
      <c r="M60" s="138" t="inlineStr">
        <is>
          <t>Collection note 009</t>
        </is>
      </c>
      <c r="N60" s="143"/>
      <c r="O60" s="143"/>
      <c r="P60" s="144"/>
      <c r="Q60" s="138">
        <f>IF(ISNUMBER(F60),$D$3-F60,"")</f>
        <v>-59.0</v>
      </c>
      <c r="R60" s="138">
        <f>IF(AND(OR(Dashboard!$P$1="All",A60=Dashboard!$P$1),OR(Dashboard!$P$2="All",J60=Dashboard!$P$2)),1,0)</f>
        <v>1</v>
      </c>
      <c r="S60" s="138">
        <f>I60*R60</f>
        <v>37810825</v>
      </c>
      <c r="T60" s="138">
        <f>IF(AND(ISNUMBER(Q60),Q60&gt;0),S60,0)</f>
        <v>0</v>
      </c>
      <c r="U60" s="138">
        <f>IF(OR(Dashboard!$P$3="All",AND(Dashboard!$P$3="Not due",Q60&lt;0),AND(Dashboard!$P$3="Due in 10 days",Q60&gt;=-10,Q60&lt;=0),AND(Dashboard!$P$3="Due in 30 days",Q60&gt;=-30,Q60&lt;=0),AND(Dashboard!$P$3="Overdue 1–60 days",Q60&gt;0,Q60&lt;=60),AND(Dashboard!$P$3="Over 60 days",Q60&gt;60),AND(Dashboard!$P$3="All overdue",Q60&gt;0)),1,0)</f>
        <v>1</v>
      </c>
      <c r="V60" s="138">
        <f>S60*U60</f>
        <v>37810825</v>
      </c>
      <c r="W60" s="138">
        <f>IF(Q60&gt;0,T60*Q60,0)</f>
        <v>0</v>
      </c>
      <c r="X60" s="138">
        <f>IF(V60&gt;0,COUNTIF($V$6:V60,"&gt;0"),"")</f>
        <v>55</v>
      </c>
      <c r="Y60" s="138" t="str">
        <f>C60&amp;"|"&amp;D60</f>
        <v>AR-00049|70000049</v>
      </c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</row>
    <row r="61" spans="1:41">
      <c r="A61" s="138" t="inlineStr">
        <is>
          <t>Client Alpha (Steel EPC)</t>
        </is>
      </c>
      <c r="B61" s="138" t="inlineStr">
        <is>
          <t>CLIENT ALPHA STEEL STRUCTURE CORPORATION</t>
        </is>
      </c>
      <c r="C61" s="138" t="inlineStr">
        <is>
          <t>AR-00050</t>
        </is>
      </c>
      <c r="D61" s="138" t="inlineStr">
        <is>
          <t>70000050</t>
        </is>
      </c>
      <c r="E61" s="141">
        <v>46268.0</v>
      </c>
      <c r="F61" s="141">
        <v>46343.0</v>
      </c>
      <c r="G61" s="142">
        <v>26332879</v>
      </c>
      <c r="H61" s="142">
        <v>0</v>
      </c>
      <c r="I61" s="142">
        <v>26332879</v>
      </c>
      <c r="J61" s="138" t="inlineStr">
        <is>
          <t>Senior Sales Rep 1</t>
        </is>
      </c>
      <c r="K61" s="138" t="inlineStr">
        <is>
          <t>Trading</t>
        </is>
      </c>
      <c r="L61" s="138" t="inlineStr">
        <is>
          <t>Project 014</t>
        </is>
      </c>
      <c r="M61" s="138" t="inlineStr">
        <is>
          <t>Collection note 009</t>
        </is>
      </c>
      <c r="N61" s="143"/>
      <c r="O61" s="143"/>
      <c r="P61" s="144"/>
      <c r="Q61" s="138">
        <f>IF(ISNUMBER(F61),$D$3-F61,"")</f>
        <v>-59.0</v>
      </c>
      <c r="R61" s="138">
        <f>IF(AND(OR(Dashboard!$P$1="All",A61=Dashboard!$P$1),OR(Dashboard!$P$2="All",J61=Dashboard!$P$2)),1,0)</f>
        <v>1</v>
      </c>
      <c r="S61" s="138">
        <f>I61*R61</f>
        <v>26332879</v>
      </c>
      <c r="T61" s="138">
        <f>IF(AND(ISNUMBER(Q61),Q61&gt;0),S61,0)</f>
        <v>0</v>
      </c>
      <c r="U61" s="138">
        <f>IF(OR(Dashboard!$P$3="All",AND(Dashboard!$P$3="Not due",Q61&lt;0),AND(Dashboard!$P$3="Due in 10 days",Q61&gt;=-10,Q61&lt;=0),AND(Dashboard!$P$3="Due in 30 days",Q61&gt;=-30,Q61&lt;=0),AND(Dashboard!$P$3="Overdue 1–60 days",Q61&gt;0,Q61&lt;=60),AND(Dashboard!$P$3="Over 60 days",Q61&gt;60),AND(Dashboard!$P$3="All overdue",Q61&gt;0)),1,0)</f>
        <v>1</v>
      </c>
      <c r="V61" s="138">
        <f>S61*U61</f>
        <v>26332879</v>
      </c>
      <c r="W61" s="138">
        <f>IF(Q61&gt;0,T61*Q61,0)</f>
        <v>0</v>
      </c>
      <c r="X61" s="138">
        <f>IF(V61&gt;0,COUNTIF($V$6:V61,"&gt;0"),"")</f>
        <v>56</v>
      </c>
      <c r="Y61" s="138" t="str">
        <f>C61&amp;"|"&amp;D61</f>
        <v>AR-00050|70000050</v>
      </c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</row>
    <row r="62" spans="1:41">
      <c r="A62" s="138" t="inlineStr">
        <is>
          <t>Client Alpha (Steel EPC)</t>
        </is>
      </c>
      <c r="B62" s="138" t="inlineStr">
        <is>
          <t>CLIENT ALPHA STEEL STRUCTURE CORPORATION</t>
        </is>
      </c>
      <c r="C62" s="138" t="inlineStr">
        <is>
          <t>AR-00051</t>
        </is>
      </c>
      <c r="D62" s="138" t="inlineStr">
        <is>
          <t>70000051</t>
        </is>
      </c>
      <c r="E62" s="141">
        <v>46268.0</v>
      </c>
      <c r="F62" s="141">
        <v>46343.0</v>
      </c>
      <c r="G62" s="142">
        <v>433379694</v>
      </c>
      <c r="H62" s="142">
        <v>0</v>
      </c>
      <c r="I62" s="142">
        <v>433379694</v>
      </c>
      <c r="J62" s="138" t="inlineStr">
        <is>
          <t>Senior Sales Rep 1</t>
        </is>
      </c>
      <c r="K62" s="138" t="inlineStr">
        <is>
          <t>Trading</t>
        </is>
      </c>
      <c r="L62" s="138" t="inlineStr">
        <is>
          <t>Project 013</t>
        </is>
      </c>
      <c r="M62" s="138" t="inlineStr">
        <is>
          <t>Collection note 011</t>
        </is>
      </c>
      <c r="N62" s="143"/>
      <c r="O62" s="143"/>
      <c r="P62" s="144"/>
      <c r="Q62" s="138">
        <f>IF(ISNUMBER(F62),$D$3-F62,"")</f>
        <v>-59.0</v>
      </c>
      <c r="R62" s="138">
        <f>IF(AND(OR(Dashboard!$P$1="All",A62=Dashboard!$P$1),OR(Dashboard!$P$2="All",J62=Dashboard!$P$2)),1,0)</f>
        <v>1</v>
      </c>
      <c r="S62" s="138">
        <f>I62*R62</f>
        <v>433379694</v>
      </c>
      <c r="T62" s="138">
        <f>IF(AND(ISNUMBER(Q62),Q62&gt;0),S62,0)</f>
        <v>0</v>
      </c>
      <c r="U62" s="138">
        <f>IF(OR(Dashboard!$P$3="All",AND(Dashboard!$P$3="Not due",Q62&lt;0),AND(Dashboard!$P$3="Due in 10 days",Q62&gt;=-10,Q62&lt;=0),AND(Dashboard!$P$3="Due in 30 days",Q62&gt;=-30,Q62&lt;=0),AND(Dashboard!$P$3="Overdue 1–60 days",Q62&gt;0,Q62&lt;=60),AND(Dashboard!$P$3="Over 60 days",Q62&gt;60),AND(Dashboard!$P$3="All overdue",Q62&gt;0)),1,0)</f>
        <v>1</v>
      </c>
      <c r="V62" s="138">
        <f>S62*U62</f>
        <v>433379694</v>
      </c>
      <c r="W62" s="138">
        <f>IF(Q62&gt;0,T62*Q62,0)</f>
        <v>0</v>
      </c>
      <c r="X62" s="138">
        <f>IF(V62&gt;0,COUNTIF($V$6:V62,"&gt;0"),"")</f>
        <v>57</v>
      </c>
      <c r="Y62" s="138" t="str">
        <f>C62&amp;"|"&amp;D62</f>
        <v>AR-00051|70000051</v>
      </c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</row>
    <row r="63" spans="1:41">
      <c r="A63" s="138" t="inlineStr">
        <is>
          <t>Client Alpha (Steel EPC)</t>
        </is>
      </c>
      <c r="B63" s="138" t="inlineStr">
        <is>
          <t>CLIENT ALPHA STEEL STRUCTURE CORPORATION</t>
        </is>
      </c>
      <c r="C63" s="138" t="inlineStr">
        <is>
          <t>AR-00052</t>
        </is>
      </c>
      <c r="D63" s="138" t="inlineStr">
        <is>
          <t>70000052</t>
        </is>
      </c>
      <c r="E63" s="141">
        <v>46268.0</v>
      </c>
      <c r="F63" s="141">
        <v>46343.0</v>
      </c>
      <c r="G63" s="142">
        <v>111472108</v>
      </c>
      <c r="H63" s="142">
        <v>0</v>
      </c>
      <c r="I63" s="142">
        <v>111472108</v>
      </c>
      <c r="J63" s="138" t="inlineStr">
        <is>
          <t>Senior Sales Rep 1</t>
        </is>
      </c>
      <c r="K63" s="138" t="inlineStr">
        <is>
          <t>Trading</t>
        </is>
      </c>
      <c r="L63" s="138" t="inlineStr">
        <is>
          <t>Project 013</t>
        </is>
      </c>
      <c r="M63" s="138" t="inlineStr">
        <is>
          <t>Collection note 011</t>
        </is>
      </c>
      <c r="N63" s="143"/>
      <c r="O63" s="143"/>
      <c r="P63" s="144"/>
      <c r="Q63" s="138">
        <f>IF(ISNUMBER(F63),$D$3-F63,"")</f>
        <v>-59.0</v>
      </c>
      <c r="R63" s="138">
        <f>IF(AND(OR(Dashboard!$P$1="All",A63=Dashboard!$P$1),OR(Dashboard!$P$2="All",J63=Dashboard!$P$2)),1,0)</f>
        <v>1</v>
      </c>
      <c r="S63" s="138">
        <f>I63*R63</f>
        <v>111472108</v>
      </c>
      <c r="T63" s="138">
        <f>IF(AND(ISNUMBER(Q63),Q63&gt;0),S63,0)</f>
        <v>0</v>
      </c>
      <c r="U63" s="138">
        <f>IF(OR(Dashboard!$P$3="All",AND(Dashboard!$P$3="Not due",Q63&lt;0),AND(Dashboard!$P$3="Due in 10 days",Q63&gt;=-10,Q63&lt;=0),AND(Dashboard!$P$3="Due in 30 days",Q63&gt;=-30,Q63&lt;=0),AND(Dashboard!$P$3="Overdue 1–60 days",Q63&gt;0,Q63&lt;=60),AND(Dashboard!$P$3="Over 60 days",Q63&gt;60),AND(Dashboard!$P$3="All overdue",Q63&gt;0)),1,0)</f>
        <v>1</v>
      </c>
      <c r="V63" s="138">
        <f>S63*U63</f>
        <v>111472108</v>
      </c>
      <c r="W63" s="138">
        <f>IF(Q63&gt;0,T63*Q63,0)</f>
        <v>0</v>
      </c>
      <c r="X63" s="138">
        <f>IF(V63&gt;0,COUNTIF($V$6:V63,"&gt;0"),"")</f>
        <v>58</v>
      </c>
      <c r="Y63" s="138" t="str">
        <f>C63&amp;"|"&amp;D63</f>
        <v>AR-00052|70000052</v>
      </c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</row>
    <row r="64" spans="1:41">
      <c r="A64" s="138" t="inlineStr">
        <is>
          <t>Client Alpha (Steel EPC)</t>
        </is>
      </c>
      <c r="B64" s="138" t="inlineStr">
        <is>
          <t>CLIENT ALPHA STEEL STRUCTURE CORPORATION</t>
        </is>
      </c>
      <c r="C64" s="138" t="inlineStr">
        <is>
          <t>AR-00053</t>
        </is>
      </c>
      <c r="D64" s="138" t="inlineStr">
        <is>
          <t>70000053</t>
        </is>
      </c>
      <c r="E64" s="141">
        <v>46268.0</v>
      </c>
      <c r="F64" s="141">
        <v>46343.0</v>
      </c>
      <c r="G64" s="142">
        <v>205942908</v>
      </c>
      <c r="H64" s="142">
        <v>0</v>
      </c>
      <c r="I64" s="142">
        <v>205942908</v>
      </c>
      <c r="J64" s="138" t="inlineStr">
        <is>
          <t>Senior Sales Rep 1</t>
        </is>
      </c>
      <c r="K64" s="138" t="inlineStr">
        <is>
          <t>Trading</t>
        </is>
      </c>
      <c r="L64" s="138" t="inlineStr">
        <is>
          <t>Project 013</t>
        </is>
      </c>
      <c r="M64" s="138" t="inlineStr">
        <is>
          <t>Collection note 011</t>
        </is>
      </c>
      <c r="N64" s="143"/>
      <c r="O64" s="143"/>
      <c r="P64" s="144"/>
      <c r="Q64" s="138">
        <f>IF(ISNUMBER(F64),$D$3-F64,"")</f>
        <v>-59.0</v>
      </c>
      <c r="R64" s="138">
        <f>IF(AND(OR(Dashboard!$P$1="All",A64=Dashboard!$P$1),OR(Dashboard!$P$2="All",J64=Dashboard!$P$2)),1,0)</f>
        <v>1</v>
      </c>
      <c r="S64" s="138">
        <f>I64*R64</f>
        <v>205942908</v>
      </c>
      <c r="T64" s="138">
        <f>IF(AND(ISNUMBER(Q64),Q64&gt;0),S64,0)</f>
        <v>0</v>
      </c>
      <c r="U64" s="138">
        <f>IF(OR(Dashboard!$P$3="All",AND(Dashboard!$P$3="Not due",Q64&lt;0),AND(Dashboard!$P$3="Due in 10 days",Q64&gt;=-10,Q64&lt;=0),AND(Dashboard!$P$3="Due in 30 days",Q64&gt;=-30,Q64&lt;=0),AND(Dashboard!$P$3="Overdue 1–60 days",Q64&gt;0,Q64&lt;=60),AND(Dashboard!$P$3="Over 60 days",Q64&gt;60),AND(Dashboard!$P$3="All overdue",Q64&gt;0)),1,0)</f>
        <v>1</v>
      </c>
      <c r="V64" s="138">
        <f>S64*U64</f>
        <v>205942908</v>
      </c>
      <c r="W64" s="138">
        <f>IF(Q64&gt;0,T64*Q64,0)</f>
        <v>0</v>
      </c>
      <c r="X64" s="138">
        <f>IF(V64&gt;0,COUNTIF($V$6:V64,"&gt;0"),"")</f>
        <v>59</v>
      </c>
      <c r="Y64" s="138" t="str">
        <f>C64&amp;"|"&amp;D64</f>
        <v>AR-00053|70000053</v>
      </c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</row>
    <row r="65" spans="1:41">
      <c r="A65" s="138" t="inlineStr">
        <is>
          <t>Client Alpha (Steel EPC)</t>
        </is>
      </c>
      <c r="B65" s="138" t="inlineStr">
        <is>
          <t>CLIENT ALPHA STEEL STRUCTURE CORPORATION</t>
        </is>
      </c>
      <c r="C65" s="138" t="inlineStr">
        <is>
          <t>AR-00054</t>
        </is>
      </c>
      <c r="D65" s="138" t="inlineStr">
        <is>
          <t>70000054</t>
        </is>
      </c>
      <c r="E65" s="141">
        <v>46268.0</v>
      </c>
      <c r="F65" s="141">
        <v>46343.0</v>
      </c>
      <c r="G65" s="142">
        <v>578892758</v>
      </c>
      <c r="H65" s="142">
        <v>0</v>
      </c>
      <c r="I65" s="142">
        <v>578892758</v>
      </c>
      <c r="J65" s="138" t="inlineStr">
        <is>
          <t>Senior Sales Rep 1</t>
        </is>
      </c>
      <c r="K65" s="138" t="inlineStr">
        <is>
          <t>Trading</t>
        </is>
      </c>
      <c r="L65" s="138" t="inlineStr">
        <is>
          <t>Project 013</t>
        </is>
      </c>
      <c r="M65" s="138" t="inlineStr">
        <is>
          <t>Collection note 011</t>
        </is>
      </c>
      <c r="N65" s="143"/>
      <c r="O65" s="143"/>
      <c r="P65" s="144"/>
      <c r="Q65" s="138">
        <f>IF(ISNUMBER(F65),$D$3-F65,"")</f>
        <v>-59.0</v>
      </c>
      <c r="R65" s="138">
        <f>IF(AND(OR(Dashboard!$P$1="All",A65=Dashboard!$P$1),OR(Dashboard!$P$2="All",J65=Dashboard!$P$2)),1,0)</f>
        <v>1</v>
      </c>
      <c r="S65" s="138">
        <f>I65*R65</f>
        <v>578892758</v>
      </c>
      <c r="T65" s="138">
        <f>IF(AND(ISNUMBER(Q65),Q65&gt;0),S65,0)</f>
        <v>0</v>
      </c>
      <c r="U65" s="138">
        <f>IF(OR(Dashboard!$P$3="All",AND(Dashboard!$P$3="Not due",Q65&lt;0),AND(Dashboard!$P$3="Due in 10 days",Q65&gt;=-10,Q65&lt;=0),AND(Dashboard!$P$3="Due in 30 days",Q65&gt;=-30,Q65&lt;=0),AND(Dashboard!$P$3="Overdue 1–60 days",Q65&gt;0,Q65&lt;=60),AND(Dashboard!$P$3="Over 60 days",Q65&gt;60),AND(Dashboard!$P$3="All overdue",Q65&gt;0)),1,0)</f>
        <v>1</v>
      </c>
      <c r="V65" s="138">
        <f>S65*U65</f>
        <v>578892758</v>
      </c>
      <c r="W65" s="138">
        <f>IF(Q65&gt;0,T65*Q65,0)</f>
        <v>0</v>
      </c>
      <c r="X65" s="138">
        <f>IF(V65&gt;0,COUNTIF($V$6:V65,"&gt;0"),"")</f>
        <v>60</v>
      </c>
      <c r="Y65" s="138" t="str">
        <f>C65&amp;"|"&amp;D65</f>
        <v>AR-00054|70000054</v>
      </c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</row>
    <row r="66" spans="1:41">
      <c r="A66" s="138" t="inlineStr">
        <is>
          <t>Client Alpha (Steel EPC)</t>
        </is>
      </c>
      <c r="B66" s="138" t="inlineStr">
        <is>
          <t>CLIENT ALPHA STEEL STRUCTURE CORPORATION</t>
        </is>
      </c>
      <c r="C66" s="138" t="inlineStr">
        <is>
          <t>AR-00055</t>
        </is>
      </c>
      <c r="D66" s="138" t="inlineStr">
        <is>
          <t>70000055</t>
        </is>
      </c>
      <c r="E66" s="141">
        <v>46268.0</v>
      </c>
      <c r="F66" s="141">
        <v>46343.0</v>
      </c>
      <c r="G66" s="142">
        <v>164642226</v>
      </c>
      <c r="H66" s="142">
        <v>0</v>
      </c>
      <c r="I66" s="142">
        <v>164642226</v>
      </c>
      <c r="J66" s="138" t="inlineStr">
        <is>
          <t>Senior Sales Rep 1</t>
        </is>
      </c>
      <c r="K66" s="138" t="inlineStr">
        <is>
          <t>Trading</t>
        </is>
      </c>
      <c r="L66" s="138" t="inlineStr">
        <is>
          <t>Project 013</t>
        </is>
      </c>
      <c r="M66" s="138" t="inlineStr">
        <is>
          <t>Collection note 011</t>
        </is>
      </c>
      <c r="N66" s="143"/>
      <c r="O66" s="143"/>
      <c r="P66" s="144"/>
      <c r="Q66" s="138">
        <f>IF(ISNUMBER(F66),$D$3-F66,"")</f>
        <v>-59.0</v>
      </c>
      <c r="R66" s="138">
        <f>IF(AND(OR(Dashboard!$P$1="All",A66=Dashboard!$P$1),OR(Dashboard!$P$2="All",J66=Dashboard!$P$2)),1,0)</f>
        <v>1</v>
      </c>
      <c r="S66" s="138">
        <f>I66*R66</f>
        <v>164642226</v>
      </c>
      <c r="T66" s="138">
        <f>IF(AND(ISNUMBER(Q66),Q66&gt;0),S66,0)</f>
        <v>0</v>
      </c>
      <c r="U66" s="138">
        <f>IF(OR(Dashboard!$P$3="All",AND(Dashboard!$P$3="Not due",Q66&lt;0),AND(Dashboard!$P$3="Due in 10 days",Q66&gt;=-10,Q66&lt;=0),AND(Dashboard!$P$3="Due in 30 days",Q66&gt;=-30,Q66&lt;=0),AND(Dashboard!$P$3="Overdue 1–60 days",Q66&gt;0,Q66&lt;=60),AND(Dashboard!$P$3="Over 60 days",Q66&gt;60),AND(Dashboard!$P$3="All overdue",Q66&gt;0)),1,0)</f>
        <v>1</v>
      </c>
      <c r="V66" s="138">
        <f>S66*U66</f>
        <v>164642226</v>
      </c>
      <c r="W66" s="138">
        <f>IF(Q66&gt;0,T66*Q66,0)</f>
        <v>0</v>
      </c>
      <c r="X66" s="138">
        <f>IF(V66&gt;0,COUNTIF($V$6:V66,"&gt;0"),"")</f>
        <v>61</v>
      </c>
      <c r="Y66" s="138" t="str">
        <f>C66&amp;"|"&amp;D66</f>
        <v>AR-00055|70000055</v>
      </c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</row>
    <row r="67" spans="1:41">
      <c r="A67" s="138" t="inlineStr">
        <is>
          <t>Client Alpha (Steel EPC)</t>
        </is>
      </c>
      <c r="B67" s="138" t="inlineStr">
        <is>
          <t>CLIENT ALPHA STEEL STRUCTURE CORPORATION</t>
        </is>
      </c>
      <c r="C67" s="138" t="inlineStr">
        <is>
          <t>AR-00056</t>
        </is>
      </c>
      <c r="D67" s="138" t="inlineStr">
        <is>
          <t>70000056</t>
        </is>
      </c>
      <c r="E67" s="141">
        <v>46268.0</v>
      </c>
      <c r="F67" s="141">
        <v>46343.0</v>
      </c>
      <c r="G67" s="142">
        <v>578182242</v>
      </c>
      <c r="H67" s="142">
        <v>0</v>
      </c>
      <c r="I67" s="142">
        <v>578182242</v>
      </c>
      <c r="J67" s="138" t="inlineStr">
        <is>
          <t>Senior Sales Rep 1</t>
        </is>
      </c>
      <c r="K67" s="138" t="inlineStr">
        <is>
          <t>Trading</t>
        </is>
      </c>
      <c r="L67" s="138" t="inlineStr">
        <is>
          <t>Project 013</t>
        </is>
      </c>
      <c r="M67" s="138" t="inlineStr">
        <is>
          <t>Collection note 011</t>
        </is>
      </c>
      <c r="N67" s="143"/>
      <c r="O67" s="143"/>
      <c r="P67" s="144"/>
      <c r="Q67" s="138">
        <f>IF(ISNUMBER(F67),$D$3-F67,"")</f>
        <v>-59.0</v>
      </c>
      <c r="R67" s="138">
        <f>IF(AND(OR(Dashboard!$P$1="All",A67=Dashboard!$P$1),OR(Dashboard!$P$2="All",J67=Dashboard!$P$2)),1,0)</f>
        <v>1</v>
      </c>
      <c r="S67" s="138">
        <f>I67*R67</f>
        <v>578182242</v>
      </c>
      <c r="T67" s="138">
        <f>IF(AND(ISNUMBER(Q67),Q67&gt;0),S67,0)</f>
        <v>0</v>
      </c>
      <c r="U67" s="138">
        <f>IF(OR(Dashboard!$P$3="All",AND(Dashboard!$P$3="Not due",Q67&lt;0),AND(Dashboard!$P$3="Due in 10 days",Q67&gt;=-10,Q67&lt;=0),AND(Dashboard!$P$3="Due in 30 days",Q67&gt;=-30,Q67&lt;=0),AND(Dashboard!$P$3="Overdue 1–60 days",Q67&gt;0,Q67&lt;=60),AND(Dashboard!$P$3="Over 60 days",Q67&gt;60),AND(Dashboard!$P$3="All overdue",Q67&gt;0)),1,0)</f>
        <v>1</v>
      </c>
      <c r="V67" s="138">
        <f>S67*U67</f>
        <v>578182242</v>
      </c>
      <c r="W67" s="138">
        <f>IF(Q67&gt;0,T67*Q67,0)</f>
        <v>0</v>
      </c>
      <c r="X67" s="138">
        <f>IF(V67&gt;0,COUNTIF($V$6:V67,"&gt;0"),"")</f>
        <v>62</v>
      </c>
      <c r="Y67" s="138" t="str">
        <f>C67&amp;"|"&amp;D67</f>
        <v>AR-00056|70000056</v>
      </c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  <c r="AK67" s="138"/>
      <c r="AL67" s="138"/>
      <c r="AM67" s="138"/>
      <c r="AN67" s="138"/>
      <c r="AO67" s="138"/>
    </row>
    <row r="68" spans="1:41">
      <c r="A68" s="138" t="inlineStr">
        <is>
          <t>Client Alpha (Steel EPC)</t>
        </is>
      </c>
      <c r="B68" s="138" t="inlineStr">
        <is>
          <t>CLIENT ALPHA STEEL STRUCTURE CORPORATION</t>
        </is>
      </c>
      <c r="C68" s="138" t="inlineStr">
        <is>
          <t>AR-00057</t>
        </is>
      </c>
      <c r="D68" s="138" t="inlineStr">
        <is>
          <t>70000057</t>
        </is>
      </c>
      <c r="E68" s="141">
        <v>46272.0</v>
      </c>
      <c r="F68" s="141">
        <v>46347.0</v>
      </c>
      <c r="G68" s="142">
        <v>53712740</v>
      </c>
      <c r="H68" s="142">
        <v>0</v>
      </c>
      <c r="I68" s="142">
        <v>53712740</v>
      </c>
      <c r="J68" s="138" t="inlineStr">
        <is>
          <t>Senior Sales Rep 1</t>
        </is>
      </c>
      <c r="K68" s="138" t="inlineStr">
        <is>
          <t>Trading</t>
        </is>
      </c>
      <c r="L68" s="138" t="inlineStr">
        <is>
          <t>Project 014</t>
        </is>
      </c>
      <c r="M68" s="138" t="inlineStr">
        <is>
          <t>Collection note 009</t>
        </is>
      </c>
      <c r="N68" s="143"/>
      <c r="O68" s="143"/>
      <c r="P68" s="144"/>
      <c r="Q68" s="138">
        <f>IF(ISNUMBER(F68),$D$3-F68,"")</f>
        <v>-63.0</v>
      </c>
      <c r="R68" s="138">
        <f>IF(AND(OR(Dashboard!$P$1="All",A68=Dashboard!$P$1),OR(Dashboard!$P$2="All",J68=Dashboard!$P$2)),1,0)</f>
        <v>1</v>
      </c>
      <c r="S68" s="138">
        <f>I68*R68</f>
        <v>53712740</v>
      </c>
      <c r="T68" s="138">
        <f>IF(AND(ISNUMBER(Q68),Q68&gt;0),S68,0)</f>
        <v>0</v>
      </c>
      <c r="U68" s="138">
        <f>IF(OR(Dashboard!$P$3="All",AND(Dashboard!$P$3="Not due",Q68&lt;0),AND(Dashboard!$P$3="Due in 10 days",Q68&gt;=-10,Q68&lt;=0),AND(Dashboard!$P$3="Due in 30 days",Q68&gt;=-30,Q68&lt;=0),AND(Dashboard!$P$3="Overdue 1–60 days",Q68&gt;0,Q68&lt;=60),AND(Dashboard!$P$3="Over 60 days",Q68&gt;60),AND(Dashboard!$P$3="All overdue",Q68&gt;0)),1,0)</f>
        <v>1</v>
      </c>
      <c r="V68" s="138">
        <f>S68*U68</f>
        <v>53712740</v>
      </c>
      <c r="W68" s="138">
        <f>IF(Q68&gt;0,T68*Q68,0)</f>
        <v>0</v>
      </c>
      <c r="X68" s="138">
        <f>IF(V68&gt;0,COUNTIF($V$6:V68,"&gt;0"),"")</f>
        <v>63</v>
      </c>
      <c r="Y68" s="138" t="str">
        <f>C68&amp;"|"&amp;D68</f>
        <v>AR-00057|70000057</v>
      </c>
      <c r="Z68" s="138"/>
      <c r="AA68" s="138"/>
      <c r="AB68" s="138"/>
      <c r="AC68" s="138"/>
      <c r="AD68" s="138"/>
      <c r="AE68" s="138"/>
      <c r="AF68" s="138"/>
      <c r="AG68" s="138"/>
      <c r="AH68" s="138"/>
      <c r="AI68" s="138"/>
      <c r="AJ68" s="138"/>
      <c r="AK68" s="138"/>
      <c r="AL68" s="138"/>
      <c r="AM68" s="138"/>
      <c r="AN68" s="138"/>
      <c r="AO68" s="138"/>
    </row>
    <row r="69" spans="1:41">
      <c r="A69" s="138" t="inlineStr">
        <is>
          <t>Client Alpha (Steel EPC)</t>
        </is>
      </c>
      <c r="B69" s="138" t="inlineStr">
        <is>
          <t>CLIENT ALPHA STEEL STRUCTURE CORPORATION</t>
        </is>
      </c>
      <c r="C69" s="138" t="inlineStr">
        <is>
          <t>AR-00058</t>
        </is>
      </c>
      <c r="D69" s="138" t="inlineStr">
        <is>
          <t>70000058</t>
        </is>
      </c>
      <c r="E69" s="141">
        <v>46272.0</v>
      </c>
      <c r="F69" s="141">
        <v>46347.0</v>
      </c>
      <c r="G69" s="142">
        <v>36584759</v>
      </c>
      <c r="H69" s="142">
        <v>0</v>
      </c>
      <c r="I69" s="142">
        <v>36584759</v>
      </c>
      <c r="J69" s="138" t="inlineStr">
        <is>
          <t>Senior Sales Rep 1</t>
        </is>
      </c>
      <c r="K69" s="138" t="inlineStr">
        <is>
          <t>Trading</t>
        </is>
      </c>
      <c r="L69" s="138" t="inlineStr">
        <is>
          <t>Project 014</t>
        </is>
      </c>
      <c r="M69" s="138" t="inlineStr">
        <is>
          <t>Collection note 009</t>
        </is>
      </c>
      <c r="N69" s="143"/>
      <c r="O69" s="143"/>
      <c r="P69" s="144"/>
      <c r="Q69" s="138">
        <f>IF(ISNUMBER(F69),$D$3-F69,"")</f>
        <v>-63.0</v>
      </c>
      <c r="R69" s="138">
        <f>IF(AND(OR(Dashboard!$P$1="All",A69=Dashboard!$P$1),OR(Dashboard!$P$2="All",J69=Dashboard!$P$2)),1,0)</f>
        <v>1</v>
      </c>
      <c r="S69" s="138">
        <f>I69*R69</f>
        <v>36584759</v>
      </c>
      <c r="T69" s="138">
        <f>IF(AND(ISNUMBER(Q69),Q69&gt;0),S69,0)</f>
        <v>0</v>
      </c>
      <c r="U69" s="138">
        <f>IF(OR(Dashboard!$P$3="All",AND(Dashboard!$P$3="Not due",Q69&lt;0),AND(Dashboard!$P$3="Due in 10 days",Q69&gt;=-10,Q69&lt;=0),AND(Dashboard!$P$3="Due in 30 days",Q69&gt;=-30,Q69&lt;=0),AND(Dashboard!$P$3="Overdue 1–60 days",Q69&gt;0,Q69&lt;=60),AND(Dashboard!$P$3="Over 60 days",Q69&gt;60),AND(Dashboard!$P$3="All overdue",Q69&gt;0)),1,0)</f>
        <v>1</v>
      </c>
      <c r="V69" s="138">
        <f>S69*U69</f>
        <v>36584759</v>
      </c>
      <c r="W69" s="138">
        <f>IF(Q69&gt;0,T69*Q69,0)</f>
        <v>0</v>
      </c>
      <c r="X69" s="138">
        <f>IF(V69&gt;0,COUNTIF($V$6:V69,"&gt;0"),"")</f>
        <v>64</v>
      </c>
      <c r="Y69" s="138" t="str">
        <f>C69&amp;"|"&amp;D69</f>
        <v>AR-00058|70000058</v>
      </c>
      <c r="Z69" s="138"/>
      <c r="AA69" s="138"/>
      <c r="AB69" s="138"/>
      <c r="AC69" s="138"/>
      <c r="AD69" s="138"/>
      <c r="AE69" s="138"/>
      <c r="AF69" s="138"/>
      <c r="AG69" s="138"/>
      <c r="AH69" s="138"/>
      <c r="AI69" s="138"/>
      <c r="AJ69" s="138"/>
      <c r="AK69" s="138"/>
      <c r="AL69" s="138"/>
      <c r="AM69" s="138"/>
      <c r="AN69" s="138"/>
      <c r="AO69" s="138"/>
    </row>
    <row r="70" spans="1:41">
      <c r="A70" s="138" t="inlineStr">
        <is>
          <t>Client Alpha (Steel EPC)</t>
        </is>
      </c>
      <c r="B70" s="138" t="inlineStr">
        <is>
          <t>CLIENT ALPHA STEEL STRUCTURE CORPORATION</t>
        </is>
      </c>
      <c r="C70" s="138" t="inlineStr">
        <is>
          <t>AR-00059</t>
        </is>
      </c>
      <c r="D70" s="138" t="inlineStr">
        <is>
          <t>70000059</t>
        </is>
      </c>
      <c r="E70" s="141">
        <v>46272.0</v>
      </c>
      <c r="F70" s="141">
        <v>46347.0</v>
      </c>
      <c r="G70" s="142">
        <v>36584759</v>
      </c>
      <c r="H70" s="142">
        <v>0</v>
      </c>
      <c r="I70" s="142">
        <v>36584759</v>
      </c>
      <c r="J70" s="138" t="inlineStr">
        <is>
          <t>Senior Sales Rep 1</t>
        </is>
      </c>
      <c r="K70" s="138" t="inlineStr">
        <is>
          <t>Trading</t>
        </is>
      </c>
      <c r="L70" s="138" t="inlineStr">
        <is>
          <t>Project 014</t>
        </is>
      </c>
      <c r="M70" s="138" t="inlineStr">
        <is>
          <t>Collection note 009</t>
        </is>
      </c>
      <c r="N70" s="143"/>
      <c r="O70" s="143"/>
      <c r="P70" s="144"/>
      <c r="Q70" s="138">
        <f>IF(ISNUMBER(F70),$D$3-F70,"")</f>
        <v>-63.0</v>
      </c>
      <c r="R70" s="138">
        <f>IF(AND(OR(Dashboard!$P$1="All",A70=Dashboard!$P$1),OR(Dashboard!$P$2="All",J70=Dashboard!$P$2)),1,0)</f>
        <v>1</v>
      </c>
      <c r="S70" s="138">
        <f>I70*R70</f>
        <v>36584759</v>
      </c>
      <c r="T70" s="138">
        <f>IF(AND(ISNUMBER(Q70),Q70&gt;0),S70,0)</f>
        <v>0</v>
      </c>
      <c r="U70" s="138">
        <f>IF(OR(Dashboard!$P$3="All",AND(Dashboard!$P$3="Not due",Q70&lt;0),AND(Dashboard!$P$3="Due in 10 days",Q70&gt;=-10,Q70&lt;=0),AND(Dashboard!$P$3="Due in 30 days",Q70&gt;=-30,Q70&lt;=0),AND(Dashboard!$P$3="Overdue 1–60 days",Q70&gt;0,Q70&lt;=60),AND(Dashboard!$P$3="Over 60 days",Q70&gt;60),AND(Dashboard!$P$3="All overdue",Q70&gt;0)),1,0)</f>
        <v>1</v>
      </c>
      <c r="V70" s="138">
        <f>S70*U70</f>
        <v>36584759</v>
      </c>
      <c r="W70" s="138">
        <f>IF(Q70&gt;0,T70*Q70,0)</f>
        <v>0</v>
      </c>
      <c r="X70" s="138">
        <f>IF(V70&gt;0,COUNTIF($V$6:V70,"&gt;0"),"")</f>
        <v>65</v>
      </c>
      <c r="Y70" s="138" t="str">
        <f>C70&amp;"|"&amp;D70</f>
        <v>AR-00059|70000059</v>
      </c>
      <c r="Z70" s="138"/>
      <c r="AA70" s="138"/>
      <c r="AB70" s="138"/>
      <c r="AC70" s="138"/>
      <c r="AD70" s="138"/>
      <c r="AE70" s="138"/>
      <c r="AF70" s="138"/>
      <c r="AG70" s="138"/>
      <c r="AH70" s="138"/>
      <c r="AI70" s="138"/>
      <c r="AJ70" s="138"/>
      <c r="AK70" s="138"/>
      <c r="AL70" s="138"/>
      <c r="AM70" s="138"/>
      <c r="AN70" s="138"/>
      <c r="AO70" s="138"/>
    </row>
    <row r="71" spans="1:41">
      <c r="A71" s="138" t="inlineStr">
        <is>
          <t>Client Alpha (Steel EPC)</t>
        </is>
      </c>
      <c r="B71" s="138" t="inlineStr">
        <is>
          <t>CLIENT ALPHA STEEL STRUCTURE CORPORATION</t>
        </is>
      </c>
      <c r="C71" s="138" t="inlineStr">
        <is>
          <t>AR-00060</t>
        </is>
      </c>
      <c r="D71" s="138" t="inlineStr">
        <is>
          <t>70000060</t>
        </is>
      </c>
      <c r="E71" s="141">
        <v>46276.0</v>
      </c>
      <c r="F71" s="141">
        <v>46351.0</v>
      </c>
      <c r="G71" s="142">
        <v>2287406431</v>
      </c>
      <c r="H71" s="142">
        <v>0</v>
      </c>
      <c r="I71" s="142">
        <v>2287406431</v>
      </c>
      <c r="J71" s="138" t="inlineStr">
        <is>
          <t>Senior Sales Rep 2</t>
        </is>
      </c>
      <c r="K71" s="138" t="inlineStr">
        <is>
          <t>Trading</t>
        </is>
      </c>
      <c r="L71" s="138" t="inlineStr">
        <is>
          <t>Project 010</t>
        </is>
      </c>
      <c r="M71" s="138" t="inlineStr">
        <is>
          <t>Collection note 012</t>
        </is>
      </c>
      <c r="N71" s="143"/>
      <c r="O71" s="143"/>
      <c r="P71" s="144"/>
      <c r="Q71" s="138">
        <f>IF(ISNUMBER(F71),$D$3-F71,"")</f>
        <v>-67.0</v>
      </c>
      <c r="R71" s="138">
        <f>IF(AND(OR(Dashboard!$P$1="All",A71=Dashboard!$P$1),OR(Dashboard!$P$2="All",J71=Dashboard!$P$2)),1,0)</f>
        <v>1</v>
      </c>
      <c r="S71" s="138">
        <f>I71*R71</f>
        <v>2287406431</v>
      </c>
      <c r="T71" s="138">
        <f>IF(AND(ISNUMBER(Q71),Q71&gt;0),S71,0)</f>
        <v>0</v>
      </c>
      <c r="U71" s="138">
        <f>IF(OR(Dashboard!$P$3="All",AND(Dashboard!$P$3="Not due",Q71&lt;0),AND(Dashboard!$P$3="Due in 10 days",Q71&gt;=-10,Q71&lt;=0),AND(Dashboard!$P$3="Due in 30 days",Q71&gt;=-30,Q71&lt;=0),AND(Dashboard!$P$3="Overdue 1–60 days",Q71&gt;0,Q71&lt;=60),AND(Dashboard!$P$3="Over 60 days",Q71&gt;60),AND(Dashboard!$P$3="All overdue",Q71&gt;0)),1,0)</f>
        <v>1</v>
      </c>
      <c r="V71" s="138">
        <f>S71*U71</f>
        <v>2287406431</v>
      </c>
      <c r="W71" s="138">
        <f>IF(Q71&gt;0,T71*Q71,0)</f>
        <v>0</v>
      </c>
      <c r="X71" s="138">
        <f>IF(V71&gt;0,COUNTIF($V$6:V71,"&gt;0"),"")</f>
        <v>66</v>
      </c>
      <c r="Y71" s="138" t="str">
        <f>C71&amp;"|"&amp;D71</f>
        <v>AR-00060|70000060</v>
      </c>
      <c r="Z71" s="138"/>
      <c r="AA71" s="138"/>
      <c r="AB71" s="138"/>
      <c r="AC71" s="138"/>
      <c r="AD71" s="138"/>
      <c r="AE71" s="138"/>
      <c r="AF71" s="138"/>
      <c r="AG71" s="138"/>
      <c r="AH71" s="138"/>
      <c r="AI71" s="138"/>
      <c r="AJ71" s="138"/>
      <c r="AK71" s="138"/>
      <c r="AL71" s="138"/>
      <c r="AM71" s="138"/>
      <c r="AN71" s="138"/>
      <c r="AO71" s="138"/>
    </row>
    <row r="72" spans="1:41">
      <c r="A72" s="138" t="inlineStr">
        <is>
          <t>Client Alpha (Steel EPC)</t>
        </is>
      </c>
      <c r="B72" s="138" t="inlineStr">
        <is>
          <t>CLIENT ALPHA STEEL STRUCTURE CORPORATION</t>
        </is>
      </c>
      <c r="C72" s="138" t="inlineStr">
        <is>
          <t>AR-00061</t>
        </is>
      </c>
      <c r="D72" s="138" t="inlineStr">
        <is>
          <t>70000061</t>
        </is>
      </c>
      <c r="E72" s="141">
        <v>46282.0</v>
      </c>
      <c r="F72" s="141">
        <v>46357.0</v>
      </c>
      <c r="G72" s="142">
        <v>25174161</v>
      </c>
      <c r="H72" s="142">
        <v>0</v>
      </c>
      <c r="I72" s="142">
        <v>25174161</v>
      </c>
      <c r="J72" s="138" t="inlineStr">
        <is>
          <t>Senior Sales Rep 2</t>
        </is>
      </c>
      <c r="K72" s="138" t="inlineStr">
        <is>
          <t>Trading</t>
        </is>
      </c>
      <c r="L72" s="138" t="inlineStr">
        <is>
          <t>Project 010</t>
        </is>
      </c>
      <c r="M72" s="138" t="inlineStr">
        <is>
          <t>Collection note 013</t>
        </is>
      </c>
      <c r="N72" s="143"/>
      <c r="O72" s="143"/>
      <c r="P72" s="144"/>
      <c r="Q72" s="138">
        <f>IF(ISNUMBER(F72),$D$3-F72,"")</f>
        <v>-73.0</v>
      </c>
      <c r="R72" s="138">
        <f>IF(AND(OR(Dashboard!$P$1="All",A72=Dashboard!$P$1),OR(Dashboard!$P$2="All",J72=Dashboard!$P$2)),1,0)</f>
        <v>1</v>
      </c>
      <c r="S72" s="138">
        <f>I72*R72</f>
        <v>25174161</v>
      </c>
      <c r="T72" s="138">
        <f>IF(AND(ISNUMBER(Q72),Q72&gt;0),S72,0)</f>
        <v>0</v>
      </c>
      <c r="U72" s="138">
        <f>IF(OR(Dashboard!$P$3="All",AND(Dashboard!$P$3="Not due",Q72&lt;0),AND(Dashboard!$P$3="Due in 10 days",Q72&gt;=-10,Q72&lt;=0),AND(Dashboard!$P$3="Due in 30 days",Q72&gt;=-30,Q72&lt;=0),AND(Dashboard!$P$3="Overdue 1–60 days",Q72&gt;0,Q72&lt;=60),AND(Dashboard!$P$3="Over 60 days",Q72&gt;60),AND(Dashboard!$P$3="All overdue",Q72&gt;0)),1,0)</f>
        <v>1</v>
      </c>
      <c r="V72" s="138">
        <f>S72*U72</f>
        <v>25174161</v>
      </c>
      <c r="W72" s="138">
        <f>IF(Q72&gt;0,T72*Q72,0)</f>
        <v>0</v>
      </c>
      <c r="X72" s="138">
        <f>IF(V72&gt;0,COUNTIF($V$6:V72,"&gt;0"),"")</f>
        <v>67</v>
      </c>
      <c r="Y72" s="138" t="str">
        <f>C72&amp;"|"&amp;D72</f>
        <v>AR-00061|70000061</v>
      </c>
      <c r="Z72" s="138"/>
      <c r="AA72" s="138"/>
      <c r="AB72" s="138"/>
      <c r="AC72" s="138"/>
      <c r="AD72" s="138"/>
      <c r="AE72" s="138"/>
      <c r="AF72" s="138"/>
      <c r="AG72" s="138"/>
      <c r="AH72" s="138"/>
      <c r="AI72" s="138"/>
      <c r="AJ72" s="138"/>
      <c r="AK72" s="138"/>
      <c r="AL72" s="138"/>
      <c r="AM72" s="138"/>
      <c r="AN72" s="138"/>
      <c r="AO72" s="138"/>
    </row>
    <row r="73" spans="1:41">
      <c r="A73" s="138" t="inlineStr">
        <is>
          <t>Client Alpha (Steel EPC)</t>
        </is>
      </c>
      <c r="B73" s="138" t="inlineStr">
        <is>
          <t>CLIENT ALPHA STEEL STRUCTURE CORPORATION</t>
        </is>
      </c>
      <c r="C73" s="138" t="inlineStr">
        <is>
          <t>AR-00062</t>
        </is>
      </c>
      <c r="D73" s="138" t="inlineStr">
        <is>
          <t>70000062</t>
        </is>
      </c>
      <c r="E73" s="141">
        <v>46282.0</v>
      </c>
      <c r="F73" s="141">
        <v>46357.0</v>
      </c>
      <c r="G73" s="142">
        <v>36089676</v>
      </c>
      <c r="H73" s="142">
        <v>0</v>
      </c>
      <c r="I73" s="142">
        <v>36089676</v>
      </c>
      <c r="J73" s="138" t="inlineStr">
        <is>
          <t>Senior Sales Rep 2</t>
        </is>
      </c>
      <c r="K73" s="138" t="inlineStr">
        <is>
          <t>Trading</t>
        </is>
      </c>
      <c r="L73" s="138" t="inlineStr">
        <is>
          <t>Project 010</t>
        </is>
      </c>
      <c r="M73" s="138" t="inlineStr">
        <is>
          <t>Collection note 013</t>
        </is>
      </c>
      <c r="N73" s="143"/>
      <c r="O73" s="143"/>
      <c r="P73" s="144"/>
      <c r="Q73" s="138">
        <f>IF(ISNUMBER(F73),$D$3-F73,"")</f>
        <v>-73.0</v>
      </c>
      <c r="R73" s="138">
        <f>IF(AND(OR(Dashboard!$P$1="All",A73=Dashboard!$P$1),OR(Dashboard!$P$2="All",J73=Dashboard!$P$2)),1,0)</f>
        <v>1</v>
      </c>
      <c r="S73" s="138">
        <f>I73*R73</f>
        <v>36089676</v>
      </c>
      <c r="T73" s="138">
        <f>IF(AND(ISNUMBER(Q73),Q73&gt;0),S73,0)</f>
        <v>0</v>
      </c>
      <c r="U73" s="138">
        <f>IF(OR(Dashboard!$P$3="All",AND(Dashboard!$P$3="Not due",Q73&lt;0),AND(Dashboard!$P$3="Due in 10 days",Q73&gt;=-10,Q73&lt;=0),AND(Dashboard!$P$3="Due in 30 days",Q73&gt;=-30,Q73&lt;=0),AND(Dashboard!$P$3="Overdue 1–60 days",Q73&gt;0,Q73&lt;=60),AND(Dashboard!$P$3="Over 60 days",Q73&gt;60),AND(Dashboard!$P$3="All overdue",Q73&gt;0)),1,0)</f>
        <v>1</v>
      </c>
      <c r="V73" s="138">
        <f>S73*U73</f>
        <v>36089676</v>
      </c>
      <c r="W73" s="138">
        <f>IF(Q73&gt;0,T73*Q73,0)</f>
        <v>0</v>
      </c>
      <c r="X73" s="138">
        <f>IF(V73&gt;0,COUNTIF($V$6:V73,"&gt;0"),"")</f>
        <v>68</v>
      </c>
      <c r="Y73" s="138" t="str">
        <f>C73&amp;"|"&amp;D73</f>
        <v>AR-00062|70000062</v>
      </c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  <c r="AM73" s="138"/>
      <c r="AN73" s="138"/>
      <c r="AO73" s="138"/>
    </row>
    <row r="74" spans="1:41">
      <c r="A74" s="138" t="inlineStr">
        <is>
          <t>Client Alpha (Steel EPC)</t>
        </is>
      </c>
      <c r="B74" s="138" t="inlineStr">
        <is>
          <t>CLIENT ALPHA STEEL STRUCTURE CORPORATION</t>
        </is>
      </c>
      <c r="C74" s="138" t="inlineStr">
        <is>
          <t>AR-00063</t>
        </is>
      </c>
      <c r="D74" s="138" t="inlineStr">
        <is>
          <t>70000063</t>
        </is>
      </c>
      <c r="E74" s="141">
        <v>46282.0</v>
      </c>
      <c r="F74" s="141">
        <v>46357.0</v>
      </c>
      <c r="G74" s="142">
        <v>513232014</v>
      </c>
      <c r="H74" s="142">
        <v>0</v>
      </c>
      <c r="I74" s="142">
        <v>513232014</v>
      </c>
      <c r="J74" s="138" t="inlineStr">
        <is>
          <t>Senior Sales Rep 1</t>
        </is>
      </c>
      <c r="K74" s="138" t="inlineStr">
        <is>
          <t>Trading</t>
        </is>
      </c>
      <c r="L74" s="138" t="inlineStr">
        <is>
          <t>Project 013</t>
        </is>
      </c>
      <c r="M74" s="138" t="inlineStr">
        <is>
          <t>Collection note 011</t>
        </is>
      </c>
      <c r="N74" s="143"/>
      <c r="O74" s="143"/>
      <c r="P74" s="144"/>
      <c r="Q74" s="138">
        <f>IF(ISNUMBER(F74),$D$3-F74,"")</f>
        <v>-73.0</v>
      </c>
      <c r="R74" s="138">
        <f>IF(AND(OR(Dashboard!$P$1="All",A74=Dashboard!$P$1),OR(Dashboard!$P$2="All",J74=Dashboard!$P$2)),1,0)</f>
        <v>1</v>
      </c>
      <c r="S74" s="138">
        <f>I74*R74</f>
        <v>513232014</v>
      </c>
      <c r="T74" s="138">
        <f>IF(AND(ISNUMBER(Q74),Q74&gt;0),S74,0)</f>
        <v>0</v>
      </c>
      <c r="U74" s="138">
        <f>IF(OR(Dashboard!$P$3="All",AND(Dashboard!$P$3="Not due",Q74&lt;0),AND(Dashboard!$P$3="Due in 10 days",Q74&gt;=-10,Q74&lt;=0),AND(Dashboard!$P$3="Due in 30 days",Q74&gt;=-30,Q74&lt;=0),AND(Dashboard!$P$3="Overdue 1–60 days",Q74&gt;0,Q74&lt;=60),AND(Dashboard!$P$3="Over 60 days",Q74&gt;60),AND(Dashboard!$P$3="All overdue",Q74&gt;0)),1,0)</f>
        <v>1</v>
      </c>
      <c r="V74" s="138">
        <f>S74*U74</f>
        <v>513232014</v>
      </c>
      <c r="W74" s="138">
        <f>IF(Q74&gt;0,T74*Q74,0)</f>
        <v>0</v>
      </c>
      <c r="X74" s="138">
        <f>IF(V74&gt;0,COUNTIF($V$6:V74,"&gt;0"),"")</f>
        <v>69</v>
      </c>
      <c r="Y74" s="138" t="str">
        <f>C74&amp;"|"&amp;D74</f>
        <v>AR-00063|70000063</v>
      </c>
      <c r="Z74" s="138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  <c r="AK74" s="138"/>
      <c r="AL74" s="138"/>
      <c r="AM74" s="138"/>
      <c r="AN74" s="138"/>
      <c r="AO74" s="138"/>
    </row>
    <row r="75" spans="1:41">
      <c r="A75" s="138" t="inlineStr">
        <is>
          <t>Client Alpha (Steel EPC)</t>
        </is>
      </c>
      <c r="B75" s="138" t="inlineStr">
        <is>
          <t>CLIENT ALPHA STEEL STRUCTURE CORPORATION</t>
        </is>
      </c>
      <c r="C75" s="138" t="inlineStr">
        <is>
          <t>AR-00064</t>
        </is>
      </c>
      <c r="D75" s="138" t="inlineStr">
        <is>
          <t>70000064</t>
        </is>
      </c>
      <c r="E75" s="141">
        <v>46282.0</v>
      </c>
      <c r="F75" s="141">
        <v>46357.0</v>
      </c>
      <c r="G75" s="142">
        <v>279527859</v>
      </c>
      <c r="H75" s="142">
        <v>0</v>
      </c>
      <c r="I75" s="142">
        <v>279527859</v>
      </c>
      <c r="J75" s="138" t="inlineStr">
        <is>
          <t>Senior Sales Rep 1</t>
        </is>
      </c>
      <c r="K75" s="138" t="inlineStr">
        <is>
          <t>Trading</t>
        </is>
      </c>
      <c r="L75" s="138" t="inlineStr">
        <is>
          <t>Project 013</t>
        </is>
      </c>
      <c r="M75" s="138" t="inlineStr">
        <is>
          <t>Collection note 011</t>
        </is>
      </c>
      <c r="N75" s="143"/>
      <c r="O75" s="143"/>
      <c r="P75" s="144"/>
      <c r="Q75" s="138">
        <f>IF(ISNUMBER(F75),$D$3-F75,"")</f>
        <v>-73.0</v>
      </c>
      <c r="R75" s="138">
        <f>IF(AND(OR(Dashboard!$P$1="All",A75=Dashboard!$P$1),OR(Dashboard!$P$2="All",J75=Dashboard!$P$2)),1,0)</f>
        <v>1</v>
      </c>
      <c r="S75" s="138">
        <f>I75*R75</f>
        <v>279527859</v>
      </c>
      <c r="T75" s="138">
        <f>IF(AND(ISNUMBER(Q75),Q75&gt;0),S75,0)</f>
        <v>0</v>
      </c>
      <c r="U75" s="138">
        <f>IF(OR(Dashboard!$P$3="All",AND(Dashboard!$P$3="Not due",Q75&lt;0),AND(Dashboard!$P$3="Due in 10 days",Q75&gt;=-10,Q75&lt;=0),AND(Dashboard!$P$3="Due in 30 days",Q75&gt;=-30,Q75&lt;=0),AND(Dashboard!$P$3="Overdue 1–60 days",Q75&gt;0,Q75&lt;=60),AND(Dashboard!$P$3="Over 60 days",Q75&gt;60),AND(Dashboard!$P$3="All overdue",Q75&gt;0)),1,0)</f>
        <v>1</v>
      </c>
      <c r="V75" s="138">
        <f>S75*U75</f>
        <v>279527859</v>
      </c>
      <c r="W75" s="138">
        <f>IF(Q75&gt;0,T75*Q75,0)</f>
        <v>0</v>
      </c>
      <c r="X75" s="138">
        <f>IF(V75&gt;0,COUNTIF($V$6:V75,"&gt;0"),"")</f>
        <v>70</v>
      </c>
      <c r="Y75" s="138" t="str">
        <f>C75&amp;"|"&amp;D75</f>
        <v>AR-00064|70000064</v>
      </c>
      <c r="Z75" s="138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</row>
    <row r="76" spans="1:41">
      <c r="A76" s="138" t="inlineStr">
        <is>
          <t>Client Alpha (Steel EPC)</t>
        </is>
      </c>
      <c r="B76" s="138" t="inlineStr">
        <is>
          <t>CLIENT ALPHA STEEL STRUCTURE CORPORATION</t>
        </is>
      </c>
      <c r="C76" s="138" t="inlineStr">
        <is>
          <t>AR-00065</t>
        </is>
      </c>
      <c r="D76" s="138" t="inlineStr">
        <is>
          <t>70000065</t>
        </is>
      </c>
      <c r="E76" s="141">
        <v>46282.0</v>
      </c>
      <c r="F76" s="141">
        <v>46357.0</v>
      </c>
      <c r="G76" s="142">
        <v>156783419</v>
      </c>
      <c r="H76" s="142">
        <v>0</v>
      </c>
      <c r="I76" s="142">
        <v>156783419</v>
      </c>
      <c r="J76" s="138" t="inlineStr">
        <is>
          <t>Senior Sales Rep 1</t>
        </is>
      </c>
      <c r="K76" s="138" t="inlineStr">
        <is>
          <t>Trading</t>
        </is>
      </c>
      <c r="L76" s="138" t="inlineStr">
        <is>
          <t>Project 013</t>
        </is>
      </c>
      <c r="M76" s="138" t="inlineStr">
        <is>
          <t>Collection note 011</t>
        </is>
      </c>
      <c r="N76" s="143"/>
      <c r="O76" s="143"/>
      <c r="P76" s="144"/>
      <c r="Q76" s="138">
        <f>IF(ISNUMBER(F76),$D$3-F76,"")</f>
        <v>-73.0</v>
      </c>
      <c r="R76" s="138">
        <f>IF(AND(OR(Dashboard!$P$1="All",A76=Dashboard!$P$1),OR(Dashboard!$P$2="All",J76=Dashboard!$P$2)),1,0)</f>
        <v>1</v>
      </c>
      <c r="S76" s="138">
        <f>I76*R76</f>
        <v>156783419</v>
      </c>
      <c r="T76" s="138">
        <f>IF(AND(ISNUMBER(Q76),Q76&gt;0),S76,0)</f>
        <v>0</v>
      </c>
      <c r="U76" s="138">
        <f>IF(OR(Dashboard!$P$3="All",AND(Dashboard!$P$3="Not due",Q76&lt;0),AND(Dashboard!$P$3="Due in 10 days",Q76&gt;=-10,Q76&lt;=0),AND(Dashboard!$P$3="Due in 30 days",Q76&gt;=-30,Q76&lt;=0),AND(Dashboard!$P$3="Overdue 1–60 days",Q76&gt;0,Q76&lt;=60),AND(Dashboard!$P$3="Over 60 days",Q76&gt;60),AND(Dashboard!$P$3="All overdue",Q76&gt;0)),1,0)</f>
        <v>1</v>
      </c>
      <c r="V76" s="138">
        <f>S76*U76</f>
        <v>156783419</v>
      </c>
      <c r="W76" s="138">
        <f>IF(Q76&gt;0,T76*Q76,0)</f>
        <v>0</v>
      </c>
      <c r="X76" s="138">
        <f>IF(V76&gt;0,COUNTIF($V$6:V76,"&gt;0"),"")</f>
        <v>71</v>
      </c>
      <c r="Y76" s="138" t="str">
        <f>C76&amp;"|"&amp;D76</f>
        <v>AR-00065|70000065</v>
      </c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  <c r="AN76" s="138"/>
      <c r="AO76" s="138"/>
    </row>
    <row r="77" spans="1:41">
      <c r="A77" s="138" t="inlineStr">
        <is>
          <t>Client Alpha Sub-Contract</t>
        </is>
      </c>
      <c r="B77" s="138" t="inlineStr">
        <is>
          <t>CLIENT ALPHA REGIONAL BRANCH</t>
        </is>
      </c>
      <c r="C77" s="138" t="inlineStr">
        <is>
          <t>AR-00110</t>
        </is>
      </c>
      <c r="D77" s="138" t="inlineStr">
        <is>
          <t>70000110</t>
        </is>
      </c>
      <c r="E77" s="141">
        <v>46198.0</v>
      </c>
      <c r="F77" s="141">
        <v>46273.0</v>
      </c>
      <c r="G77" s="142">
        <v>2121740483</v>
      </c>
      <c r="H77" s="142">
        <v>694633874</v>
      </c>
      <c r="I77" s="142">
        <v>1427106609</v>
      </c>
      <c r="J77" s="138" t="inlineStr">
        <is>
          <t>Senior Sales Rep 2</t>
        </is>
      </c>
      <c r="K77" s="138" t="inlineStr">
        <is>
          <t>Trading</t>
        </is>
      </c>
      <c r="L77" s="138" t="inlineStr">
        <is>
          <t>Project 016</t>
        </is>
      </c>
      <c r="M77" s="138" t="inlineStr">
        <is>
          <t>Collection note 020</t>
        </is>
      </c>
      <c r="N77" s="143"/>
      <c r="O77" s="143"/>
      <c r="P77" s="144"/>
      <c r="Q77" s="138">
        <f>IF(ISNUMBER(F77),$D$3-F77,"")</f>
        <v>11.0</v>
      </c>
      <c r="R77" s="138">
        <f>IF(AND(OR(Dashboard!$P$1="All",A77=Dashboard!$P$1),OR(Dashboard!$P$2="All",J77=Dashboard!$P$2)),1,0)</f>
        <v>1</v>
      </c>
      <c r="S77" s="138">
        <f>I77*R77</f>
        <v>1427106609</v>
      </c>
      <c r="T77" s="138">
        <f>IF(AND(ISNUMBER(Q77),Q77&gt;0),S77,0)</f>
        <v>1427106609</v>
      </c>
      <c r="U77" s="138">
        <f>IF(OR(Dashboard!$P$3="All",AND(Dashboard!$P$3="Not due",Q77&lt;0),AND(Dashboard!$P$3="Due in 10 days",Q77&gt;=-10,Q77&lt;=0),AND(Dashboard!$P$3="Due in 30 days",Q77&gt;=-30,Q77&lt;=0),AND(Dashboard!$P$3="Overdue 1–60 days",Q77&gt;0,Q77&lt;=60),AND(Dashboard!$P$3="Over 60 days",Q77&gt;60),AND(Dashboard!$P$3="All overdue",Q77&gt;0)),1,0)</f>
        <v>1</v>
      </c>
      <c r="V77" s="138">
        <f>S77*U77</f>
        <v>1427106609</v>
      </c>
      <c r="W77" s="138">
        <f>IF(Q77&gt;0,T77*Q77,0)</f>
        <v>15698172699.0</v>
      </c>
      <c r="X77" s="138">
        <f>IF(V77&gt;0,COUNTIF($V$6:V77,"&gt;0"),"")</f>
        <v>72</v>
      </c>
      <c r="Y77" s="138" t="str">
        <f>C77&amp;"|"&amp;D77</f>
        <v>AR-00110|70000110</v>
      </c>
      <c r="Z77" s="138"/>
      <c r="AA77" s="138"/>
      <c r="AB77" s="138"/>
      <c r="AC77" s="138"/>
      <c r="AD77" s="138"/>
      <c r="AE77" s="138"/>
      <c r="AF77" s="138"/>
      <c r="AG77" s="138"/>
      <c r="AH77" s="138"/>
      <c r="AI77" s="138"/>
      <c r="AJ77" s="138"/>
      <c r="AK77" s="138"/>
      <c r="AL77" s="138"/>
      <c r="AM77" s="138"/>
      <c r="AN77" s="138"/>
      <c r="AO77" s="138"/>
    </row>
    <row r="78" spans="1:41">
      <c r="A78" s="138" t="inlineStr">
        <is>
          <t>Client Alpha Sub-Contract</t>
        </is>
      </c>
      <c r="B78" s="138" t="inlineStr">
        <is>
          <t>CLIENT ALPHA REGIONAL BRANCH</t>
        </is>
      </c>
      <c r="C78" s="138" t="inlineStr">
        <is>
          <t>AR-00087</t>
        </is>
      </c>
      <c r="D78" s="138" t="inlineStr">
        <is>
          <t>70000087</t>
        </is>
      </c>
      <c r="E78" s="141">
        <v>46203.0</v>
      </c>
      <c r="F78" s="141">
        <v>46278.0</v>
      </c>
      <c r="G78" s="142">
        <v>1535973151</v>
      </c>
      <c r="H78" s="142">
        <v>0</v>
      </c>
      <c r="I78" s="142">
        <v>1535973151</v>
      </c>
      <c r="J78" s="138" t="inlineStr">
        <is>
          <t>Senior Sales Rep 2</t>
        </is>
      </c>
      <c r="K78" s="138" t="inlineStr">
        <is>
          <t>Trading</t>
        </is>
      </c>
      <c r="L78" s="138" t="inlineStr">
        <is>
          <t>Project 016</t>
        </is>
      </c>
      <c r="M78" s="138" t="inlineStr">
        <is>
          <t>Collection note 020</t>
        </is>
      </c>
      <c r="N78" s="143"/>
      <c r="O78" s="143"/>
      <c r="P78" s="144"/>
      <c r="Q78" s="138">
        <f>IF(ISNUMBER(F78),$D$3-F78,"")</f>
        <v>6.0</v>
      </c>
      <c r="R78" s="138">
        <f>IF(AND(OR(Dashboard!$P$1="All",A78=Dashboard!$P$1),OR(Dashboard!$P$2="All",J78=Dashboard!$P$2)),1,0)</f>
        <v>1</v>
      </c>
      <c r="S78" s="138">
        <f>I78*R78</f>
        <v>1535973151</v>
      </c>
      <c r="T78" s="138">
        <f>IF(AND(ISNUMBER(Q78),Q78&gt;0),S78,0)</f>
        <v>1535973151</v>
      </c>
      <c r="U78" s="138">
        <f>IF(OR(Dashboard!$P$3="All",AND(Dashboard!$P$3="Not due",Q78&lt;0),AND(Dashboard!$P$3="Due in 10 days",Q78&gt;=-10,Q78&lt;=0),AND(Dashboard!$P$3="Due in 30 days",Q78&gt;=-30,Q78&lt;=0),AND(Dashboard!$P$3="Overdue 1–60 days",Q78&gt;0,Q78&lt;=60),AND(Dashboard!$P$3="Over 60 days",Q78&gt;60),AND(Dashboard!$P$3="All overdue",Q78&gt;0)),1,0)</f>
        <v>1</v>
      </c>
      <c r="V78" s="138">
        <f>S78*U78</f>
        <v>1535973151</v>
      </c>
      <c r="W78" s="138">
        <f>IF(Q78&gt;0,T78*Q78,0)</f>
        <v>9215838906.0</v>
      </c>
      <c r="X78" s="138">
        <f>IF(V78&gt;0,COUNTIF($V$6:V78,"&gt;0"),"")</f>
        <v>73</v>
      </c>
      <c r="Y78" s="138" t="str">
        <f>C78&amp;"|"&amp;D78</f>
        <v>AR-00087|70000087</v>
      </c>
      <c r="Z78" s="138"/>
      <c r="AA78" s="138"/>
      <c r="AB78" s="138"/>
      <c r="AC78" s="138"/>
      <c r="AD78" s="138"/>
      <c r="AE78" s="138"/>
      <c r="AF78" s="138"/>
      <c r="AG78" s="138"/>
      <c r="AH78" s="138"/>
      <c r="AI78" s="138"/>
      <c r="AJ78" s="138"/>
      <c r="AK78" s="138"/>
      <c r="AL78" s="138"/>
      <c r="AM78" s="138"/>
      <c r="AN78" s="138"/>
      <c r="AO78" s="138"/>
    </row>
    <row r="79" spans="1:41">
      <c r="A79" s="138" t="inlineStr">
        <is>
          <t>Client Alpha Sub-Contract</t>
        </is>
      </c>
      <c r="B79" s="138" t="inlineStr">
        <is>
          <t>CLIENT ALPHA REGIONAL BRANCH</t>
        </is>
      </c>
      <c r="C79" s="138" t="inlineStr">
        <is>
          <t>AR-00088</t>
        </is>
      </c>
      <c r="D79" s="138" t="inlineStr">
        <is>
          <t>70000088</t>
        </is>
      </c>
      <c r="E79" s="141">
        <v>46218.0</v>
      </c>
      <c r="F79" s="141">
        <v>46293.0</v>
      </c>
      <c r="G79" s="142">
        <v>577772673</v>
      </c>
      <c r="H79" s="142">
        <v>0</v>
      </c>
      <c r="I79" s="142">
        <v>577772673</v>
      </c>
      <c r="J79" s="138" t="inlineStr">
        <is>
          <t>Senior Sales Rep 2</t>
        </is>
      </c>
      <c r="K79" s="138" t="inlineStr">
        <is>
          <t>Trading</t>
        </is>
      </c>
      <c r="L79" s="138" t="inlineStr">
        <is>
          <t>Project 016</t>
        </is>
      </c>
      <c r="M79" s="138" t="inlineStr">
        <is>
          <t>Collection note 020</t>
        </is>
      </c>
      <c r="N79" s="143"/>
      <c r="O79" s="143"/>
      <c r="P79" s="144"/>
      <c r="Q79" s="138">
        <f>IF(ISNUMBER(F79),$D$3-F79,"")</f>
        <v>-9.0</v>
      </c>
      <c r="R79" s="138">
        <f>IF(AND(OR(Dashboard!$P$1="All",A79=Dashboard!$P$1),OR(Dashboard!$P$2="All",J79=Dashboard!$P$2)),1,0)</f>
        <v>1</v>
      </c>
      <c r="S79" s="138">
        <f>I79*R79</f>
        <v>577772673</v>
      </c>
      <c r="T79" s="138">
        <f>IF(AND(ISNUMBER(Q79),Q79&gt;0),S79,0)</f>
        <v>0</v>
      </c>
      <c r="U79" s="138">
        <f>IF(OR(Dashboard!$P$3="All",AND(Dashboard!$P$3="Not due",Q79&lt;0),AND(Dashboard!$P$3="Due in 10 days",Q79&gt;=-10,Q79&lt;=0),AND(Dashboard!$P$3="Due in 30 days",Q79&gt;=-30,Q79&lt;=0),AND(Dashboard!$P$3="Overdue 1–60 days",Q79&gt;0,Q79&lt;=60),AND(Dashboard!$P$3="Over 60 days",Q79&gt;60),AND(Dashboard!$P$3="All overdue",Q79&gt;0)),1,0)</f>
        <v>1</v>
      </c>
      <c r="V79" s="138">
        <f>S79*U79</f>
        <v>577772673</v>
      </c>
      <c r="W79" s="138">
        <f>IF(Q79&gt;0,T79*Q79,0)</f>
        <v>0</v>
      </c>
      <c r="X79" s="138">
        <f>IF(V79&gt;0,COUNTIF($V$6:V79,"&gt;0"),"")</f>
        <v>74</v>
      </c>
      <c r="Y79" s="138" t="str">
        <f>C79&amp;"|"&amp;D79</f>
        <v>AR-00088|70000088</v>
      </c>
      <c r="Z79" s="138"/>
      <c r="AA79" s="138"/>
      <c r="AB79" s="138"/>
      <c r="AC79" s="138"/>
      <c r="AD79" s="138"/>
      <c r="AE79" s="138"/>
      <c r="AF79" s="138"/>
      <c r="AG79" s="138"/>
      <c r="AH79" s="138"/>
      <c r="AI79" s="138"/>
      <c r="AJ79" s="138"/>
      <c r="AK79" s="138"/>
      <c r="AL79" s="138"/>
      <c r="AM79" s="138"/>
      <c r="AN79" s="138"/>
      <c r="AO79" s="138"/>
    </row>
    <row r="80" spans="1:41">
      <c r="A80" s="138" t="inlineStr">
        <is>
          <t>Client Alpha Sub-Contract</t>
        </is>
      </c>
      <c r="B80" s="138" t="inlineStr">
        <is>
          <t>CLIENT ALPHA REGIONAL BRANCH</t>
        </is>
      </c>
      <c r="C80" s="138" t="inlineStr">
        <is>
          <t>AR-00089</t>
        </is>
      </c>
      <c r="D80" s="138" t="inlineStr">
        <is>
          <t>70000089</t>
        </is>
      </c>
      <c r="E80" s="141">
        <v>46234.0</v>
      </c>
      <c r="F80" s="141">
        <v>46309.0</v>
      </c>
      <c r="G80" s="142">
        <v>277429525</v>
      </c>
      <c r="H80" s="142">
        <v>0</v>
      </c>
      <c r="I80" s="142">
        <v>277429525</v>
      </c>
      <c r="J80" s="138" t="inlineStr">
        <is>
          <t>Senior Sales Rep 2</t>
        </is>
      </c>
      <c r="K80" s="138" t="inlineStr">
        <is>
          <t>Trading</t>
        </is>
      </c>
      <c r="L80" s="138" t="inlineStr">
        <is>
          <t>Project 016</t>
        </is>
      </c>
      <c r="M80" s="138" t="inlineStr">
        <is>
          <t>Collection note 020</t>
        </is>
      </c>
      <c r="N80" s="143"/>
      <c r="O80" s="143"/>
      <c r="P80" s="144"/>
      <c r="Q80" s="138">
        <f>IF(ISNUMBER(F80),$D$3-F80,"")</f>
        <v>-25.0</v>
      </c>
      <c r="R80" s="138">
        <f>IF(AND(OR(Dashboard!$P$1="All",A80=Dashboard!$P$1),OR(Dashboard!$P$2="All",J80=Dashboard!$P$2)),1,0)</f>
        <v>1</v>
      </c>
      <c r="S80" s="138">
        <f>I80*R80</f>
        <v>277429525</v>
      </c>
      <c r="T80" s="138">
        <f>IF(AND(ISNUMBER(Q80),Q80&gt;0),S80,0)</f>
        <v>0</v>
      </c>
      <c r="U80" s="138">
        <f>IF(OR(Dashboard!$P$3="All",AND(Dashboard!$P$3="Not due",Q80&lt;0),AND(Dashboard!$P$3="Due in 10 days",Q80&gt;=-10,Q80&lt;=0),AND(Dashboard!$P$3="Due in 30 days",Q80&gt;=-30,Q80&lt;=0),AND(Dashboard!$P$3="Overdue 1–60 days",Q80&gt;0,Q80&lt;=60),AND(Dashboard!$P$3="Over 60 days",Q80&gt;60),AND(Dashboard!$P$3="All overdue",Q80&gt;0)),1,0)</f>
        <v>1</v>
      </c>
      <c r="V80" s="138">
        <f>S80*U80</f>
        <v>277429525</v>
      </c>
      <c r="W80" s="138">
        <f>IF(Q80&gt;0,T80*Q80,0)</f>
        <v>0</v>
      </c>
      <c r="X80" s="138">
        <f>IF(V80&gt;0,COUNTIF($V$6:V80,"&gt;0"),"")</f>
        <v>75</v>
      </c>
      <c r="Y80" s="138" t="str">
        <f>C80&amp;"|"&amp;D80</f>
        <v>AR-00089|70000089</v>
      </c>
      <c r="Z80" s="138"/>
      <c r="AA80" s="138"/>
      <c r="AB80" s="138"/>
      <c r="AC80" s="138"/>
      <c r="AD80" s="138"/>
      <c r="AE80" s="138"/>
      <c r="AF80" s="138"/>
      <c r="AG80" s="138"/>
      <c r="AH80" s="138"/>
      <c r="AI80" s="138"/>
      <c r="AJ80" s="138"/>
      <c r="AK80" s="138"/>
      <c r="AL80" s="138"/>
      <c r="AM80" s="138"/>
      <c r="AN80" s="138"/>
      <c r="AO80" s="138"/>
    </row>
    <row r="81" spans="1:41">
      <c r="A81" s="138" t="inlineStr">
        <is>
          <t>Client Alpha Sub-Contract</t>
        </is>
      </c>
      <c r="B81" s="138" t="inlineStr">
        <is>
          <t>CLIENT ALPHA REGIONAL BRANCH</t>
        </is>
      </c>
      <c r="C81" s="138" t="inlineStr">
        <is>
          <t>AR-00090</t>
        </is>
      </c>
      <c r="D81" s="138" t="inlineStr">
        <is>
          <t>70000090</t>
        </is>
      </c>
      <c r="E81" s="141">
        <v>46234.0</v>
      </c>
      <c r="F81" s="141">
        <v>46309.0</v>
      </c>
      <c r="G81" s="142">
        <v>456361293</v>
      </c>
      <c r="H81" s="142">
        <v>0</v>
      </c>
      <c r="I81" s="142">
        <v>456361293</v>
      </c>
      <c r="J81" s="138" t="inlineStr">
        <is>
          <t>Senior Sales Rep 2</t>
        </is>
      </c>
      <c r="K81" s="138" t="inlineStr">
        <is>
          <t>Trading</t>
        </is>
      </c>
      <c r="L81" s="138" t="inlineStr">
        <is>
          <t>Project 016</t>
        </is>
      </c>
      <c r="M81" s="138" t="inlineStr">
        <is>
          <t>Collection note 020</t>
        </is>
      </c>
      <c r="N81" s="143"/>
      <c r="O81" s="143"/>
      <c r="P81" s="144"/>
      <c r="Q81" s="138">
        <f>IF(ISNUMBER(F81),$D$3-F81,"")</f>
        <v>-25.0</v>
      </c>
      <c r="R81" s="138">
        <f>IF(AND(OR(Dashboard!$P$1="All",A81=Dashboard!$P$1),OR(Dashboard!$P$2="All",J81=Dashboard!$P$2)),1,0)</f>
        <v>1</v>
      </c>
      <c r="S81" s="138">
        <f>I81*R81</f>
        <v>456361293</v>
      </c>
      <c r="T81" s="138">
        <f>IF(AND(ISNUMBER(Q81),Q81&gt;0),S81,0)</f>
        <v>0</v>
      </c>
      <c r="U81" s="138">
        <f>IF(OR(Dashboard!$P$3="All",AND(Dashboard!$P$3="Not due",Q81&lt;0),AND(Dashboard!$P$3="Due in 10 days",Q81&gt;=-10,Q81&lt;=0),AND(Dashboard!$P$3="Due in 30 days",Q81&gt;=-30,Q81&lt;=0),AND(Dashboard!$P$3="Overdue 1–60 days",Q81&gt;0,Q81&lt;=60),AND(Dashboard!$P$3="Over 60 days",Q81&gt;60),AND(Dashboard!$P$3="All overdue",Q81&gt;0)),1,0)</f>
        <v>1</v>
      </c>
      <c r="V81" s="138">
        <f>S81*U81</f>
        <v>456361293</v>
      </c>
      <c r="W81" s="138">
        <f>IF(Q81&gt;0,T81*Q81,0)</f>
        <v>0</v>
      </c>
      <c r="X81" s="138">
        <f>IF(V81&gt;0,COUNTIF($V$6:V81,"&gt;0"),"")</f>
        <v>76</v>
      </c>
      <c r="Y81" s="138" t="str">
        <f>C81&amp;"|"&amp;D81</f>
        <v>AR-00090|70000090</v>
      </c>
      <c r="Z81" s="138"/>
      <c r="AA81" s="138"/>
      <c r="AB81" s="138"/>
      <c r="AC81" s="138"/>
      <c r="AD81" s="138"/>
      <c r="AE81" s="138"/>
      <c r="AF81" s="138"/>
      <c r="AG81" s="138"/>
      <c r="AH81" s="138"/>
      <c r="AI81" s="138"/>
      <c r="AJ81" s="138"/>
      <c r="AK81" s="138"/>
      <c r="AL81" s="138"/>
      <c r="AM81" s="138"/>
      <c r="AN81" s="138"/>
      <c r="AO81" s="138"/>
    </row>
    <row r="82" spans="1:41">
      <c r="A82" s="138" t="inlineStr">
        <is>
          <t>Client Alpha Sub-Contract</t>
        </is>
      </c>
      <c r="B82" s="138" t="inlineStr">
        <is>
          <t>CLIENT ALPHA REGIONAL BRANCH</t>
        </is>
      </c>
      <c r="C82" s="138" t="inlineStr">
        <is>
          <t>AR-00091</t>
        </is>
      </c>
      <c r="D82" s="138" t="inlineStr">
        <is>
          <t>70000091</t>
        </is>
      </c>
      <c r="E82" s="141">
        <v>46282.0</v>
      </c>
      <c r="F82" s="141">
        <v>46357.0</v>
      </c>
      <c r="G82" s="142">
        <v>123856870</v>
      </c>
      <c r="H82" s="142">
        <v>0</v>
      </c>
      <c r="I82" s="142">
        <v>123856870</v>
      </c>
      <c r="J82" s="138" t="inlineStr">
        <is>
          <t>Senior Sales Rep 2</t>
        </is>
      </c>
      <c r="K82" s="138" t="inlineStr">
        <is>
          <t>Trading</t>
        </is>
      </c>
      <c r="L82" s="138" t="inlineStr">
        <is>
          <t>Project 016</t>
        </is>
      </c>
      <c r="M82" s="138" t="inlineStr">
        <is>
          <t>Collection note 020</t>
        </is>
      </c>
      <c r="N82" s="143"/>
      <c r="O82" s="143"/>
      <c r="P82" s="144"/>
      <c r="Q82" s="138">
        <f>IF(ISNUMBER(F82),$D$3-F82,"")</f>
        <v>-73.0</v>
      </c>
      <c r="R82" s="138">
        <f>IF(AND(OR(Dashboard!$P$1="All",A82=Dashboard!$P$1),OR(Dashboard!$P$2="All",J82=Dashboard!$P$2)),1,0)</f>
        <v>1</v>
      </c>
      <c r="S82" s="138">
        <f>I82*R82</f>
        <v>123856870</v>
      </c>
      <c r="T82" s="138">
        <f>IF(AND(ISNUMBER(Q82),Q82&gt;0),S82,0)</f>
        <v>0</v>
      </c>
      <c r="U82" s="138">
        <f>IF(OR(Dashboard!$P$3="All",AND(Dashboard!$P$3="Not due",Q82&lt;0),AND(Dashboard!$P$3="Due in 10 days",Q82&gt;=-10,Q82&lt;=0),AND(Dashboard!$P$3="Due in 30 days",Q82&gt;=-30,Q82&lt;=0),AND(Dashboard!$P$3="Overdue 1–60 days",Q82&gt;0,Q82&lt;=60),AND(Dashboard!$P$3="Over 60 days",Q82&gt;60),AND(Dashboard!$P$3="All overdue",Q82&gt;0)),1,0)</f>
        <v>1</v>
      </c>
      <c r="V82" s="138">
        <f>S82*U82</f>
        <v>123856870</v>
      </c>
      <c r="W82" s="138">
        <f>IF(Q82&gt;0,T82*Q82,0)</f>
        <v>0</v>
      </c>
      <c r="X82" s="138">
        <f>IF(V82&gt;0,COUNTIF($V$6:V82,"&gt;0"),"")</f>
        <v>77</v>
      </c>
      <c r="Y82" s="138" t="str">
        <f>C82&amp;"|"&amp;D82</f>
        <v>AR-00091|70000091</v>
      </c>
      <c r="Z82" s="138"/>
      <c r="AA82" s="138"/>
      <c r="AB82" s="138"/>
      <c r="AC82" s="138"/>
      <c r="AD82" s="138"/>
      <c r="AE82" s="138"/>
      <c r="AF82" s="138"/>
      <c r="AG82" s="138"/>
      <c r="AH82" s="138"/>
      <c r="AI82" s="138"/>
      <c r="AJ82" s="138"/>
      <c r="AK82" s="138"/>
      <c r="AL82" s="138"/>
      <c r="AM82" s="138"/>
      <c r="AN82" s="138"/>
      <c r="AO82" s="138"/>
    </row>
    <row r="83" spans="1:41">
      <c r="A83" s="138" t="inlineStr">
        <is>
          <t>Client Alpha Sub-Contract</t>
        </is>
      </c>
      <c r="B83" s="138" t="inlineStr">
        <is>
          <t>CLIENT ALPHA REGIONAL BRANCH</t>
        </is>
      </c>
      <c r="C83" s="138" t="inlineStr">
        <is>
          <t>AR-00092</t>
        </is>
      </c>
      <c r="D83" s="138" t="inlineStr">
        <is>
          <t>70000092</t>
        </is>
      </c>
      <c r="E83" s="141">
        <v>46282.0</v>
      </c>
      <c r="F83" s="141">
        <v>46357.0</v>
      </c>
      <c r="G83" s="142">
        <v>106676790</v>
      </c>
      <c r="H83" s="142">
        <v>0</v>
      </c>
      <c r="I83" s="142">
        <v>106676790</v>
      </c>
      <c r="J83" s="138" t="inlineStr">
        <is>
          <t>Senior Sales Rep 2</t>
        </is>
      </c>
      <c r="K83" s="138" t="inlineStr">
        <is>
          <t>Trading</t>
        </is>
      </c>
      <c r="L83" s="138" t="inlineStr">
        <is>
          <t>Project 016</t>
        </is>
      </c>
      <c r="M83" s="138" t="inlineStr">
        <is>
          <t>Collection note 020</t>
        </is>
      </c>
      <c r="N83" s="143"/>
      <c r="O83" s="143"/>
      <c r="P83" s="144"/>
      <c r="Q83" s="138">
        <f>IF(ISNUMBER(F83),$D$3-F83,"")</f>
        <v>-73.0</v>
      </c>
      <c r="R83" s="138">
        <f>IF(AND(OR(Dashboard!$P$1="All",A83=Dashboard!$P$1),OR(Dashboard!$P$2="All",J83=Dashboard!$P$2)),1,0)</f>
        <v>1</v>
      </c>
      <c r="S83" s="138">
        <f>I83*R83</f>
        <v>106676790</v>
      </c>
      <c r="T83" s="138">
        <f>IF(AND(ISNUMBER(Q83),Q83&gt;0),S83,0)</f>
        <v>0</v>
      </c>
      <c r="U83" s="138">
        <f>IF(OR(Dashboard!$P$3="All",AND(Dashboard!$P$3="Not due",Q83&lt;0),AND(Dashboard!$P$3="Due in 10 days",Q83&gt;=-10,Q83&lt;=0),AND(Dashboard!$P$3="Due in 30 days",Q83&gt;=-30,Q83&lt;=0),AND(Dashboard!$P$3="Overdue 1–60 days",Q83&gt;0,Q83&lt;=60),AND(Dashboard!$P$3="Over 60 days",Q83&gt;60),AND(Dashboard!$P$3="All overdue",Q83&gt;0)),1,0)</f>
        <v>1</v>
      </c>
      <c r="V83" s="138">
        <f>S83*U83</f>
        <v>106676790</v>
      </c>
      <c r="W83" s="138">
        <f>IF(Q83&gt;0,T83*Q83,0)</f>
        <v>0</v>
      </c>
      <c r="X83" s="138">
        <f>IF(V83&gt;0,COUNTIF($V$6:V83,"&gt;0"),"")</f>
        <v>78</v>
      </c>
      <c r="Y83" s="138" t="str">
        <f>C83&amp;"|"&amp;D83</f>
        <v>AR-00092|70000092</v>
      </c>
      <c r="Z83" s="138"/>
      <c r="AA83" s="138"/>
      <c r="AB83" s="138"/>
      <c r="AC83" s="138"/>
      <c r="AD83" s="138"/>
      <c r="AE83" s="138"/>
      <c r="AF83" s="138"/>
      <c r="AG83" s="138"/>
      <c r="AH83" s="138"/>
      <c r="AI83" s="138"/>
      <c r="AJ83" s="138"/>
      <c r="AK83" s="138"/>
      <c r="AL83" s="138"/>
      <c r="AM83" s="138"/>
      <c r="AN83" s="138"/>
      <c r="AO83" s="138"/>
    </row>
    <row r="84" spans="1:41">
      <c r="A84" s="138" t="inlineStr">
        <is>
          <t>Client Gamma (Offshore Energy)</t>
        </is>
      </c>
      <c r="B84" s="138" t="inlineStr">
        <is>
          <t>Demo Company 399</t>
        </is>
      </c>
      <c r="C84" s="138" t="inlineStr">
        <is>
          <t>AR-00098</t>
        </is>
      </c>
      <c r="D84" s="138" t="inlineStr">
        <is>
          <t>70000098</t>
        </is>
      </c>
      <c r="E84" s="141">
        <v>46172.0</v>
      </c>
      <c r="F84" s="141">
        <v>46217.0</v>
      </c>
      <c r="G84" s="142">
        <v>4099303796</v>
      </c>
      <c r="H84" s="142">
        <v>0</v>
      </c>
      <c r="I84" s="142">
        <v>4099303796</v>
      </c>
      <c r="J84" s="138" t="inlineStr">
        <is>
          <t>Sales Rep 3</t>
        </is>
      </c>
      <c r="K84" s="138" t="inlineStr">
        <is>
          <t>Trading</t>
        </is>
      </c>
      <c r="L84" s="138" t="inlineStr">
        <is>
          <t>Project 017</t>
        </is>
      </c>
      <c r="M84" s="138" t="inlineStr">
        <is>
          <t>Collection note 024</t>
        </is>
      </c>
      <c r="N84" s="143"/>
      <c r="O84" s="143"/>
      <c r="P84" s="144"/>
      <c r="Q84" s="138">
        <f>IF(ISNUMBER(F84),$D$3-F84,"")</f>
        <v>67.0</v>
      </c>
      <c r="R84" s="138">
        <f>IF(AND(OR(Dashboard!$P$1="All",A84=Dashboard!$P$1),OR(Dashboard!$P$2="All",J84=Dashboard!$P$2)),1,0)</f>
        <v>1</v>
      </c>
      <c r="S84" s="138">
        <f>I84*R84</f>
        <v>4099303796</v>
      </c>
      <c r="T84" s="138">
        <f>IF(AND(ISNUMBER(Q84),Q84&gt;0),S84,0)</f>
        <v>4099303796</v>
      </c>
      <c r="U84" s="138">
        <f>IF(OR(Dashboard!$P$3="All",AND(Dashboard!$P$3="Not due",Q84&lt;0),AND(Dashboard!$P$3="Due in 10 days",Q84&gt;=-10,Q84&lt;=0),AND(Dashboard!$P$3="Due in 30 days",Q84&gt;=-30,Q84&lt;=0),AND(Dashboard!$P$3="Overdue 1–60 days",Q84&gt;0,Q84&lt;=60),AND(Dashboard!$P$3="Over 60 days",Q84&gt;60),AND(Dashboard!$P$3="All overdue",Q84&gt;0)),1,0)</f>
        <v>1</v>
      </c>
      <c r="V84" s="138">
        <f>S84*U84</f>
        <v>4099303796</v>
      </c>
      <c r="W84" s="138">
        <f>IF(Q84&gt;0,T84*Q84,0)</f>
        <v>274653354332.0</v>
      </c>
      <c r="X84" s="138">
        <f>IF(V84&gt;0,COUNTIF($V$6:V84,"&gt;0"),"")</f>
        <v>79</v>
      </c>
      <c r="Y84" s="138" t="str">
        <f>C84&amp;"|"&amp;D84</f>
        <v>AR-00098|70000098</v>
      </c>
      <c r="Z84" s="138"/>
      <c r="AA84" s="138"/>
      <c r="AB84" s="138"/>
      <c r="AC84" s="138"/>
      <c r="AD84" s="138"/>
      <c r="AE84" s="138"/>
      <c r="AF84" s="138"/>
      <c r="AG84" s="138"/>
      <c r="AH84" s="138"/>
      <c r="AI84" s="138"/>
      <c r="AJ84" s="138"/>
      <c r="AK84" s="138"/>
      <c r="AL84" s="138"/>
      <c r="AM84" s="138"/>
      <c r="AN84" s="138"/>
      <c r="AO84" s="138"/>
    </row>
    <row r="85" spans="1:41">
      <c r="A85" s="138" t="inlineStr">
        <is>
          <t>Client Zeta (Building Tech)</t>
        </is>
      </c>
      <c r="B85" s="138" t="inlineStr">
        <is>
          <t>CLIENT ZETA BUILDING ENVELOPE SOLUTIONS</t>
        </is>
      </c>
      <c r="C85" s="138" t="inlineStr">
        <is>
          <t>AR-00097</t>
        </is>
      </c>
      <c r="D85" s="138" t="inlineStr">
        <is>
          <t>70000097</t>
        </is>
      </c>
      <c r="E85" s="141">
        <v>46262.0</v>
      </c>
      <c r="F85" s="141">
        <v>46322.0</v>
      </c>
      <c r="G85" s="142">
        <v>333943</v>
      </c>
      <c r="H85" s="142">
        <v>0</v>
      </c>
      <c r="I85" s="142">
        <v>333943</v>
      </c>
      <c r="J85" s="138" t="inlineStr">
        <is>
          <t>Sales Rep 5</t>
        </is>
      </c>
      <c r="K85" s="138" t="inlineStr">
        <is>
          <t>Trading</t>
        </is>
      </c>
      <c r="L85" s="138"/>
      <c r="M85" s="138" t="inlineStr">
        <is>
          <t>Collection note 023</t>
        </is>
      </c>
      <c r="N85" s="143"/>
      <c r="O85" s="143"/>
      <c r="P85" s="144"/>
      <c r="Q85" s="138">
        <f>IF(ISNUMBER(F85),$D$3-F85,"")</f>
        <v>-38.0</v>
      </c>
      <c r="R85" s="138">
        <f>IF(AND(OR(Dashboard!$P$1="All",A85=Dashboard!$P$1),OR(Dashboard!$P$2="All",J85=Dashboard!$P$2)),1,0)</f>
        <v>1</v>
      </c>
      <c r="S85" s="138">
        <f>I85*R85</f>
        <v>333943</v>
      </c>
      <c r="T85" s="138">
        <f>IF(AND(ISNUMBER(Q85),Q85&gt;0),S85,0)</f>
        <v>0</v>
      </c>
      <c r="U85" s="138">
        <f>IF(OR(Dashboard!$P$3="All",AND(Dashboard!$P$3="Not due",Q85&lt;0),AND(Dashboard!$P$3="Due in 10 days",Q85&gt;=-10,Q85&lt;=0),AND(Dashboard!$P$3="Due in 30 days",Q85&gt;=-30,Q85&lt;=0),AND(Dashboard!$P$3="Overdue 1–60 days",Q85&gt;0,Q85&lt;=60),AND(Dashboard!$P$3="Over 60 days",Q85&gt;60),AND(Dashboard!$P$3="All overdue",Q85&gt;0)),1,0)</f>
        <v>1</v>
      </c>
      <c r="V85" s="138">
        <f>S85*U85</f>
        <v>333943</v>
      </c>
      <c r="W85" s="138">
        <f>IF(Q85&gt;0,T85*Q85,0)</f>
        <v>0</v>
      </c>
      <c r="X85" s="138">
        <f>IF(V85&gt;0,COUNTIF($V$6:V85,"&gt;0"),"")</f>
        <v>80</v>
      </c>
      <c r="Y85" s="138" t="str">
        <f>C85&amp;"|"&amp;D85</f>
        <v>AR-00097|70000097</v>
      </c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  <c r="AK85" s="138"/>
      <c r="AL85" s="138"/>
      <c r="AM85" s="138"/>
      <c r="AN85" s="138"/>
      <c r="AO85" s="138"/>
    </row>
    <row r="86" spans="1:4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  <c r="AB86" s="138"/>
      <c r="AC86" s="138"/>
      <c r="AD86" s="138"/>
      <c r="AE86" s="138"/>
      <c r="AF86" s="138"/>
      <c r="AG86" s="138"/>
      <c r="AH86" s="138"/>
      <c r="AI86" s="138"/>
      <c r="AJ86" s="138"/>
      <c r="AK86" s="138"/>
      <c r="AL86" s="138"/>
      <c r="AM86" s="138"/>
      <c r="AN86" s="138"/>
      <c r="AO86" s="138"/>
    </row>
    <row r="87" spans="1:4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138"/>
      <c r="AG87" s="138"/>
      <c r="AH87" s="138"/>
      <c r="AI87" s="138"/>
      <c r="AJ87" s="138"/>
      <c r="AK87" s="138"/>
      <c r="AL87" s="138"/>
      <c r="AM87" s="138"/>
      <c r="AN87" s="138"/>
      <c r="AO87" s="138"/>
    </row>
    <row r="88" spans="1:4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  <c r="AE88" s="138"/>
      <c r="AF88" s="138"/>
      <c r="AG88" s="138"/>
      <c r="AH88" s="138"/>
      <c r="AI88" s="138"/>
      <c r="AJ88" s="138"/>
      <c r="AK88" s="138"/>
      <c r="AL88" s="138"/>
      <c r="AM88" s="138"/>
      <c r="AN88" s="138"/>
      <c r="AO88" s="138"/>
    </row>
    <row r="89" spans="1:4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  <c r="AB89" s="138"/>
      <c r="AC89" s="138"/>
      <c r="AD89" s="138"/>
      <c r="AE89" s="138"/>
      <c r="AF89" s="138"/>
      <c r="AG89" s="138"/>
      <c r="AH89" s="138"/>
      <c r="AI89" s="138"/>
      <c r="AJ89" s="138"/>
      <c r="AK89" s="138"/>
      <c r="AL89" s="138"/>
      <c r="AM89" s="138"/>
      <c r="AN89" s="138"/>
      <c r="AO89" s="138"/>
    </row>
    <row r="90" spans="1:4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  <c r="AI90" s="138"/>
      <c r="AJ90" s="138"/>
      <c r="AK90" s="138"/>
      <c r="AL90" s="138"/>
      <c r="AM90" s="138"/>
      <c r="AN90" s="138"/>
      <c r="AO90" s="138"/>
    </row>
    <row r="91" spans="1:4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  <c r="AC91" s="138"/>
      <c r="AD91" s="138"/>
      <c r="AE91" s="138"/>
      <c r="AF91" s="138"/>
      <c r="AG91" s="138"/>
      <c r="AH91" s="138"/>
      <c r="AI91" s="138"/>
      <c r="AJ91" s="138"/>
      <c r="AK91" s="138"/>
      <c r="AL91" s="138"/>
      <c r="AM91" s="138"/>
      <c r="AN91" s="138"/>
      <c r="AO91" s="138"/>
    </row>
    <row r="92" spans="1:4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  <c r="AB92" s="138"/>
      <c r="AC92" s="138"/>
      <c r="AD92" s="138"/>
      <c r="AE92" s="138"/>
      <c r="AF92" s="138"/>
      <c r="AG92" s="138"/>
      <c r="AH92" s="138"/>
      <c r="AI92" s="138"/>
      <c r="AJ92" s="138"/>
      <c r="AK92" s="138"/>
      <c r="AL92" s="138"/>
      <c r="AM92" s="138"/>
      <c r="AN92" s="138"/>
      <c r="AO92" s="138"/>
    </row>
    <row r="93" spans="1:4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  <c r="AB93" s="138"/>
      <c r="AC93" s="138"/>
      <c r="AD93" s="138"/>
      <c r="AE93" s="138"/>
      <c r="AF93" s="138"/>
      <c r="AG93" s="138"/>
      <c r="AH93" s="138"/>
      <c r="AI93" s="138"/>
      <c r="AJ93" s="138"/>
      <c r="AK93" s="138"/>
      <c r="AL93" s="138"/>
      <c r="AM93" s="138"/>
      <c r="AN93" s="138"/>
      <c r="AO93" s="138"/>
    </row>
    <row r="94" spans="1:4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  <c r="AB94" s="138"/>
      <c r="AC94" s="138"/>
      <c r="AD94" s="138"/>
      <c r="AE94" s="138"/>
      <c r="AF94" s="138"/>
      <c r="AG94" s="138"/>
      <c r="AH94" s="138"/>
      <c r="AI94" s="138"/>
      <c r="AJ94" s="138"/>
      <c r="AK94" s="138"/>
      <c r="AL94" s="138"/>
      <c r="AM94" s="138"/>
      <c r="AN94" s="138"/>
      <c r="AO94" s="138"/>
    </row>
    <row r="95" spans="1:4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  <c r="AB95" s="138"/>
      <c r="AC95" s="138"/>
      <c r="AD95" s="138"/>
      <c r="AE95" s="138"/>
      <c r="AF95" s="138"/>
      <c r="AG95" s="138"/>
      <c r="AH95" s="138"/>
      <c r="AI95" s="138"/>
      <c r="AJ95" s="138"/>
      <c r="AK95" s="138"/>
      <c r="AL95" s="138"/>
      <c r="AM95" s="138"/>
      <c r="AN95" s="138"/>
      <c r="AO95" s="138"/>
    </row>
    <row r="96" spans="1:4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  <c r="AB96" s="138"/>
      <c r="AC96" s="138"/>
      <c r="AD96" s="138"/>
      <c r="AE96" s="138"/>
      <c r="AF96" s="138"/>
      <c r="AG96" s="138"/>
      <c r="AH96" s="138"/>
      <c r="AI96" s="138"/>
      <c r="AJ96" s="138"/>
      <c r="AK96" s="138"/>
      <c r="AL96" s="138"/>
      <c r="AM96" s="138"/>
      <c r="AN96" s="138"/>
      <c r="AO96" s="138"/>
    </row>
    <row r="97" spans="1:4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  <c r="AB97" s="138"/>
      <c r="AC97" s="138"/>
      <c r="AD97" s="138"/>
      <c r="AE97" s="138"/>
      <c r="AF97" s="138"/>
      <c r="AG97" s="138"/>
      <c r="AH97" s="138"/>
      <c r="AI97" s="138"/>
      <c r="AJ97" s="138"/>
      <c r="AK97" s="138"/>
      <c r="AL97" s="138"/>
      <c r="AM97" s="138"/>
      <c r="AN97" s="138"/>
      <c r="AO97" s="138"/>
    </row>
    <row r="98" spans="1:4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  <c r="AB98" s="138"/>
      <c r="AC98" s="138"/>
      <c r="AD98" s="138"/>
      <c r="AE98" s="138"/>
      <c r="AF98" s="138"/>
      <c r="AG98" s="138"/>
      <c r="AH98" s="138"/>
      <c r="AI98" s="138"/>
      <c r="AJ98" s="138"/>
      <c r="AK98" s="138"/>
      <c r="AL98" s="138"/>
      <c r="AM98" s="138"/>
      <c r="AN98" s="138"/>
      <c r="AO98" s="138"/>
    </row>
    <row r="99" spans="1:4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  <c r="AB99" s="138"/>
      <c r="AC99" s="138"/>
      <c r="AD99" s="138"/>
      <c r="AE99" s="138"/>
      <c r="AF99" s="138"/>
      <c r="AG99" s="138"/>
      <c r="AH99" s="138"/>
      <c r="AI99" s="138"/>
      <c r="AJ99" s="138"/>
      <c r="AK99" s="138"/>
      <c r="AL99" s="138"/>
      <c r="AM99" s="138"/>
      <c r="AN99" s="138"/>
      <c r="AO99" s="138"/>
    </row>
    <row r="100" spans="1:4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  <c r="AB100" s="138"/>
      <c r="AC100" s="138"/>
      <c r="AD100" s="138"/>
      <c r="AE100" s="138"/>
      <c r="AF100" s="138"/>
      <c r="AG100" s="138"/>
      <c r="AH100" s="138"/>
      <c r="AI100" s="138"/>
      <c r="AJ100" s="138"/>
      <c r="AK100" s="138"/>
      <c r="AL100" s="138"/>
      <c r="AM100" s="138"/>
      <c r="AN100" s="138"/>
      <c r="AO100" s="138"/>
    </row>
    <row r="101" spans="1:4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  <c r="AE101" s="138"/>
      <c r="AF101" s="138"/>
      <c r="AG101" s="138"/>
      <c r="AH101" s="138"/>
      <c r="AI101" s="138"/>
      <c r="AJ101" s="138"/>
      <c r="AK101" s="138"/>
      <c r="AL101" s="138"/>
      <c r="AM101" s="138"/>
      <c r="AN101" s="138"/>
      <c r="AO101" s="138"/>
    </row>
    <row r="102" spans="1:4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  <c r="AB102" s="138"/>
      <c r="AC102" s="138"/>
      <c r="AD102" s="138"/>
      <c r="AE102" s="138"/>
      <c r="AF102" s="138"/>
      <c r="AG102" s="138"/>
      <c r="AH102" s="138"/>
      <c r="AI102" s="138"/>
      <c r="AJ102" s="138"/>
      <c r="AK102" s="138"/>
      <c r="AL102" s="138"/>
      <c r="AM102" s="138"/>
      <c r="AN102" s="138"/>
      <c r="AO102" s="138"/>
    </row>
    <row r="103" spans="1:4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  <c r="AB103" s="138"/>
      <c r="AC103" s="138"/>
      <c r="AD103" s="138"/>
      <c r="AE103" s="138"/>
      <c r="AF103" s="138"/>
      <c r="AG103" s="138"/>
      <c r="AH103" s="138"/>
      <c r="AI103" s="138"/>
      <c r="AJ103" s="138"/>
      <c r="AK103" s="138"/>
      <c r="AL103" s="138"/>
      <c r="AM103" s="138"/>
      <c r="AN103" s="138"/>
      <c r="AO103" s="138"/>
    </row>
    <row r="104" spans="1:4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  <c r="AB104" s="138"/>
      <c r="AC104" s="138"/>
      <c r="AD104" s="138"/>
      <c r="AE104" s="138"/>
      <c r="AF104" s="138"/>
      <c r="AG104" s="138"/>
      <c r="AH104" s="138"/>
      <c r="AI104" s="138"/>
      <c r="AJ104" s="138"/>
      <c r="AK104" s="138"/>
      <c r="AL104" s="138"/>
      <c r="AM104" s="138"/>
      <c r="AN104" s="138"/>
      <c r="AO104" s="138"/>
    </row>
    <row r="105" spans="1:4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  <c r="AB105" s="138"/>
      <c r="AC105" s="138"/>
      <c r="AD105" s="138"/>
      <c r="AE105" s="138"/>
      <c r="AF105" s="138"/>
      <c r="AG105" s="138"/>
      <c r="AH105" s="138"/>
      <c r="AI105" s="138"/>
      <c r="AJ105" s="138"/>
      <c r="AK105" s="138"/>
      <c r="AL105" s="138"/>
      <c r="AM105" s="138"/>
      <c r="AN105" s="138"/>
      <c r="AO105" s="138"/>
    </row>
    <row r="106" spans="1:4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  <c r="AB106" s="138"/>
      <c r="AC106" s="138"/>
      <c r="AD106" s="138"/>
      <c r="AE106" s="138"/>
      <c r="AF106" s="138"/>
      <c r="AG106" s="138"/>
      <c r="AH106" s="138"/>
      <c r="AI106" s="138"/>
      <c r="AJ106" s="138"/>
      <c r="AK106" s="138"/>
      <c r="AL106" s="138"/>
      <c r="AM106" s="138"/>
      <c r="AN106" s="138"/>
      <c r="AO106" s="138"/>
    </row>
    <row r="107" spans="1:4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  <c r="AB107" s="138"/>
      <c r="AC107" s="138"/>
      <c r="AD107" s="138"/>
      <c r="AE107" s="138"/>
      <c r="AF107" s="138"/>
      <c r="AG107" s="138"/>
      <c r="AH107" s="138"/>
      <c r="AI107" s="138"/>
      <c r="AJ107" s="138"/>
      <c r="AK107" s="138"/>
      <c r="AL107" s="138"/>
      <c r="AM107" s="138"/>
      <c r="AN107" s="138"/>
      <c r="AO107" s="138"/>
    </row>
    <row r="108" spans="1:4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  <c r="AB108" s="138"/>
      <c r="AC108" s="138"/>
      <c r="AD108" s="138"/>
      <c r="AE108" s="138"/>
      <c r="AF108" s="138"/>
      <c r="AG108" s="138"/>
      <c r="AH108" s="138"/>
      <c r="AI108" s="138"/>
      <c r="AJ108" s="138"/>
      <c r="AK108" s="138"/>
      <c r="AL108" s="138"/>
      <c r="AM108" s="138"/>
      <c r="AN108" s="138"/>
      <c r="AO108" s="138"/>
    </row>
    <row r="109" spans="1:4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  <c r="AB109" s="138"/>
      <c r="AC109" s="138"/>
      <c r="AD109" s="138"/>
      <c r="AE109" s="138"/>
      <c r="AF109" s="138"/>
      <c r="AG109" s="138"/>
      <c r="AH109" s="138"/>
      <c r="AI109" s="138"/>
      <c r="AJ109" s="138"/>
      <c r="AK109" s="138"/>
      <c r="AL109" s="138"/>
      <c r="AM109" s="138"/>
      <c r="AN109" s="138"/>
      <c r="AO109" s="138"/>
    </row>
    <row r="110" spans="1:4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  <c r="AB110" s="138"/>
      <c r="AC110" s="138"/>
      <c r="AD110" s="138"/>
      <c r="AE110" s="138"/>
      <c r="AF110" s="138"/>
      <c r="AG110" s="138"/>
      <c r="AH110" s="138"/>
      <c r="AI110" s="138"/>
      <c r="AJ110" s="138"/>
      <c r="AK110" s="138"/>
      <c r="AL110" s="138"/>
      <c r="AM110" s="138"/>
      <c r="AN110" s="138"/>
      <c r="AO110" s="138"/>
    </row>
    <row r="111" spans="1:4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  <c r="AB111" s="138"/>
      <c r="AC111" s="138"/>
      <c r="AD111" s="138"/>
      <c r="AE111" s="138"/>
      <c r="AF111" s="138"/>
      <c r="AG111" s="138"/>
      <c r="AH111" s="138"/>
      <c r="AI111" s="138"/>
      <c r="AJ111" s="138"/>
      <c r="AK111" s="138"/>
      <c r="AL111" s="138"/>
      <c r="AM111" s="138"/>
      <c r="AN111" s="138"/>
      <c r="AO111" s="138"/>
    </row>
    <row r="112" spans="1:4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  <c r="AB112" s="138"/>
      <c r="AC112" s="138"/>
      <c r="AD112" s="138"/>
      <c r="AE112" s="138"/>
      <c r="AF112" s="138"/>
      <c r="AG112" s="138"/>
      <c r="AH112" s="138"/>
      <c r="AI112" s="138"/>
      <c r="AJ112" s="138"/>
      <c r="AK112" s="138"/>
      <c r="AL112" s="138"/>
      <c r="AM112" s="138"/>
      <c r="AN112" s="138"/>
      <c r="AO112" s="138"/>
    </row>
    <row r="113" spans="1:4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  <c r="AB113" s="138"/>
      <c r="AC113" s="138"/>
      <c r="AD113" s="138"/>
      <c r="AE113" s="138"/>
      <c r="AF113" s="138"/>
      <c r="AG113" s="138"/>
      <c r="AH113" s="138"/>
      <c r="AI113" s="138"/>
      <c r="AJ113" s="138"/>
      <c r="AK113" s="138"/>
      <c r="AL113" s="138"/>
      <c r="AM113" s="138"/>
      <c r="AN113" s="138"/>
      <c r="AO113" s="138"/>
    </row>
    <row r="114" spans="1:4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  <c r="AB114" s="138"/>
      <c r="AC114" s="138"/>
      <c r="AD114" s="138"/>
      <c r="AE114" s="138"/>
      <c r="AF114" s="138"/>
      <c r="AG114" s="138"/>
      <c r="AH114" s="138"/>
      <c r="AI114" s="138"/>
      <c r="AJ114" s="138"/>
      <c r="AK114" s="138"/>
      <c r="AL114" s="138"/>
      <c r="AM114" s="138"/>
      <c r="AN114" s="138"/>
      <c r="AO114" s="138"/>
    </row>
    <row r="115" spans="1:4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  <c r="AD115" s="138"/>
      <c r="AE115" s="138"/>
      <c r="AF115" s="138"/>
      <c r="AG115" s="138"/>
      <c r="AH115" s="138"/>
      <c r="AI115" s="138"/>
      <c r="AJ115" s="138"/>
      <c r="AK115" s="138"/>
      <c r="AL115" s="138"/>
      <c r="AM115" s="138"/>
      <c r="AN115" s="138"/>
      <c r="AO115" s="138"/>
    </row>
    <row r="116" spans="1:4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  <c r="AB116" s="138"/>
      <c r="AC116" s="138"/>
      <c r="AD116" s="138"/>
      <c r="AE116" s="138"/>
      <c r="AF116" s="138"/>
      <c r="AG116" s="138"/>
      <c r="AH116" s="138"/>
      <c r="AI116" s="138"/>
      <c r="AJ116" s="138"/>
      <c r="AK116" s="138"/>
      <c r="AL116" s="138"/>
      <c r="AM116" s="138"/>
      <c r="AN116" s="138"/>
      <c r="AO116" s="138"/>
    </row>
    <row r="117" spans="1:4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  <c r="AG117" s="138"/>
      <c r="AH117" s="138"/>
      <c r="AI117" s="138"/>
      <c r="AJ117" s="138"/>
      <c r="AK117" s="138"/>
      <c r="AL117" s="138"/>
      <c r="AM117" s="138"/>
      <c r="AN117" s="138"/>
      <c r="AO117" s="138"/>
    </row>
    <row r="118" spans="1:4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  <c r="AB118" s="138"/>
      <c r="AC118" s="138"/>
      <c r="AD118" s="138"/>
      <c r="AE118" s="138"/>
      <c r="AF118" s="138"/>
      <c r="AG118" s="138"/>
      <c r="AH118" s="138"/>
      <c r="AI118" s="138"/>
      <c r="AJ118" s="138"/>
      <c r="AK118" s="138"/>
      <c r="AL118" s="138"/>
      <c r="AM118" s="138"/>
      <c r="AN118" s="138"/>
      <c r="AO118" s="138"/>
    </row>
    <row r="119" spans="1:4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  <c r="AD119" s="138"/>
      <c r="AE119" s="138"/>
      <c r="AF119" s="138"/>
      <c r="AG119" s="138"/>
      <c r="AH119" s="138"/>
      <c r="AI119" s="138"/>
      <c r="AJ119" s="138"/>
      <c r="AK119" s="138"/>
      <c r="AL119" s="138"/>
      <c r="AM119" s="138"/>
      <c r="AN119" s="138"/>
      <c r="AO119" s="138"/>
    </row>
    <row r="120" spans="1:4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  <c r="AC120" s="138"/>
      <c r="AD120" s="138"/>
      <c r="AE120" s="138"/>
      <c r="AF120" s="138"/>
      <c r="AG120" s="138"/>
      <c r="AH120" s="138"/>
      <c r="AI120" s="138"/>
      <c r="AJ120" s="138"/>
      <c r="AK120" s="138"/>
      <c r="AL120" s="138"/>
      <c r="AM120" s="138"/>
      <c r="AN120" s="138"/>
      <c r="AO120" s="138"/>
    </row>
    <row r="121" spans="1:4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  <c r="AB121" s="138"/>
      <c r="AC121" s="138"/>
      <c r="AD121" s="138"/>
      <c r="AE121" s="138"/>
      <c r="AF121" s="138"/>
      <c r="AG121" s="138"/>
      <c r="AH121" s="138"/>
      <c r="AI121" s="138"/>
      <c r="AJ121" s="138"/>
      <c r="AK121" s="138"/>
      <c r="AL121" s="138"/>
      <c r="AM121" s="138"/>
      <c r="AN121" s="138"/>
      <c r="AO121" s="138"/>
    </row>
    <row r="122" spans="1:4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  <c r="AB122" s="138"/>
      <c r="AC122" s="138"/>
      <c r="AD122" s="138"/>
      <c r="AE122" s="138"/>
      <c r="AF122" s="138"/>
      <c r="AG122" s="138"/>
      <c r="AH122" s="138"/>
      <c r="AI122" s="138"/>
      <c r="AJ122" s="138"/>
      <c r="AK122" s="138"/>
      <c r="AL122" s="138"/>
      <c r="AM122" s="138"/>
      <c r="AN122" s="138"/>
      <c r="AO122" s="138"/>
    </row>
    <row r="123" spans="1:4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  <c r="AC123" s="138"/>
      <c r="AD123" s="138"/>
      <c r="AE123" s="138"/>
      <c r="AF123" s="138"/>
      <c r="AG123" s="138"/>
      <c r="AH123" s="138"/>
      <c r="AI123" s="138"/>
      <c r="AJ123" s="138"/>
      <c r="AK123" s="138"/>
      <c r="AL123" s="138"/>
      <c r="AM123" s="138"/>
      <c r="AN123" s="138"/>
      <c r="AO123" s="138"/>
    </row>
    <row r="124" spans="1:4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  <c r="AC124" s="138"/>
      <c r="AD124" s="138"/>
      <c r="AE124" s="138"/>
      <c r="AF124" s="138"/>
      <c r="AG124" s="138"/>
      <c r="AH124" s="138"/>
      <c r="AI124" s="138"/>
      <c r="AJ124" s="138"/>
      <c r="AK124" s="138"/>
      <c r="AL124" s="138"/>
      <c r="AM124" s="138"/>
      <c r="AN124" s="138"/>
      <c r="AO124" s="138"/>
    </row>
    <row r="125" spans="1:4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38"/>
      <c r="AD125" s="138"/>
      <c r="AE125" s="138"/>
      <c r="AF125" s="138"/>
      <c r="AG125" s="138"/>
      <c r="AH125" s="138"/>
      <c r="AI125" s="138"/>
      <c r="AJ125" s="138"/>
      <c r="AK125" s="138"/>
      <c r="AL125" s="138"/>
      <c r="AM125" s="138"/>
      <c r="AN125" s="138"/>
      <c r="AO125" s="138"/>
    </row>
    <row r="126" spans="1:4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  <c r="AB126" s="138"/>
      <c r="AC126" s="138"/>
      <c r="AD126" s="138"/>
      <c r="AE126" s="138"/>
      <c r="AF126" s="138"/>
      <c r="AG126" s="138"/>
      <c r="AH126" s="138"/>
      <c r="AI126" s="138"/>
      <c r="AJ126" s="138"/>
      <c r="AK126" s="138"/>
      <c r="AL126" s="138"/>
      <c r="AM126" s="138"/>
      <c r="AN126" s="138"/>
      <c r="AO126" s="138"/>
    </row>
    <row r="127" spans="1:4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  <c r="AB127" s="138"/>
      <c r="AC127" s="138"/>
      <c r="AD127" s="138"/>
      <c r="AE127" s="138"/>
      <c r="AF127" s="138"/>
      <c r="AG127" s="138"/>
      <c r="AH127" s="138"/>
      <c r="AI127" s="138"/>
      <c r="AJ127" s="138"/>
      <c r="AK127" s="138"/>
      <c r="AL127" s="138"/>
      <c r="AM127" s="138"/>
      <c r="AN127" s="138"/>
      <c r="AO127" s="138"/>
    </row>
    <row r="128" spans="1:4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38"/>
      <c r="AD128" s="138"/>
      <c r="AE128" s="138"/>
      <c r="AF128" s="138"/>
      <c r="AG128" s="138"/>
      <c r="AH128" s="138"/>
      <c r="AI128" s="138"/>
      <c r="AJ128" s="138"/>
      <c r="AK128" s="138"/>
      <c r="AL128" s="138"/>
      <c r="AM128" s="138"/>
      <c r="AN128" s="138"/>
      <c r="AO128" s="138"/>
    </row>
    <row r="129" spans="1:4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  <c r="AB129" s="138"/>
      <c r="AC129" s="138"/>
      <c r="AD129" s="138"/>
      <c r="AE129" s="138"/>
      <c r="AF129" s="138"/>
      <c r="AG129" s="138"/>
      <c r="AH129" s="138"/>
      <c r="AI129" s="138"/>
      <c r="AJ129" s="138"/>
      <c r="AK129" s="138"/>
      <c r="AL129" s="138"/>
      <c r="AM129" s="138"/>
      <c r="AN129" s="138"/>
      <c r="AO129" s="138"/>
    </row>
    <row r="130" spans="1:4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  <c r="AB130" s="138"/>
      <c r="AC130" s="138"/>
      <c r="AD130" s="138"/>
      <c r="AE130" s="138"/>
      <c r="AF130" s="138"/>
      <c r="AG130" s="138"/>
      <c r="AH130" s="138"/>
      <c r="AI130" s="138"/>
      <c r="AJ130" s="138"/>
      <c r="AK130" s="138"/>
      <c r="AL130" s="138"/>
      <c r="AM130" s="138"/>
      <c r="AN130" s="138"/>
      <c r="AO130" s="138"/>
    </row>
    <row r="131" spans="1:4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  <c r="AB131" s="138"/>
      <c r="AC131" s="138"/>
      <c r="AD131" s="138"/>
      <c r="AE131" s="138"/>
      <c r="AF131" s="138"/>
      <c r="AG131" s="138"/>
      <c r="AH131" s="138"/>
      <c r="AI131" s="138"/>
      <c r="AJ131" s="138"/>
      <c r="AK131" s="138"/>
      <c r="AL131" s="138"/>
      <c r="AM131" s="138"/>
      <c r="AN131" s="138"/>
      <c r="AO131" s="138"/>
    </row>
    <row r="132" spans="1:4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  <c r="AC132" s="138"/>
      <c r="AD132" s="138"/>
      <c r="AE132" s="138"/>
      <c r="AF132" s="138"/>
      <c r="AG132" s="138"/>
      <c r="AH132" s="138"/>
      <c r="AI132" s="138"/>
      <c r="AJ132" s="138"/>
      <c r="AK132" s="138"/>
      <c r="AL132" s="138"/>
      <c r="AM132" s="138"/>
      <c r="AN132" s="138"/>
      <c r="AO132" s="138"/>
    </row>
    <row r="133" spans="1:4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  <c r="AB133" s="138"/>
      <c r="AC133" s="138"/>
      <c r="AD133" s="138"/>
      <c r="AE133" s="138"/>
      <c r="AF133" s="138"/>
      <c r="AG133" s="138"/>
      <c r="AH133" s="138"/>
      <c r="AI133" s="138"/>
      <c r="AJ133" s="138"/>
      <c r="AK133" s="138"/>
      <c r="AL133" s="138"/>
      <c r="AM133" s="138"/>
      <c r="AN133" s="138"/>
      <c r="AO133" s="138"/>
    </row>
    <row r="134" spans="1:4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  <c r="AB134" s="138"/>
      <c r="AC134" s="138"/>
      <c r="AD134" s="138"/>
      <c r="AE134" s="138"/>
      <c r="AF134" s="138"/>
      <c r="AG134" s="138"/>
      <c r="AH134" s="138"/>
      <c r="AI134" s="138"/>
      <c r="AJ134" s="138"/>
      <c r="AK134" s="138"/>
      <c r="AL134" s="138"/>
      <c r="AM134" s="138"/>
      <c r="AN134" s="138"/>
      <c r="AO134" s="138"/>
    </row>
    <row r="135" spans="1:4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  <c r="AB135" s="138"/>
      <c r="AC135" s="138"/>
      <c r="AD135" s="138"/>
      <c r="AE135" s="138"/>
      <c r="AF135" s="138"/>
      <c r="AG135" s="138"/>
      <c r="AH135" s="138"/>
      <c r="AI135" s="138"/>
      <c r="AJ135" s="138"/>
      <c r="AK135" s="138"/>
      <c r="AL135" s="138"/>
      <c r="AM135" s="138"/>
      <c r="AN135" s="138"/>
      <c r="AO135" s="138"/>
    </row>
    <row r="136" spans="1:4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  <c r="AB136" s="138"/>
      <c r="AC136" s="138"/>
      <c r="AD136" s="138"/>
      <c r="AE136" s="138"/>
      <c r="AF136" s="138"/>
      <c r="AG136" s="138"/>
      <c r="AH136" s="138"/>
      <c r="AI136" s="138"/>
      <c r="AJ136" s="138"/>
      <c r="AK136" s="138"/>
      <c r="AL136" s="138"/>
      <c r="AM136" s="138"/>
      <c r="AN136" s="138"/>
      <c r="AO136" s="138"/>
    </row>
    <row r="137" spans="1:4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  <c r="AB137" s="138"/>
      <c r="AC137" s="138"/>
      <c r="AD137" s="138"/>
      <c r="AE137" s="138"/>
      <c r="AF137" s="138"/>
      <c r="AG137" s="138"/>
      <c r="AH137" s="138"/>
      <c r="AI137" s="138"/>
      <c r="AJ137" s="138"/>
      <c r="AK137" s="138"/>
      <c r="AL137" s="138"/>
      <c r="AM137" s="138"/>
      <c r="AN137" s="138"/>
      <c r="AO137" s="138"/>
    </row>
    <row r="138" spans="1:4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  <c r="AB138" s="138"/>
      <c r="AC138" s="138"/>
      <c r="AD138" s="138"/>
      <c r="AE138" s="138"/>
      <c r="AF138" s="138"/>
      <c r="AG138" s="138"/>
      <c r="AH138" s="138"/>
      <c r="AI138" s="138"/>
      <c r="AJ138" s="138"/>
      <c r="AK138" s="138"/>
      <c r="AL138" s="138"/>
      <c r="AM138" s="138"/>
      <c r="AN138" s="138"/>
      <c r="AO138" s="138"/>
    </row>
    <row r="139" spans="1:4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  <c r="AB139" s="138"/>
      <c r="AC139" s="138"/>
      <c r="AD139" s="138"/>
      <c r="AE139" s="138"/>
      <c r="AF139" s="138"/>
      <c r="AG139" s="138"/>
      <c r="AH139" s="138"/>
      <c r="AI139" s="138"/>
      <c r="AJ139" s="138"/>
      <c r="AK139" s="138"/>
      <c r="AL139" s="138"/>
      <c r="AM139" s="138"/>
      <c r="AN139" s="138"/>
      <c r="AO139" s="138"/>
    </row>
    <row r="140" spans="1:4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  <c r="AB140" s="138"/>
      <c r="AC140" s="138"/>
      <c r="AD140" s="138"/>
      <c r="AE140" s="138"/>
      <c r="AF140" s="138"/>
      <c r="AG140" s="138"/>
      <c r="AH140" s="138"/>
      <c r="AI140" s="138"/>
      <c r="AJ140" s="138"/>
      <c r="AK140" s="138"/>
      <c r="AL140" s="138"/>
      <c r="AM140" s="138"/>
      <c r="AN140" s="138"/>
      <c r="AO140" s="138"/>
    </row>
    <row r="141" spans="1:4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  <c r="AC141" s="138"/>
      <c r="AD141" s="138"/>
      <c r="AE141" s="138"/>
      <c r="AF141" s="138"/>
      <c r="AG141" s="138"/>
      <c r="AH141" s="138"/>
      <c r="AI141" s="138"/>
      <c r="AJ141" s="138"/>
      <c r="AK141" s="138"/>
      <c r="AL141" s="138"/>
      <c r="AM141" s="138"/>
      <c r="AN141" s="138"/>
      <c r="AO141" s="138"/>
    </row>
    <row r="142" spans="1:4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  <c r="AB142" s="138"/>
      <c r="AC142" s="138"/>
      <c r="AD142" s="138"/>
      <c r="AE142" s="138"/>
      <c r="AF142" s="138"/>
      <c r="AG142" s="138"/>
      <c r="AH142" s="138"/>
      <c r="AI142" s="138"/>
      <c r="AJ142" s="138"/>
      <c r="AK142" s="138"/>
      <c r="AL142" s="138"/>
      <c r="AM142" s="138"/>
      <c r="AN142" s="138"/>
      <c r="AO142" s="138"/>
    </row>
    <row r="143" spans="1:4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  <c r="AB143" s="138"/>
      <c r="AC143" s="138"/>
      <c r="AD143" s="138"/>
      <c r="AE143" s="138"/>
      <c r="AF143" s="138"/>
      <c r="AG143" s="138"/>
      <c r="AH143" s="138"/>
      <c r="AI143" s="138"/>
      <c r="AJ143" s="138"/>
      <c r="AK143" s="138"/>
      <c r="AL143" s="138"/>
      <c r="AM143" s="138"/>
      <c r="AN143" s="138"/>
      <c r="AO143" s="138"/>
    </row>
    <row r="144" spans="1:4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  <c r="AB144" s="138"/>
      <c r="AC144" s="138"/>
      <c r="AD144" s="138"/>
      <c r="AE144" s="138"/>
      <c r="AF144" s="138"/>
      <c r="AG144" s="138"/>
      <c r="AH144" s="138"/>
      <c r="AI144" s="138"/>
      <c r="AJ144" s="138"/>
      <c r="AK144" s="138"/>
      <c r="AL144" s="138"/>
      <c r="AM144" s="138"/>
      <c r="AN144" s="138"/>
      <c r="AO144" s="138"/>
    </row>
    <row r="145" spans="1:4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  <c r="AB145" s="138"/>
      <c r="AC145" s="138"/>
      <c r="AD145" s="138"/>
      <c r="AE145" s="138"/>
      <c r="AF145" s="138"/>
      <c r="AG145" s="138"/>
      <c r="AH145" s="138"/>
      <c r="AI145" s="138"/>
      <c r="AJ145" s="138"/>
      <c r="AK145" s="138"/>
      <c r="AL145" s="138"/>
      <c r="AM145" s="138"/>
      <c r="AN145" s="138"/>
      <c r="AO145" s="138"/>
    </row>
    <row r="146" spans="1:4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  <c r="AB146" s="138"/>
      <c r="AC146" s="138"/>
      <c r="AD146" s="138"/>
      <c r="AE146" s="138"/>
      <c r="AF146" s="138"/>
      <c r="AG146" s="138"/>
      <c r="AH146" s="138"/>
      <c r="AI146" s="138"/>
      <c r="AJ146" s="138"/>
      <c r="AK146" s="138"/>
      <c r="AL146" s="138"/>
      <c r="AM146" s="138"/>
      <c r="AN146" s="138"/>
      <c r="AO146" s="138"/>
    </row>
    <row r="147" spans="1:4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  <c r="AB147" s="138"/>
      <c r="AC147" s="138"/>
      <c r="AD147" s="138"/>
      <c r="AE147" s="138"/>
      <c r="AF147" s="138"/>
      <c r="AG147" s="138"/>
      <c r="AH147" s="138"/>
      <c r="AI147" s="138"/>
      <c r="AJ147" s="138"/>
      <c r="AK147" s="138"/>
      <c r="AL147" s="138"/>
      <c r="AM147" s="138"/>
      <c r="AN147" s="138"/>
      <c r="AO147" s="138"/>
    </row>
    <row r="148" spans="1:4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  <c r="AC148" s="138"/>
      <c r="AD148" s="138"/>
      <c r="AE148" s="138"/>
      <c r="AF148" s="138"/>
      <c r="AG148" s="138"/>
      <c r="AH148" s="138"/>
      <c r="AI148" s="138"/>
      <c r="AJ148" s="138"/>
      <c r="AK148" s="138"/>
      <c r="AL148" s="138"/>
      <c r="AM148" s="138"/>
      <c r="AN148" s="138"/>
      <c r="AO148" s="138"/>
    </row>
    <row r="149" spans="1:4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/>
      <c r="AC149" s="138"/>
      <c r="AD149" s="138"/>
      <c r="AE149" s="138"/>
      <c r="AF149" s="138"/>
      <c r="AG149" s="138"/>
      <c r="AH149" s="138"/>
      <c r="AI149" s="138"/>
      <c r="AJ149" s="138"/>
      <c r="AK149" s="138"/>
      <c r="AL149" s="138"/>
      <c r="AM149" s="138"/>
      <c r="AN149" s="138"/>
      <c r="AO149" s="138"/>
    </row>
    <row r="150" spans="1:4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  <c r="AC150" s="138"/>
      <c r="AD150" s="138"/>
      <c r="AE150" s="138"/>
      <c r="AF150" s="138"/>
      <c r="AG150" s="138"/>
      <c r="AH150" s="138"/>
      <c r="AI150" s="138"/>
      <c r="AJ150" s="138"/>
      <c r="AK150" s="138"/>
      <c r="AL150" s="138"/>
      <c r="AM150" s="138"/>
      <c r="AN150" s="138"/>
      <c r="AO150" s="138"/>
    </row>
    <row r="151" spans="1:4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  <c r="AB151" s="138"/>
      <c r="AC151" s="138"/>
      <c r="AD151" s="138"/>
      <c r="AE151" s="138"/>
      <c r="AF151" s="138"/>
      <c r="AG151" s="138"/>
      <c r="AH151" s="138"/>
      <c r="AI151" s="138"/>
      <c r="AJ151" s="138"/>
      <c r="AK151" s="138"/>
      <c r="AL151" s="138"/>
      <c r="AM151" s="138"/>
      <c r="AN151" s="138"/>
      <c r="AO151" s="138"/>
    </row>
    <row r="152" spans="1:4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138"/>
      <c r="AD152" s="138"/>
      <c r="AE152" s="138"/>
      <c r="AF152" s="138"/>
      <c r="AG152" s="138"/>
      <c r="AH152" s="138"/>
      <c r="AI152" s="138"/>
      <c r="AJ152" s="138"/>
      <c r="AK152" s="138"/>
      <c r="AL152" s="138"/>
      <c r="AM152" s="138"/>
      <c r="AN152" s="138"/>
      <c r="AO152" s="138"/>
    </row>
    <row r="153" spans="1:4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  <c r="AB153" s="138"/>
      <c r="AC153" s="138"/>
      <c r="AD153" s="138"/>
      <c r="AE153" s="138"/>
      <c r="AF153" s="138"/>
      <c r="AG153" s="138"/>
      <c r="AH153" s="138"/>
      <c r="AI153" s="138"/>
      <c r="AJ153" s="138"/>
      <c r="AK153" s="138"/>
      <c r="AL153" s="138"/>
      <c r="AM153" s="138"/>
      <c r="AN153" s="138"/>
      <c r="AO153" s="138"/>
    </row>
    <row r="154" spans="1:4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  <c r="AE154" s="138"/>
      <c r="AF154" s="138"/>
      <c r="AG154" s="138"/>
      <c r="AH154" s="138"/>
      <c r="AI154" s="138"/>
      <c r="AJ154" s="138"/>
      <c r="AK154" s="138"/>
      <c r="AL154" s="138"/>
      <c r="AM154" s="138"/>
      <c r="AN154" s="138"/>
      <c r="AO154" s="138"/>
    </row>
    <row r="155" spans="1:4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  <c r="AB155" s="138"/>
      <c r="AC155" s="138"/>
      <c r="AD155" s="138"/>
      <c r="AE155" s="138"/>
      <c r="AF155" s="138"/>
      <c r="AG155" s="138"/>
      <c r="AH155" s="138"/>
      <c r="AI155" s="138"/>
      <c r="AJ155" s="138"/>
      <c r="AK155" s="138"/>
      <c r="AL155" s="138"/>
      <c r="AM155" s="138"/>
      <c r="AN155" s="138"/>
      <c r="AO155" s="138"/>
    </row>
    <row r="156" spans="1:4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  <c r="AB156" s="138"/>
      <c r="AC156" s="138"/>
      <c r="AD156" s="138"/>
      <c r="AE156" s="138"/>
      <c r="AF156" s="138"/>
      <c r="AG156" s="138"/>
      <c r="AH156" s="138"/>
      <c r="AI156" s="138"/>
      <c r="AJ156" s="138"/>
      <c r="AK156" s="138"/>
      <c r="AL156" s="138"/>
      <c r="AM156" s="138"/>
      <c r="AN156" s="138"/>
      <c r="AO156" s="138"/>
    </row>
    <row r="157" spans="1:4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  <c r="AB157" s="138"/>
      <c r="AC157" s="138"/>
      <c r="AD157" s="138"/>
      <c r="AE157" s="138"/>
      <c r="AF157" s="138"/>
      <c r="AG157" s="138"/>
      <c r="AH157" s="138"/>
      <c r="AI157" s="138"/>
      <c r="AJ157" s="138"/>
      <c r="AK157" s="138"/>
      <c r="AL157" s="138"/>
      <c r="AM157" s="138"/>
      <c r="AN157" s="138"/>
      <c r="AO157" s="138"/>
    </row>
    <row r="158" spans="1:4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  <c r="AC158" s="138"/>
      <c r="AD158" s="138"/>
      <c r="AE158" s="138"/>
      <c r="AF158" s="138"/>
      <c r="AG158" s="138"/>
      <c r="AH158" s="138"/>
      <c r="AI158" s="138"/>
      <c r="AJ158" s="138"/>
      <c r="AK158" s="138"/>
      <c r="AL158" s="138"/>
      <c r="AM158" s="138"/>
      <c r="AN158" s="138"/>
      <c r="AO158" s="138"/>
    </row>
    <row r="159" spans="1:4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  <c r="AB159" s="138"/>
      <c r="AC159" s="138"/>
      <c r="AD159" s="138"/>
      <c r="AE159" s="138"/>
      <c r="AF159" s="138"/>
      <c r="AG159" s="138"/>
      <c r="AH159" s="138"/>
      <c r="AI159" s="138"/>
      <c r="AJ159" s="138"/>
      <c r="AK159" s="138"/>
      <c r="AL159" s="138"/>
      <c r="AM159" s="138"/>
      <c r="AN159" s="138"/>
      <c r="AO159" s="138"/>
    </row>
    <row r="160" spans="1:4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138"/>
      <c r="AD160" s="138"/>
      <c r="AE160" s="138"/>
      <c r="AF160" s="138"/>
      <c r="AG160" s="138"/>
      <c r="AH160" s="138"/>
      <c r="AI160" s="138"/>
      <c r="AJ160" s="138"/>
      <c r="AK160" s="138"/>
      <c r="AL160" s="138"/>
      <c r="AM160" s="138"/>
      <c r="AN160" s="138"/>
      <c r="AO160" s="13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O160"/>
  <sheetViews>
    <sheetView showGridLines="0" workbookViewId="0">
      <pane ySplit="5" topLeftCell="A6" activePane="bottomLeft" state="frozen"/>
      <selection pane="bottomLeft" activeCell="E17" sqref="E17"/>
    </sheetView>
  </sheetViews>
  <sheetFormatPr defaultRowHeight="15"/>
  <cols>
    <col min="1" max="9" width="18" customWidth="1"/>
    <col min="10" max="10" width="42" customWidth="1"/>
  </cols>
  <sheetData>
    <row r="1" spans="1:41">
      <c r="A1" s="138" t="inlineStr">
        <is>
          <t>Collection follow-up for the selected customer, staff member and receivables status.</t>
        </is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</row>
    <row r="2" spans="1:41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</row>
    <row r="3" spans="1:41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</row>
    <row r="4" spans="1:41">
      <c r="A4" s="138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</row>
    <row r="5" spans="1:41" ht="30" customHeight="1">
      <c r="A5" s="139" t="inlineStr">
        <is>
          <t>KH</t>
        </is>
      </c>
      <c r="B5" s="139" t="inlineStr">
        <is>
          <t>Invoice</t>
        </is>
      </c>
      <c r="C5" s="139" t="inlineStr">
        <is>
          <t>Document</t>
        </is>
      </c>
      <c r="D5" s="139" t="inlineStr">
        <is>
          <t>Due Date</t>
        </is>
      </c>
      <c r="E5" s="139" t="inlineStr">
        <is>
          <t>Outstanding Balance</t>
        </is>
      </c>
      <c r="F5" s="139" t="inlineStr">
        <is>
          <t>Days Overdue</t>
        </is>
      </c>
      <c r="G5" s="139" t="inlineStr">
        <is>
          <t>Sales</t>
        </is>
      </c>
      <c r="H5" s="139" t="inlineStr">
        <is>
          <t>Promised Payment Date</t>
        </is>
      </c>
      <c r="I5" s="139" t="inlineStr">
        <is>
          <t>Last Contact</t>
        </is>
      </c>
      <c r="J5" s="139" t="inlineStr">
        <is>
          <t>Next Action</t>
        </is>
      </c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</row>
    <row r="6" spans="1:41">
      <c r="A6" s="138" t="str">
        <f>IFERROR(INDEX('Current AR'!A$6:A$103,MATCH(1,'Current AR'!X$6:X$103,0)),"")</f>
        <v>Client Beta (Heavy Const.)</v>
      </c>
      <c r="B6" s="138" t="str">
        <f>IFERROR(INDEX('Current AR'!D$6:D$103,MATCH(1,'Current AR'!X$6:X$103,0)),"")</f>
        <v>70000001</v>
      </c>
      <c r="C6" s="138" t="str">
        <f>IFERROR(INDEX('Current AR'!C$6:C$103,MATCH(1,'Current AR'!X$6:X$103,0)),"")</f>
        <v>AR-00001</v>
      </c>
      <c r="D6" s="141">
        <f>IFERROR(INDEX('Current AR'!F$6:F$103,MATCH(1,'Current AR'!X$6:X$103,0)),"")</f>
        <v>46292</v>
      </c>
      <c r="E6" s="142">
        <f>IFERROR(INDEX('Current AR'!I$6:I$103,MATCH(1,'Current AR'!X$6:X$103,0)),"")</f>
        <v>75501399.67289999</v>
      </c>
      <c r="F6" s="138">
        <f>IFERROR(INDEX('Current AR'!Q$6:Q$103,MATCH(1,'Current AR'!X$6:X$103,0)),"")</f>
        <v>8</v>
      </c>
      <c r="G6" s="138" t="str">
        <f>IFERROR(INDEX('Current AR'!J$6:J$103,MATCH(1,'Current AR'!X$6:X$103,0)),"")</f>
        <v>Senior Sales Rep 1</v>
      </c>
      <c r="H6" s="141">
        <f>IFERROR(INDEX('Current AR'!N$6:N$103,MATCH(1,'Current AR'!X$6:X$103,0)),"")</f>
        <v>0</v>
      </c>
      <c r="I6" s="141">
        <f>IFERROR(INDEX('Current AR'!O$6:O$103,MATCH(1,'Current AR'!X$6:X$103,0)),"")</f>
        <v>0</v>
      </c>
      <c r="J6" s="138">
        <f>IFERROR(INDEX('Current AR'!P$6:P$103,MATCH(1,'Current AR'!X$6:X$103,0)),"")</f>
        <v>0</v>
      </c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</row>
    <row r="7" spans="1:41">
      <c r="A7" s="138" t="str">
        <f>IFERROR(INDEX('Current AR'!A$6:A$103,MATCH(2,'Current AR'!X$6:X$103,0)),"")</f>
        <v>Client Beta (Heavy Const.)</v>
      </c>
      <c r="B7" s="138" t="str">
        <f>IFERROR(INDEX('Current AR'!D$6:D$103,MATCH(2,'Current AR'!X$6:X$103,0)),"")</f>
        <v>70000002</v>
      </c>
      <c r="C7" s="138" t="str">
        <f>IFERROR(INDEX('Current AR'!C$6:C$103,MATCH(2,'Current AR'!X$6:X$103,0)),"")</f>
        <v>AR-00002</v>
      </c>
      <c r="D7" s="141">
        <f>IFERROR(INDEX('Current AR'!F$6:F$103,MATCH(2,'Current AR'!X$6:X$103,0)),"")</f>
        <v>46292</v>
      </c>
      <c r="E7" s="142">
        <f>IFERROR(INDEX('Current AR'!I$6:I$103,MATCH(2,'Current AR'!X$6:X$103,0)),"")</f>
        <v>920560751.7155999</v>
      </c>
      <c r="F7" s="138">
        <f>IFERROR(INDEX('Current AR'!Q$6:Q$103,MATCH(2,'Current AR'!X$6:X$103,0)),"")</f>
        <v>8</v>
      </c>
      <c r="G7" s="138" t="str">
        <f>IFERROR(INDEX('Current AR'!J$6:J$103,MATCH(2,'Current AR'!X$6:X$103,0)),"")</f>
        <v>Senior Sales Rep 1</v>
      </c>
      <c r="H7" s="141">
        <f>IFERROR(INDEX('Current AR'!N$6:N$103,MATCH(2,'Current AR'!X$6:X$103,0)),"")</f>
        <v>0</v>
      </c>
      <c r="I7" s="141">
        <f>IFERROR(INDEX('Current AR'!O$6:O$103,MATCH(2,'Current AR'!X$6:X$103,0)),"")</f>
        <v>0</v>
      </c>
      <c r="J7" s="138">
        <f>IFERROR(INDEX('Current AR'!P$6:P$103,MATCH(2,'Current AR'!X$6:X$103,0)),"")</f>
        <v>0</v>
      </c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</row>
    <row r="8" spans="1:41">
      <c r="A8" s="138" t="str">
        <f>IFERROR(INDEX('Current AR'!A$6:A$103,MATCH(3,'Current AR'!X$6:X$103,0)),"")</f>
        <v>Client Beta (Heavy Const.)</v>
      </c>
      <c r="B8" s="138" t="str">
        <f>IFERROR(INDEX('Current AR'!D$6:D$103,MATCH(3,'Current AR'!X$6:X$103,0)),"")</f>
        <v>70000003</v>
      </c>
      <c r="C8" s="138" t="str">
        <f>IFERROR(INDEX('Current AR'!C$6:C$103,MATCH(3,'Current AR'!X$6:X$103,0)),"")</f>
        <v>AR-00003</v>
      </c>
      <c r="D8" s="141">
        <f>IFERROR(INDEX('Current AR'!F$6:F$103,MATCH(3,'Current AR'!X$6:X$103,0)),"")</f>
        <v>46292</v>
      </c>
      <c r="E8" s="142">
        <f>IFERROR(INDEX('Current AR'!I$6:I$103,MATCH(3,'Current AR'!X$6:X$103,0)),"")</f>
        <v>553941848.6114999</v>
      </c>
      <c r="F8" s="138">
        <f>IFERROR(INDEX('Current AR'!Q$6:Q$103,MATCH(3,'Current AR'!X$6:X$103,0)),"")</f>
        <v>8</v>
      </c>
      <c r="G8" s="138" t="str">
        <f>IFERROR(INDEX('Current AR'!J$6:J$103,MATCH(3,'Current AR'!X$6:X$103,0)),"")</f>
        <v>Senior Sales Rep 1</v>
      </c>
      <c r="H8" s="141">
        <f>IFERROR(INDEX('Current AR'!N$6:N$103,MATCH(3,'Current AR'!X$6:X$103,0)),"")</f>
        <v>0</v>
      </c>
      <c r="I8" s="141">
        <f>IFERROR(INDEX('Current AR'!O$6:O$103,MATCH(3,'Current AR'!X$6:X$103,0)),"")</f>
        <v>0</v>
      </c>
      <c r="J8" s="138">
        <f>IFERROR(INDEX('Current AR'!P$6:P$103,MATCH(3,'Current AR'!X$6:X$103,0)),"")</f>
        <v>0</v>
      </c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</row>
    <row r="9" spans="1:41">
      <c r="A9" s="138" t="str">
        <f>IFERROR(INDEX('Current AR'!A$6:A$103,MATCH(4,'Current AR'!X$6:X$103,0)),"")</f>
        <v>Client Beta (Heavy Const.)</v>
      </c>
      <c r="B9" s="138" t="str">
        <f>IFERROR(INDEX('Current AR'!D$6:D$103,MATCH(4,'Current AR'!X$6:X$103,0)),"")</f>
        <v>70000004</v>
      </c>
      <c r="C9" s="138" t="str">
        <f>IFERROR(INDEX('Current AR'!C$6:C$103,MATCH(4,'Current AR'!X$6:X$103,0)),"")</f>
        <v>AR-00004</v>
      </c>
      <c r="D9" s="141">
        <f>IFERROR(INDEX('Current AR'!F$6:F$103,MATCH(4,'Current AR'!X$6:X$103,0)),"")</f>
        <v>46324</v>
      </c>
      <c r="E9" s="142">
        <f>IFERROR(INDEX('Current AR'!I$6:I$103,MATCH(4,'Current AR'!X$6:X$103,0)),"")</f>
        <v>450338999.99999994</v>
      </c>
      <c r="F9" s="138">
        <f>IFERROR(INDEX('Current AR'!Q$6:Q$103,MATCH(4,'Current AR'!X$6:X$103,0)),"")</f>
        <v>-24</v>
      </c>
      <c r="G9" s="138" t="str">
        <f>IFERROR(INDEX('Current AR'!J$6:J$103,MATCH(4,'Current AR'!X$6:X$103,0)),"")</f>
        <v>Senior Sales Rep 1</v>
      </c>
      <c r="H9" s="141">
        <f>IFERROR(INDEX('Current AR'!N$6:N$103,MATCH(4,'Current AR'!X$6:X$103,0)),"")</f>
        <v>0</v>
      </c>
      <c r="I9" s="141">
        <f>IFERROR(INDEX('Current AR'!O$6:O$103,MATCH(4,'Current AR'!X$6:X$103,0)),"")</f>
        <v>0</v>
      </c>
      <c r="J9" s="138">
        <f>IFERROR(INDEX('Current AR'!P$6:P$103,MATCH(4,'Current AR'!X$6:X$103,0)),"")</f>
        <v>0</v>
      </c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</row>
    <row r="10" spans="1:41">
      <c r="A10" s="138" t="str">
        <f>IFERROR(INDEX('Current AR'!A$6:A$103,MATCH(5,'Current AR'!X$6:X$103,0)),"")</f>
        <v>Client Delta (Commercial Facade)</v>
      </c>
      <c r="B10" s="138" t="str">
        <f>IFERROR(INDEX('Current AR'!D$6:D$103,MATCH(5,'Current AR'!X$6:X$103,0)),"")</f>
        <v>70000005</v>
      </c>
      <c r="C10" s="138" t="str">
        <f>IFERROR(INDEX('Current AR'!C$6:C$103,MATCH(5,'Current AR'!X$6:X$103,0)),"")</f>
        <v>AR-00005</v>
      </c>
      <c r="D10" s="141">
        <f>IFERROR(INDEX('Current AR'!F$6:F$103,MATCH(5,'Current AR'!X$6:X$103,0)),"")</f>
        <v>46349</v>
      </c>
      <c r="E10" s="142">
        <f>IFERROR(INDEX('Current AR'!I$6:I$103,MATCH(5,'Current AR'!X$6:X$103,0)),"")</f>
        <v>1821258559.3005</v>
      </c>
      <c r="F10" s="138">
        <f>IFERROR(INDEX('Current AR'!Q$6:Q$103,MATCH(5,'Current AR'!X$6:X$103,0)),"")</f>
        <v>-49</v>
      </c>
      <c r="G10" s="138" t="str">
        <f>IFERROR(INDEX('Current AR'!J$6:J$103,MATCH(5,'Current AR'!X$6:X$103,0)),"")</f>
        <v>Sales Rep 6</v>
      </c>
      <c r="H10" s="141">
        <f>IFERROR(INDEX('Current AR'!N$6:N$103,MATCH(5,'Current AR'!X$6:X$103,0)),"")</f>
        <v>0</v>
      </c>
      <c r="I10" s="141">
        <f>IFERROR(INDEX('Current AR'!O$6:O$103,MATCH(5,'Current AR'!X$6:X$103,0)),"")</f>
        <v>0</v>
      </c>
      <c r="J10" s="138">
        <f>IFERROR(INDEX('Current AR'!P$6:P$103,MATCH(5,'Current AR'!X$6:X$103,0)),"")</f>
        <v>0</v>
      </c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</row>
    <row r="11" spans="1:41">
      <c r="A11" s="138" t="str">
        <f>IFERROR(INDEX('Current AR'!A$6:A$103,MATCH(6,'Current AR'!X$6:X$103,0)),"")</f>
        <v>Client Delta (Commercial Facade)</v>
      </c>
      <c r="B11" s="138" t="str">
        <f>IFERROR(INDEX('Current AR'!D$6:D$103,MATCH(6,'Current AR'!X$6:X$103,0)),"")</f>
        <v>70000006</v>
      </c>
      <c r="C11" s="138" t="str">
        <f>IFERROR(INDEX('Current AR'!C$6:C$103,MATCH(6,'Current AR'!X$6:X$103,0)),"")</f>
        <v>AR-00006</v>
      </c>
      <c r="D11" s="141">
        <f>IFERROR(INDEX('Current AR'!F$6:F$103,MATCH(6,'Current AR'!X$6:X$103,0)),"")</f>
        <v>46354</v>
      </c>
      <c r="E11" s="142">
        <f>IFERROR(INDEX('Current AR'!I$6:I$103,MATCH(6,'Current AR'!X$6:X$103,0)),"")</f>
        <v>149214834.12359998</v>
      </c>
      <c r="F11" s="138">
        <f>IFERROR(INDEX('Current AR'!Q$6:Q$103,MATCH(6,'Current AR'!X$6:X$103,0)),"")</f>
        <v>-54</v>
      </c>
      <c r="G11" s="138" t="str">
        <f>IFERROR(INDEX('Current AR'!J$6:J$103,MATCH(6,'Current AR'!X$6:X$103,0)),"")</f>
        <v>Sales Rep 6</v>
      </c>
      <c r="H11" s="141">
        <f>IFERROR(INDEX('Current AR'!N$6:N$103,MATCH(6,'Current AR'!X$6:X$103,0)),"")</f>
        <v>0</v>
      </c>
      <c r="I11" s="141">
        <f>IFERROR(INDEX('Current AR'!O$6:O$103,MATCH(6,'Current AR'!X$6:X$103,0)),"")</f>
        <v>0</v>
      </c>
      <c r="J11" s="138">
        <f>IFERROR(INDEX('Current AR'!P$6:P$103,MATCH(6,'Current AR'!X$6:X$103,0)),"")</f>
        <v>0</v>
      </c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</row>
    <row r="12" spans="1:41">
      <c r="A12" s="138" t="str">
        <f>IFERROR(INDEX('Current AR'!A$6:A$103,MATCH(7,'Current AR'!X$6:X$103,0)),"")</f>
        <v>Client Delta (Commercial Facade)</v>
      </c>
      <c r="B12" s="138" t="str">
        <f>IFERROR(INDEX('Current AR'!D$6:D$103,MATCH(7,'Current AR'!X$6:X$103,0)),"")</f>
        <v>70000007</v>
      </c>
      <c r="C12" s="138" t="str">
        <f>IFERROR(INDEX('Current AR'!C$6:C$103,MATCH(7,'Current AR'!X$6:X$103,0)),"")</f>
        <v>AR-00007</v>
      </c>
      <c r="D12" s="141">
        <f>IFERROR(INDEX('Current AR'!F$6:F$103,MATCH(7,'Current AR'!X$6:X$103,0)),"")</f>
        <v>46354</v>
      </c>
      <c r="E12" s="142">
        <f>IFERROR(INDEX('Current AR'!I$6:I$103,MATCH(7,'Current AR'!X$6:X$103,0)),"")</f>
        <v>28421873.515499998</v>
      </c>
      <c r="F12" s="138">
        <f>IFERROR(INDEX('Current AR'!Q$6:Q$103,MATCH(7,'Current AR'!X$6:X$103,0)),"")</f>
        <v>-54</v>
      </c>
      <c r="G12" s="138" t="str">
        <f>IFERROR(INDEX('Current AR'!J$6:J$103,MATCH(7,'Current AR'!X$6:X$103,0)),"")</f>
        <v>Sales Rep 6</v>
      </c>
      <c r="H12" s="141">
        <f>IFERROR(INDEX('Current AR'!N$6:N$103,MATCH(7,'Current AR'!X$6:X$103,0)),"")</f>
        <v>0</v>
      </c>
      <c r="I12" s="141">
        <f>IFERROR(INDEX('Current AR'!O$6:O$103,MATCH(7,'Current AR'!X$6:X$103,0)),"")</f>
        <v>0</v>
      </c>
      <c r="J12" s="138">
        <f>IFERROR(INDEX('Current AR'!P$6:P$103,MATCH(7,'Current AR'!X$6:X$103,0)),"")</f>
        <v>0</v>
      </c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</row>
    <row r="13" spans="1:41">
      <c r="A13" s="138" t="str">
        <f>IFERROR(INDEX('Current AR'!A$6:A$103,MATCH(8,'Current AR'!X$6:X$103,0)),"")</f>
        <v>Client Delta (Commercial Facade)</v>
      </c>
      <c r="B13" s="138" t="str">
        <f>IFERROR(INDEX('Current AR'!D$6:D$103,MATCH(8,'Current AR'!X$6:X$103,0)),"")</f>
        <v>70000008</v>
      </c>
      <c r="C13" s="138" t="str">
        <f>IFERROR(INDEX('Current AR'!C$6:C$103,MATCH(8,'Current AR'!X$6:X$103,0)),"")</f>
        <v>AR-00008</v>
      </c>
      <c r="D13" s="141">
        <f>IFERROR(INDEX('Current AR'!F$6:F$103,MATCH(8,'Current AR'!X$6:X$103,0)),"")</f>
        <v>46358</v>
      </c>
      <c r="E13" s="142">
        <f>IFERROR(INDEX('Current AR'!I$6:I$103,MATCH(8,'Current AR'!X$6:X$103,0)),"")</f>
        <v>284218732.01309997</v>
      </c>
      <c r="F13" s="138">
        <f>IFERROR(INDEX('Current AR'!Q$6:Q$103,MATCH(8,'Current AR'!X$6:X$103,0)),"")</f>
        <v>-58</v>
      </c>
      <c r="G13" s="138" t="str">
        <f>IFERROR(INDEX('Current AR'!J$6:J$103,MATCH(8,'Current AR'!X$6:X$103,0)),"")</f>
        <v>Sales Rep 6</v>
      </c>
      <c r="H13" s="141">
        <f>IFERROR(INDEX('Current AR'!N$6:N$103,MATCH(8,'Current AR'!X$6:X$103,0)),"")</f>
        <v>0</v>
      </c>
      <c r="I13" s="141">
        <f>IFERROR(INDEX('Current AR'!O$6:O$103,MATCH(8,'Current AR'!X$6:X$103,0)),"")</f>
        <v>0</v>
      </c>
      <c r="J13" s="138">
        <f>IFERROR(INDEX('Current AR'!P$6:P$103,MATCH(8,'Current AR'!X$6:X$103,0)),"")</f>
        <v>0</v>
      </c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</row>
    <row r="14" spans="1:41">
      <c r="A14" s="138" t="str">
        <f>IFERROR(INDEX('Current AR'!A$6:A$103,MATCH(9,'Current AR'!X$6:X$103,0)),"")</f>
        <v>Client Alpha (Steel EPC)</v>
      </c>
      <c r="B14" s="138" t="str">
        <f>IFERROR(INDEX('Current AR'!D$6:D$103,MATCH(9,'Current AR'!X$6:X$103,0)),"")</f>
        <v>70000009</v>
      </c>
      <c r="C14" s="138" t="str">
        <f>IFERROR(INDEX('Current AR'!C$6:C$103,MATCH(9,'Current AR'!X$6:X$103,0)),"")</f>
        <v>AR-00009</v>
      </c>
      <c r="D14" s="141">
        <f>IFERROR(INDEX('Current AR'!F$6:F$103,MATCH(9,'Current AR'!X$6:X$103,0)),"")</f>
        <v>46264</v>
      </c>
      <c r="E14" s="142">
        <f>IFERROR(INDEX('Current AR'!I$6:I$103,MATCH(9,'Current AR'!X$6:X$103,0)),"")</f>
        <v>91483401.89639999</v>
      </c>
      <c r="F14" s="138">
        <f>IFERROR(INDEX('Current AR'!Q$6:Q$103,MATCH(9,'Current AR'!X$6:X$103,0)),"")</f>
        <v>36</v>
      </c>
      <c r="G14" s="138" t="str">
        <f>IFERROR(INDEX('Current AR'!J$6:J$103,MATCH(9,'Current AR'!X$6:X$103,0)),"")</f>
        <v>Senior Sales Rep 1</v>
      </c>
      <c r="H14" s="141">
        <f>IFERROR(INDEX('Current AR'!N$6:N$103,MATCH(9,'Current AR'!X$6:X$103,0)),"")</f>
        <v>0</v>
      </c>
      <c r="I14" s="141">
        <f>IFERROR(INDEX('Current AR'!O$6:O$103,MATCH(9,'Current AR'!X$6:X$103,0)),"")</f>
        <v>0</v>
      </c>
      <c r="J14" s="138">
        <f>IFERROR(INDEX('Current AR'!P$6:P$103,MATCH(9,'Current AR'!X$6:X$103,0)),"")</f>
        <v>0</v>
      </c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</row>
    <row r="15" spans="1:41">
      <c r="A15" s="138" t="str">
        <f>IFERROR(INDEX('Current AR'!A$6:A$103,MATCH(10,'Current AR'!X$6:X$103,0)),"")</f>
        <v>Client Alpha (Steel EPC)</v>
      </c>
      <c r="B15" s="138" t="str">
        <f>IFERROR(INDEX('Current AR'!D$6:D$103,MATCH(10,'Current AR'!X$6:X$103,0)),"")</f>
        <v>70000010</v>
      </c>
      <c r="C15" s="138" t="str">
        <f>IFERROR(INDEX('Current AR'!C$6:C$103,MATCH(10,'Current AR'!X$6:X$103,0)),"")</f>
        <v>AR-00010</v>
      </c>
      <c r="D15" s="141">
        <f>IFERROR(INDEX('Current AR'!F$6:F$103,MATCH(10,'Current AR'!X$6:X$103,0)),"")</f>
        <v>46266</v>
      </c>
      <c r="E15" s="142">
        <f>IFERROR(INDEX('Current AR'!I$6:I$103,MATCH(10,'Current AR'!X$6:X$103,0)),"")</f>
        <v>454201191.048</v>
      </c>
      <c r="F15" s="138">
        <f>IFERROR(INDEX('Current AR'!Q$6:Q$103,MATCH(10,'Current AR'!X$6:X$103,0)),"")</f>
        <v>34</v>
      </c>
      <c r="G15" s="138" t="str">
        <f>IFERROR(INDEX('Current AR'!J$6:J$103,MATCH(10,'Current AR'!X$6:X$103,0)),"")</f>
        <v>Senior Sales Rep 1</v>
      </c>
      <c r="H15" s="141">
        <f>IFERROR(INDEX('Current AR'!N$6:N$103,MATCH(10,'Current AR'!X$6:X$103,0)),"")</f>
        <v>0</v>
      </c>
      <c r="I15" s="141">
        <f>IFERROR(INDEX('Current AR'!O$6:O$103,MATCH(10,'Current AR'!X$6:X$103,0)),"")</f>
        <v>0</v>
      </c>
      <c r="J15" s="138">
        <f>IFERROR(INDEX('Current AR'!P$6:P$103,MATCH(10,'Current AR'!X$6:X$103,0)),"")</f>
        <v>0</v>
      </c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</row>
    <row r="16" spans="1:41">
      <c r="A16" s="138" t="str">
        <f>IFERROR(INDEX('Current AR'!A$6:A$103,MATCH(11,'Current AR'!X$6:X$103,0)),"")</f>
        <v>Client Alpha (Steel EPC)</v>
      </c>
      <c r="B16" s="138" t="str">
        <f>IFERROR(INDEX('Current AR'!D$6:D$103,MATCH(11,'Current AR'!X$6:X$103,0)),"")</f>
        <v>70000011</v>
      </c>
      <c r="C16" s="138" t="str">
        <f>IFERROR(INDEX('Current AR'!C$6:C$103,MATCH(11,'Current AR'!X$6:X$103,0)),"")</f>
        <v>AR-00011</v>
      </c>
      <c r="D16" s="141">
        <f>IFERROR(INDEX('Current AR'!F$6:F$103,MATCH(11,'Current AR'!X$6:X$103,0)),"")</f>
        <v>46272</v>
      </c>
      <c r="E16" s="142">
        <f>IFERROR(INDEX('Current AR'!I$6:I$103,MATCH(11,'Current AR'!X$6:X$103,0)),"")</f>
        <v>114561937.19699998</v>
      </c>
      <c r="F16" s="138">
        <f>IFERROR(INDEX('Current AR'!Q$6:Q$103,MATCH(11,'Current AR'!X$6:X$103,0)),"")</f>
        <v>28</v>
      </c>
      <c r="G16" s="138" t="str">
        <f>IFERROR(INDEX('Current AR'!J$6:J$103,MATCH(11,'Current AR'!X$6:X$103,0)),"")</f>
        <v>Senior Sales Rep 1</v>
      </c>
      <c r="H16" s="141">
        <f>IFERROR(INDEX('Current AR'!N$6:N$103,MATCH(11,'Current AR'!X$6:X$103,0)),"")</f>
        <v>0</v>
      </c>
      <c r="I16" s="141">
        <f>IFERROR(INDEX('Current AR'!O$6:O$103,MATCH(11,'Current AR'!X$6:X$103,0)),"")</f>
        <v>0</v>
      </c>
      <c r="J16" s="138">
        <f>IFERROR(INDEX('Current AR'!P$6:P$103,MATCH(11,'Current AR'!X$6:X$103,0)),"")</f>
        <v>0</v>
      </c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</row>
    <row r="17" spans="1:41">
      <c r="A17" s="138" t="str">
        <f>IFERROR(INDEX('Current AR'!A$6:A$103,MATCH(12,'Current AR'!X$6:X$103,0)),"")</f>
        <v>Client Alpha (Steel EPC)</v>
      </c>
      <c r="B17" s="138" t="str">
        <f>IFERROR(INDEX('Current AR'!D$6:D$103,MATCH(12,'Current AR'!X$6:X$103,0)),"")</f>
        <v>70000012</v>
      </c>
      <c r="C17" s="138" t="str">
        <f>IFERROR(INDEX('Current AR'!C$6:C$103,MATCH(12,'Current AR'!X$6:X$103,0)),"")</f>
        <v>AR-00012</v>
      </c>
      <c r="D17" s="141">
        <f>IFERROR(INDEX('Current AR'!F$6:F$103,MATCH(12,'Current AR'!X$6:X$103,0)),"")</f>
        <v>46285</v>
      </c>
      <c r="E17" s="142">
        <f>IFERROR(INDEX('Current AR'!I$6:I$103,MATCH(12,'Current AR'!X$6:X$103,0)),"")</f>
        <v>54738469.8075</v>
      </c>
      <c r="F17" s="138">
        <f>IFERROR(INDEX('Current AR'!Q$6:Q$103,MATCH(12,'Current AR'!X$6:X$103,0)),"")</f>
        <v>15</v>
      </c>
      <c r="G17" s="138" t="str">
        <f>IFERROR(INDEX('Current AR'!J$6:J$103,MATCH(12,'Current AR'!X$6:X$103,0)),"")</f>
        <v>Senior Sales Rep 1</v>
      </c>
      <c r="H17" s="141">
        <f>IFERROR(INDEX('Current AR'!N$6:N$103,MATCH(12,'Current AR'!X$6:X$103,0)),"")</f>
        <v>0</v>
      </c>
      <c r="I17" s="141">
        <f>IFERROR(INDEX('Current AR'!O$6:O$103,MATCH(12,'Current AR'!X$6:X$103,0)),"")</f>
        <v>0</v>
      </c>
      <c r="J17" s="138">
        <f>IFERROR(INDEX('Current AR'!P$6:P$103,MATCH(12,'Current AR'!X$6:X$103,0)),"")</f>
        <v>0</v>
      </c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</row>
    <row r="18" spans="1:41">
      <c r="A18" s="138" t="str">
        <f>IFERROR(INDEX('Current AR'!A$6:A$103,MATCH(13,'Current AR'!X$6:X$103,0)),"")</f>
        <v>Client Alpha (Steel EPC)</v>
      </c>
      <c r="B18" s="138" t="str">
        <f>IFERROR(INDEX('Current AR'!D$6:D$103,MATCH(13,'Current AR'!X$6:X$103,0)),"")</f>
        <v>70000013</v>
      </c>
      <c r="C18" s="138" t="str">
        <f>IFERROR(INDEX('Current AR'!C$6:C$103,MATCH(13,'Current AR'!X$6:X$103,0)),"")</f>
        <v>AR-00013</v>
      </c>
      <c r="D18" s="141">
        <f>IFERROR(INDEX('Current AR'!F$6:F$103,MATCH(13,'Current AR'!X$6:X$103,0)),"")</f>
        <v>46285</v>
      </c>
      <c r="E18" s="142">
        <f>IFERROR(INDEX('Current AR'!I$6:I$103,MATCH(13,'Current AR'!X$6:X$103,0)),"")</f>
        <v>867074590.8830999</v>
      </c>
      <c r="F18" s="138">
        <f>IFERROR(INDEX('Current AR'!Q$6:Q$103,MATCH(13,'Current AR'!X$6:X$103,0)),"")</f>
        <v>15</v>
      </c>
      <c r="G18" s="138" t="str">
        <f>IFERROR(INDEX('Current AR'!J$6:J$103,MATCH(13,'Current AR'!X$6:X$103,0)),"")</f>
        <v>Senior Sales Rep 1</v>
      </c>
      <c r="H18" s="141">
        <f>IFERROR(INDEX('Current AR'!N$6:N$103,MATCH(13,'Current AR'!X$6:X$103,0)),"")</f>
        <v>0</v>
      </c>
      <c r="I18" s="141">
        <f>IFERROR(INDEX('Current AR'!O$6:O$103,MATCH(13,'Current AR'!X$6:X$103,0)),"")</f>
        <v>0</v>
      </c>
      <c r="J18" s="138">
        <f>IFERROR(INDEX('Current AR'!P$6:P$103,MATCH(13,'Current AR'!X$6:X$103,0)),"")</f>
        <v>0</v>
      </c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</row>
    <row r="19" spans="1:41">
      <c r="A19" s="138" t="str">
        <f>IFERROR(INDEX('Current AR'!A$6:A$103,MATCH(14,'Current AR'!X$6:X$103,0)),"")</f>
        <v>Client Alpha (Steel EPC)</v>
      </c>
      <c r="B19" s="138" t="str">
        <f>IFERROR(INDEX('Current AR'!D$6:D$103,MATCH(14,'Current AR'!X$6:X$103,0)),"")</f>
        <v>70000014</v>
      </c>
      <c r="C19" s="138" t="str">
        <f>IFERROR(INDEX('Current AR'!C$6:C$103,MATCH(14,'Current AR'!X$6:X$103,0)),"")</f>
        <v>AR-00014</v>
      </c>
      <c r="D19" s="141">
        <f>IFERROR(INDEX('Current AR'!F$6:F$103,MATCH(14,'Current AR'!X$6:X$103,0)),"")</f>
        <v>46285</v>
      </c>
      <c r="E19" s="142">
        <f>IFERROR(INDEX('Current AR'!I$6:I$103,MATCH(14,'Current AR'!X$6:X$103,0)),"")</f>
        <v>21434302.577699997</v>
      </c>
      <c r="F19" s="138">
        <f>IFERROR(INDEX('Current AR'!Q$6:Q$103,MATCH(14,'Current AR'!X$6:X$103,0)),"")</f>
        <v>15</v>
      </c>
      <c r="G19" s="138" t="str">
        <f>IFERROR(INDEX('Current AR'!J$6:J$103,MATCH(14,'Current AR'!X$6:X$103,0)),"")</f>
        <v>Senior Sales Rep 1</v>
      </c>
      <c r="H19" s="141">
        <f>IFERROR(INDEX('Current AR'!N$6:N$103,MATCH(14,'Current AR'!X$6:X$103,0)),"")</f>
        <v>0</v>
      </c>
      <c r="I19" s="141">
        <f>IFERROR(INDEX('Current AR'!O$6:O$103,MATCH(14,'Current AR'!X$6:X$103,0)),"")</f>
        <v>0</v>
      </c>
      <c r="J19" s="138">
        <f>IFERROR(INDEX('Current AR'!P$6:P$103,MATCH(14,'Current AR'!X$6:X$103,0)),"")</f>
        <v>0</v>
      </c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</row>
    <row r="20" spans="1:41">
      <c r="A20" s="138" t="str">
        <f>IFERROR(INDEX('Current AR'!A$6:A$103,MATCH(15,'Current AR'!X$6:X$103,0)),"")</f>
        <v>Client Alpha (Steel EPC)</v>
      </c>
      <c r="B20" s="138" t="str">
        <f>IFERROR(INDEX('Current AR'!D$6:D$103,MATCH(15,'Current AR'!X$6:X$103,0)),"")</f>
        <v>70000015</v>
      </c>
      <c r="C20" s="138" t="str">
        <f>IFERROR(INDEX('Current AR'!C$6:C$103,MATCH(15,'Current AR'!X$6:X$103,0)),"")</f>
        <v>AR-00015</v>
      </c>
      <c r="D20" s="141">
        <f>IFERROR(INDEX('Current AR'!F$6:F$103,MATCH(15,'Current AR'!X$6:X$103,0)),"")</f>
        <v>46293</v>
      </c>
      <c r="E20" s="142">
        <f>IFERROR(INDEX('Current AR'!I$6:I$103,MATCH(15,'Current AR'!X$6:X$103,0)),"")</f>
        <v>146356352.355</v>
      </c>
      <c r="F20" s="138">
        <f>IFERROR(INDEX('Current AR'!Q$6:Q$103,MATCH(15,'Current AR'!X$6:X$103,0)),"")</f>
        <v>7</v>
      </c>
      <c r="G20" s="138" t="str">
        <f>IFERROR(INDEX('Current AR'!J$6:J$103,MATCH(15,'Current AR'!X$6:X$103,0)),"")</f>
        <v>Senior Sales Rep 1</v>
      </c>
      <c r="H20" s="141">
        <f>IFERROR(INDEX('Current AR'!N$6:N$103,MATCH(15,'Current AR'!X$6:X$103,0)),"")</f>
        <v>0</v>
      </c>
      <c r="I20" s="141">
        <f>IFERROR(INDEX('Current AR'!O$6:O$103,MATCH(15,'Current AR'!X$6:X$103,0)),"")</f>
        <v>0</v>
      </c>
      <c r="J20" s="138">
        <f>IFERROR(INDEX('Current AR'!P$6:P$103,MATCH(15,'Current AR'!X$6:X$103,0)),"")</f>
        <v>0</v>
      </c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</row>
    <row r="21" spans="1:41">
      <c r="A21" s="138" t="str">
        <f>IFERROR(INDEX('Current AR'!A$6:A$103,MATCH(16,'Current AR'!X$6:X$103,0)),"")</f>
        <v>Client Alpha (Steel EPC)</v>
      </c>
      <c r="B21" s="138" t="str">
        <f>IFERROR(INDEX('Current AR'!D$6:D$103,MATCH(16,'Current AR'!X$6:X$103,0)),"")</f>
        <v>70000016</v>
      </c>
      <c r="C21" s="138" t="str">
        <f>IFERROR(INDEX('Current AR'!C$6:C$103,MATCH(16,'Current AR'!X$6:X$103,0)),"")</f>
        <v>AR-00016</v>
      </c>
      <c r="D21" s="141">
        <f>IFERROR(INDEX('Current AR'!F$6:F$103,MATCH(16,'Current AR'!X$6:X$103,0)),"")</f>
        <v>46295</v>
      </c>
      <c r="E21" s="142">
        <f>IFERROR(INDEX('Current AR'!I$6:I$103,MATCH(16,'Current AR'!X$6:X$103,0)),"")</f>
        <v>203352658.52969998</v>
      </c>
      <c r="F21" s="138">
        <f>IFERROR(INDEX('Current AR'!Q$6:Q$103,MATCH(16,'Current AR'!X$6:X$103,0)),"")</f>
        <v>5</v>
      </c>
      <c r="G21" s="138" t="str">
        <f>IFERROR(INDEX('Current AR'!J$6:J$103,MATCH(16,'Current AR'!X$6:X$103,0)),"")</f>
        <v>Senior Sales Rep 1</v>
      </c>
      <c r="H21" s="141">
        <f>IFERROR(INDEX('Current AR'!N$6:N$103,MATCH(16,'Current AR'!X$6:X$103,0)),"")</f>
        <v>0</v>
      </c>
      <c r="I21" s="141">
        <f>IFERROR(INDEX('Current AR'!O$6:O$103,MATCH(16,'Current AR'!X$6:X$103,0)),"")</f>
        <v>0</v>
      </c>
      <c r="J21" s="138">
        <f>IFERROR(INDEX('Current AR'!P$6:P$103,MATCH(16,'Current AR'!X$6:X$103,0)),"")</f>
        <v>0</v>
      </c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</row>
    <row r="22" spans="1:41">
      <c r="A22" s="138" t="str">
        <f>IFERROR(INDEX('Current AR'!A$6:A$103,MATCH(17,'Current AR'!X$6:X$103,0)),"")</f>
        <v>Client Alpha (Steel EPC)</v>
      </c>
      <c r="B22" s="138" t="str">
        <f>IFERROR(INDEX('Current AR'!D$6:D$103,MATCH(17,'Current AR'!X$6:X$103,0)),"")</f>
        <v>70000017</v>
      </c>
      <c r="C22" s="138" t="str">
        <f>IFERROR(INDEX('Current AR'!C$6:C$103,MATCH(17,'Current AR'!X$6:X$103,0)),"")</f>
        <v>AR-00017</v>
      </c>
      <c r="D22" s="141">
        <f>IFERROR(INDEX('Current AR'!F$6:F$103,MATCH(17,'Current AR'!X$6:X$103,0)),"")</f>
        <v>46295</v>
      </c>
      <c r="E22" s="142">
        <f>IFERROR(INDEX('Current AR'!I$6:I$103,MATCH(17,'Current AR'!X$6:X$103,0)),"")</f>
        <v>271688134.1694</v>
      </c>
      <c r="F22" s="138">
        <f>IFERROR(INDEX('Current AR'!Q$6:Q$103,MATCH(17,'Current AR'!X$6:X$103,0)),"")</f>
        <v>5</v>
      </c>
      <c r="G22" s="138" t="str">
        <f>IFERROR(INDEX('Current AR'!J$6:J$103,MATCH(17,'Current AR'!X$6:X$103,0)),"")</f>
        <v>Senior Sales Rep 1</v>
      </c>
      <c r="H22" s="141">
        <f>IFERROR(INDEX('Current AR'!N$6:N$103,MATCH(17,'Current AR'!X$6:X$103,0)),"")</f>
        <v>0</v>
      </c>
      <c r="I22" s="141">
        <f>IFERROR(INDEX('Current AR'!O$6:O$103,MATCH(17,'Current AR'!X$6:X$103,0)),"")</f>
        <v>0</v>
      </c>
      <c r="J22" s="138">
        <f>IFERROR(INDEX('Current AR'!P$6:P$103,MATCH(17,'Current AR'!X$6:X$103,0)),"")</f>
        <v>0</v>
      </c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</row>
    <row r="23" spans="1:41">
      <c r="A23" s="138" t="str">
        <f>IFERROR(INDEX('Current AR'!A$6:A$103,MATCH(18,'Current AR'!X$6:X$103,0)),"")</f>
        <v>Client Alpha (Steel EPC)</v>
      </c>
      <c r="B23" s="138" t="str">
        <f>IFERROR(INDEX('Current AR'!D$6:D$103,MATCH(18,'Current AR'!X$6:X$103,0)),"")</f>
        <v>70000018</v>
      </c>
      <c r="C23" s="138" t="str">
        <f>IFERROR(INDEX('Current AR'!C$6:C$103,MATCH(18,'Current AR'!X$6:X$103,0)),"")</f>
        <v>AR-00018</v>
      </c>
      <c r="D23" s="141">
        <f>IFERROR(INDEX('Current AR'!F$6:F$103,MATCH(18,'Current AR'!X$6:X$103,0)),"")</f>
        <v>46295</v>
      </c>
      <c r="E23" s="142">
        <f>IFERROR(INDEX('Current AR'!I$6:I$103,MATCH(18,'Current AR'!X$6:X$103,0)),"")</f>
        <v>330520960.48889995</v>
      </c>
      <c r="F23" s="138">
        <f>IFERROR(INDEX('Current AR'!Q$6:Q$103,MATCH(18,'Current AR'!X$6:X$103,0)),"")</f>
        <v>5</v>
      </c>
      <c r="G23" s="138" t="str">
        <f>IFERROR(INDEX('Current AR'!J$6:J$103,MATCH(18,'Current AR'!X$6:X$103,0)),"")</f>
        <v>Senior Sales Rep 1</v>
      </c>
      <c r="H23" s="141">
        <f>IFERROR(INDEX('Current AR'!N$6:N$103,MATCH(18,'Current AR'!X$6:X$103,0)),"")</f>
        <v>0</v>
      </c>
      <c r="I23" s="141">
        <f>IFERROR(INDEX('Current AR'!O$6:O$103,MATCH(18,'Current AR'!X$6:X$103,0)),"")</f>
        <v>0</v>
      </c>
      <c r="J23" s="138">
        <f>IFERROR(INDEX('Current AR'!P$6:P$103,MATCH(18,'Current AR'!X$6:X$103,0)),"")</f>
        <v>0</v>
      </c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</row>
    <row r="24" spans="1:41">
      <c r="A24" s="138" t="str">
        <f>IFERROR(INDEX('Current AR'!A$6:A$103,MATCH(19,'Current AR'!X$6:X$103,0)),"")</f>
        <v>Client Alpha (Steel EPC)</v>
      </c>
      <c r="B24" s="138" t="str">
        <f>IFERROR(INDEX('Current AR'!D$6:D$103,MATCH(19,'Current AR'!X$6:X$103,0)),"")</f>
        <v>70000019</v>
      </c>
      <c r="C24" s="138" t="str">
        <f>IFERROR(INDEX('Current AR'!C$6:C$103,MATCH(19,'Current AR'!X$6:X$103,0)),"")</f>
        <v>AR-00019</v>
      </c>
      <c r="D24" s="141">
        <f>IFERROR(INDEX('Current AR'!F$6:F$103,MATCH(19,'Current AR'!X$6:X$103,0)),"")</f>
        <v>46300</v>
      </c>
      <c r="E24" s="142">
        <f>IFERROR(INDEX('Current AR'!I$6:I$103,MATCH(19,'Current AR'!X$6:X$103,0)),"")</f>
        <v>36887245.4967</v>
      </c>
      <c r="F24" s="138">
        <f>IFERROR(INDEX('Current AR'!Q$6:Q$103,MATCH(19,'Current AR'!X$6:X$103,0)),"")</f>
        <v>0</v>
      </c>
      <c r="G24" s="138" t="str">
        <f>IFERROR(INDEX('Current AR'!J$6:J$103,MATCH(19,'Current AR'!X$6:X$103,0)),"")</f>
        <v>Senior Sales Rep 1</v>
      </c>
      <c r="H24" s="141">
        <f>IFERROR(INDEX('Current AR'!N$6:N$103,MATCH(19,'Current AR'!X$6:X$103,0)),"")</f>
        <v>0</v>
      </c>
      <c r="I24" s="141">
        <f>IFERROR(INDEX('Current AR'!O$6:O$103,MATCH(19,'Current AR'!X$6:X$103,0)),"")</f>
        <v>0</v>
      </c>
      <c r="J24" s="138">
        <f>IFERROR(INDEX('Current AR'!P$6:P$103,MATCH(19,'Current AR'!X$6:X$103,0)),"")</f>
        <v>0</v>
      </c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</row>
    <row r="25" spans="1:41">
      <c r="A25" s="138" t="str">
        <f>IFERROR(INDEX('Current AR'!A$6:A$103,MATCH(20,'Current AR'!X$6:X$103,0)),"")</f>
        <v>Client Alpha (Steel EPC)</v>
      </c>
      <c r="B25" s="138" t="str">
        <f>IFERROR(INDEX('Current AR'!D$6:D$103,MATCH(20,'Current AR'!X$6:X$103,0)),"")</f>
        <v>70000020</v>
      </c>
      <c r="C25" s="138" t="str">
        <f>IFERROR(INDEX('Current AR'!C$6:C$103,MATCH(20,'Current AR'!X$6:X$103,0)),"")</f>
        <v>AR-00020</v>
      </c>
      <c r="D25" s="141">
        <f>IFERROR(INDEX('Current AR'!F$6:F$103,MATCH(20,'Current AR'!X$6:X$103,0)),"")</f>
        <v>46301</v>
      </c>
      <c r="E25" s="142">
        <f>IFERROR(INDEX('Current AR'!I$6:I$103,MATCH(20,'Current AR'!X$6:X$103,0)),"")</f>
        <v>614459541.8465999</v>
      </c>
      <c r="F25" s="138">
        <f>IFERROR(INDEX('Current AR'!Q$6:Q$103,MATCH(20,'Current AR'!X$6:X$103,0)),"")</f>
        <v>-1</v>
      </c>
      <c r="G25" s="138" t="str">
        <f>IFERROR(INDEX('Current AR'!J$6:J$103,MATCH(20,'Current AR'!X$6:X$103,0)),"")</f>
        <v>Senior Sales Rep 1</v>
      </c>
      <c r="H25" s="141">
        <f>IFERROR(INDEX('Current AR'!N$6:N$103,MATCH(20,'Current AR'!X$6:X$103,0)),"")</f>
        <v>0</v>
      </c>
      <c r="I25" s="141">
        <f>IFERROR(INDEX('Current AR'!O$6:O$103,MATCH(20,'Current AR'!X$6:X$103,0)),"")</f>
        <v>0</v>
      </c>
      <c r="J25" s="138">
        <f>IFERROR(INDEX('Current AR'!P$6:P$103,MATCH(20,'Current AR'!X$6:X$103,0)),"")</f>
        <v>0</v>
      </c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</row>
    <row r="26" spans="1:41">
      <c r="A26" s="138" t="str">
        <f>IFERROR(INDEX('Current AR'!A$6:A$103,MATCH(21,'Current AR'!X$6:X$103,0)),"")</f>
        <v>Client Alpha (Steel EPC)</v>
      </c>
      <c r="B26" s="138" t="str">
        <f>IFERROR(INDEX('Current AR'!D$6:D$103,MATCH(21,'Current AR'!X$6:X$103,0)),"")</f>
        <v>70000021</v>
      </c>
      <c r="C26" s="138" t="str">
        <f>IFERROR(INDEX('Current AR'!C$6:C$103,MATCH(21,'Current AR'!X$6:X$103,0)),"")</f>
        <v>AR-00021</v>
      </c>
      <c r="D26" s="141">
        <f>IFERROR(INDEX('Current AR'!F$6:F$103,MATCH(21,'Current AR'!X$6:X$103,0)),"")</f>
        <v>46308</v>
      </c>
      <c r="E26" s="142">
        <f>IFERROR(INDEX('Current AR'!I$6:I$103,MATCH(21,'Current AR'!X$6:X$103,0)),"")</f>
        <v>342723235.01909995</v>
      </c>
      <c r="F26" s="138">
        <f>IFERROR(INDEX('Current AR'!Q$6:Q$103,MATCH(21,'Current AR'!X$6:X$103,0)),"")</f>
        <v>-8</v>
      </c>
      <c r="G26" s="138" t="str">
        <f>IFERROR(INDEX('Current AR'!J$6:J$103,MATCH(21,'Current AR'!X$6:X$103,0)),"")</f>
        <v>Senior Sales Rep 1</v>
      </c>
      <c r="H26" s="141">
        <f>IFERROR(INDEX('Current AR'!N$6:N$103,MATCH(21,'Current AR'!X$6:X$103,0)),"")</f>
        <v>0</v>
      </c>
      <c r="I26" s="141">
        <f>IFERROR(INDEX('Current AR'!O$6:O$103,MATCH(21,'Current AR'!X$6:X$103,0)),"")</f>
        <v>0</v>
      </c>
      <c r="J26" s="138">
        <f>IFERROR(INDEX('Current AR'!P$6:P$103,MATCH(21,'Current AR'!X$6:X$103,0)),"")</f>
        <v>0</v>
      </c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</row>
    <row r="27" spans="1:41">
      <c r="A27" s="138" t="str">
        <f>IFERROR(INDEX('Current AR'!A$6:A$103,MATCH(22,'Current AR'!X$6:X$103,0)),"")</f>
        <v>Client Alpha (Steel EPC)</v>
      </c>
      <c r="B27" s="138" t="str">
        <f>IFERROR(INDEX('Current AR'!D$6:D$103,MATCH(22,'Current AR'!X$6:X$103,0)),"")</f>
        <v>70000022</v>
      </c>
      <c r="C27" s="138" t="str">
        <f>IFERROR(INDEX('Current AR'!C$6:C$103,MATCH(22,'Current AR'!X$6:X$103,0)),"")</f>
        <v>AR-00022</v>
      </c>
      <c r="D27" s="141">
        <f>IFERROR(INDEX('Current AR'!F$6:F$103,MATCH(22,'Current AR'!X$6:X$103,0)),"")</f>
        <v>46308</v>
      </c>
      <c r="E27" s="142">
        <f>IFERROR(INDEX('Current AR'!I$6:I$103,MATCH(22,'Current AR'!X$6:X$103,0)),"")</f>
        <v>171361616.98589998</v>
      </c>
      <c r="F27" s="138">
        <f>IFERROR(INDEX('Current AR'!Q$6:Q$103,MATCH(22,'Current AR'!X$6:X$103,0)),"")</f>
        <v>-8</v>
      </c>
      <c r="G27" s="138" t="str">
        <f>IFERROR(INDEX('Current AR'!J$6:J$103,MATCH(22,'Current AR'!X$6:X$103,0)),"")</f>
        <v>Senior Sales Rep 1</v>
      </c>
      <c r="H27" s="141">
        <f>IFERROR(INDEX('Current AR'!N$6:N$103,MATCH(22,'Current AR'!X$6:X$103,0)),"")</f>
        <v>0</v>
      </c>
      <c r="I27" s="141">
        <f>IFERROR(INDEX('Current AR'!O$6:O$103,MATCH(22,'Current AR'!X$6:X$103,0)),"")</f>
        <v>0</v>
      </c>
      <c r="J27" s="138">
        <f>IFERROR(INDEX('Current AR'!P$6:P$103,MATCH(22,'Current AR'!X$6:X$103,0)),"")</f>
        <v>0</v>
      </c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</row>
    <row r="28" spans="1:41">
      <c r="A28" s="138" t="str">
        <f>IFERROR(INDEX('Current AR'!A$6:A$103,MATCH(23,'Current AR'!X$6:X$103,0)),"")</f>
        <v>Client Alpha (Steel EPC)</v>
      </c>
      <c r="B28" s="138" t="str">
        <f>IFERROR(INDEX('Current AR'!D$6:D$103,MATCH(23,'Current AR'!X$6:X$103,0)),"")</f>
        <v>70000023</v>
      </c>
      <c r="C28" s="138" t="str">
        <f>IFERROR(INDEX('Current AR'!C$6:C$103,MATCH(23,'Current AR'!X$6:X$103,0)),"")</f>
        <v>AR-00023</v>
      </c>
      <c r="D28" s="141">
        <f>IFERROR(INDEX('Current AR'!F$6:F$103,MATCH(23,'Current AR'!X$6:X$103,0)),"")</f>
        <v>46308</v>
      </c>
      <c r="E28" s="142">
        <f>IFERROR(INDEX('Current AR'!I$6:I$103,MATCH(23,'Current AR'!X$6:X$103,0)),"")</f>
        <v>62935389.4743</v>
      </c>
      <c r="F28" s="138">
        <f>IFERROR(INDEX('Current AR'!Q$6:Q$103,MATCH(23,'Current AR'!X$6:X$103,0)),"")</f>
        <v>-8</v>
      </c>
      <c r="G28" s="138" t="str">
        <f>IFERROR(INDEX('Current AR'!J$6:J$103,MATCH(23,'Current AR'!X$6:X$103,0)),"")</f>
        <v>Senior Sales Rep 1</v>
      </c>
      <c r="H28" s="141">
        <f>IFERROR(INDEX('Current AR'!N$6:N$103,MATCH(23,'Current AR'!X$6:X$103,0)),"")</f>
        <v>0</v>
      </c>
      <c r="I28" s="141">
        <f>IFERROR(INDEX('Current AR'!O$6:O$103,MATCH(23,'Current AR'!X$6:X$103,0)),"")</f>
        <v>0</v>
      </c>
      <c r="J28" s="138">
        <f>IFERROR(INDEX('Current AR'!P$6:P$103,MATCH(23,'Current AR'!X$6:X$103,0)),"")</f>
        <v>0</v>
      </c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</row>
    <row r="29" spans="1:41">
      <c r="A29" s="138" t="str">
        <f>IFERROR(INDEX('Current AR'!A$6:A$103,MATCH(24,'Current AR'!X$6:X$103,0)),"")</f>
        <v>Client Alpha (Steel EPC)</v>
      </c>
      <c r="B29" s="138" t="str">
        <f>IFERROR(INDEX('Current AR'!D$6:D$103,MATCH(24,'Current AR'!X$6:X$103,0)),"")</f>
        <v>70000024</v>
      </c>
      <c r="C29" s="138" t="str">
        <f>IFERROR(INDEX('Current AR'!C$6:C$103,MATCH(24,'Current AR'!X$6:X$103,0)),"")</f>
        <v>AR-00024</v>
      </c>
      <c r="D29" s="141">
        <f>IFERROR(INDEX('Current AR'!F$6:F$103,MATCH(24,'Current AR'!X$6:X$103,0)),"")</f>
        <v>46308</v>
      </c>
      <c r="E29" s="142">
        <f>IFERROR(INDEX('Current AR'!I$6:I$103,MATCH(24,'Current AR'!X$6:X$103,0)),"")</f>
        <v>482373517.06139994</v>
      </c>
      <c r="F29" s="138">
        <f>IFERROR(INDEX('Current AR'!Q$6:Q$103,MATCH(24,'Current AR'!X$6:X$103,0)),"")</f>
        <v>-8</v>
      </c>
      <c r="G29" s="138" t="str">
        <f>IFERROR(INDEX('Current AR'!J$6:J$103,MATCH(24,'Current AR'!X$6:X$103,0)),"")</f>
        <v>Senior Sales Rep 1</v>
      </c>
      <c r="H29" s="141">
        <f>IFERROR(INDEX('Current AR'!N$6:N$103,MATCH(24,'Current AR'!X$6:X$103,0)),"")</f>
        <v>0</v>
      </c>
      <c r="I29" s="141">
        <f>IFERROR(INDEX('Current AR'!O$6:O$103,MATCH(24,'Current AR'!X$6:X$103,0)),"")</f>
        <v>0</v>
      </c>
      <c r="J29" s="138">
        <f>IFERROR(INDEX('Current AR'!P$6:P$103,MATCH(24,'Current AR'!X$6:X$103,0)),"")</f>
        <v>0</v>
      </c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</row>
    <row r="30" spans="1:41">
      <c r="A30" s="138" t="str">
        <f>IFERROR(INDEX('Current AR'!A$6:A$103,MATCH(25,'Current AR'!X$6:X$103,0)),"")</f>
        <v>Client Alpha (Steel EPC)</v>
      </c>
      <c r="B30" s="138" t="str">
        <f>IFERROR(INDEX('Current AR'!D$6:D$103,MATCH(25,'Current AR'!X$6:X$103,0)),"")</f>
        <v>70000025</v>
      </c>
      <c r="C30" s="138" t="str">
        <f>IFERROR(INDEX('Current AR'!C$6:C$103,MATCH(25,'Current AR'!X$6:X$103,0)),"")</f>
        <v>AR-00025</v>
      </c>
      <c r="D30" s="141">
        <f>IFERROR(INDEX('Current AR'!F$6:F$103,MATCH(25,'Current AR'!X$6:X$103,0)),"")</f>
        <v>46308</v>
      </c>
      <c r="E30" s="142">
        <f>IFERROR(INDEX('Current AR'!I$6:I$103,MATCH(25,'Current AR'!X$6:X$103,0)),"")</f>
        <v>73836514.19399999</v>
      </c>
      <c r="F30" s="138">
        <f>IFERROR(INDEX('Current AR'!Q$6:Q$103,MATCH(25,'Current AR'!X$6:X$103,0)),"")</f>
        <v>-8</v>
      </c>
      <c r="G30" s="138" t="str">
        <f>IFERROR(INDEX('Current AR'!J$6:J$103,MATCH(25,'Current AR'!X$6:X$103,0)),"")</f>
        <v>Senior Sales Rep 1</v>
      </c>
      <c r="H30" s="141">
        <f>IFERROR(INDEX('Current AR'!N$6:N$103,MATCH(25,'Current AR'!X$6:X$103,0)),"")</f>
        <v>0</v>
      </c>
      <c r="I30" s="141">
        <f>IFERROR(INDEX('Current AR'!O$6:O$103,MATCH(25,'Current AR'!X$6:X$103,0)),"")</f>
        <v>0</v>
      </c>
      <c r="J30" s="138">
        <f>IFERROR(INDEX('Current AR'!P$6:P$103,MATCH(25,'Current AR'!X$6:X$103,0)),"")</f>
        <v>0</v>
      </c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</row>
    <row r="31" spans="1:41">
      <c r="A31" s="138" t="str">
        <f>IFERROR(INDEX('Current AR'!A$6:A$103,MATCH(26,'Current AR'!X$6:X$103,0)),"")</f>
        <v>Client Alpha (Steel EPC)</v>
      </c>
      <c r="B31" s="138" t="str">
        <f>IFERROR(INDEX('Current AR'!D$6:D$103,MATCH(26,'Current AR'!X$6:X$103,0)),"")</f>
        <v>70000026</v>
      </c>
      <c r="C31" s="138" t="str">
        <f>IFERROR(INDEX('Current AR'!C$6:C$103,MATCH(26,'Current AR'!X$6:X$103,0)),"")</f>
        <v>AR-00026</v>
      </c>
      <c r="D31" s="141">
        <f>IFERROR(INDEX('Current AR'!F$6:F$103,MATCH(26,'Current AR'!X$6:X$103,0)),"")</f>
        <v>46308</v>
      </c>
      <c r="E31" s="142">
        <f>IFERROR(INDEX('Current AR'!I$6:I$103,MATCH(26,'Current AR'!X$6:X$103,0)),"")</f>
        <v>143336228.20979998</v>
      </c>
      <c r="F31" s="138">
        <f>IFERROR(INDEX('Current AR'!Q$6:Q$103,MATCH(26,'Current AR'!X$6:X$103,0)),"")</f>
        <v>-8</v>
      </c>
      <c r="G31" s="138" t="str">
        <f>IFERROR(INDEX('Current AR'!J$6:J$103,MATCH(26,'Current AR'!X$6:X$103,0)),"")</f>
        <v>Senior Sales Rep 1</v>
      </c>
      <c r="H31" s="141">
        <f>IFERROR(INDEX('Current AR'!N$6:N$103,MATCH(26,'Current AR'!X$6:X$103,0)),"")</f>
        <v>0</v>
      </c>
      <c r="I31" s="141">
        <f>IFERROR(INDEX('Current AR'!O$6:O$103,MATCH(26,'Current AR'!X$6:X$103,0)),"")</f>
        <v>0</v>
      </c>
      <c r="J31" s="138">
        <f>IFERROR(INDEX('Current AR'!P$6:P$103,MATCH(26,'Current AR'!X$6:X$103,0)),"")</f>
        <v>0</v>
      </c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</row>
    <row r="32" spans="1:41">
      <c r="A32" s="138" t="str">
        <f>IFERROR(INDEX('Current AR'!A$6:A$103,MATCH(27,'Current AR'!X$6:X$103,0)),"")</f>
        <v>Client Alpha (Steel EPC)</v>
      </c>
      <c r="B32" s="138" t="str">
        <f>IFERROR(INDEX('Current AR'!D$6:D$103,MATCH(27,'Current AR'!X$6:X$103,0)),"")</f>
        <v>70000027</v>
      </c>
      <c r="C32" s="138" t="str">
        <f>IFERROR(INDEX('Current AR'!C$6:C$103,MATCH(27,'Current AR'!X$6:X$103,0)),"")</f>
        <v>AR-00027</v>
      </c>
      <c r="D32" s="141">
        <f>IFERROR(INDEX('Current AR'!F$6:F$103,MATCH(27,'Current AR'!X$6:X$103,0)),"")</f>
        <v>46308</v>
      </c>
      <c r="E32" s="142">
        <f>IFERROR(INDEX('Current AR'!I$6:I$103,MATCH(27,'Current AR'!X$6:X$103,0)),"")</f>
        <v>61980936.80849999</v>
      </c>
      <c r="F32" s="138">
        <f>IFERROR(INDEX('Current AR'!Q$6:Q$103,MATCH(27,'Current AR'!X$6:X$103,0)),"")</f>
        <v>-8</v>
      </c>
      <c r="G32" s="138" t="str">
        <f>IFERROR(INDEX('Current AR'!J$6:J$103,MATCH(27,'Current AR'!X$6:X$103,0)),"")</f>
        <v>Senior Sales Rep 2</v>
      </c>
      <c r="H32" s="141">
        <f>IFERROR(INDEX('Current AR'!N$6:N$103,MATCH(27,'Current AR'!X$6:X$103,0)),"")</f>
        <v>0</v>
      </c>
      <c r="I32" s="141">
        <f>IFERROR(INDEX('Current AR'!O$6:O$103,MATCH(27,'Current AR'!X$6:X$103,0)),"")</f>
        <v>0</v>
      </c>
      <c r="J32" s="138">
        <f>IFERROR(INDEX('Current AR'!P$6:P$103,MATCH(27,'Current AR'!X$6:X$103,0)),"")</f>
        <v>0</v>
      </c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</row>
    <row r="33" spans="1:41">
      <c r="A33" s="138" t="str">
        <f>IFERROR(INDEX('Current AR'!A$6:A$103,MATCH(28,'Current AR'!X$6:X$103,0)),"")</f>
        <v>Client Alpha (Steel EPC)</v>
      </c>
      <c r="B33" s="138" t="str">
        <f>IFERROR(INDEX('Current AR'!D$6:D$103,MATCH(28,'Current AR'!X$6:X$103,0)),"")</f>
        <v>70000028</v>
      </c>
      <c r="C33" s="138" t="str">
        <f>IFERROR(INDEX('Current AR'!C$6:C$103,MATCH(28,'Current AR'!X$6:X$103,0)),"")</f>
        <v>AR-00028</v>
      </c>
      <c r="D33" s="141">
        <f>IFERROR(INDEX('Current AR'!F$6:F$103,MATCH(28,'Current AR'!X$6:X$103,0)),"")</f>
        <v>46309</v>
      </c>
      <c r="E33" s="142">
        <f>IFERROR(INDEX('Current AR'!I$6:I$103,MATCH(28,'Current AR'!X$6:X$103,0)),"")</f>
        <v>556669523.6573999</v>
      </c>
      <c r="F33" s="138">
        <f>IFERROR(INDEX('Current AR'!Q$6:Q$103,MATCH(28,'Current AR'!X$6:X$103,0)),"")</f>
        <v>-9</v>
      </c>
      <c r="G33" s="138" t="str">
        <f>IFERROR(INDEX('Current AR'!J$6:J$103,MATCH(28,'Current AR'!X$6:X$103,0)),"")</f>
        <v>Senior Sales Rep 1</v>
      </c>
      <c r="H33" s="141">
        <f>IFERROR(INDEX('Current AR'!N$6:N$103,MATCH(28,'Current AR'!X$6:X$103,0)),"")</f>
        <v>0</v>
      </c>
      <c r="I33" s="141">
        <f>IFERROR(INDEX('Current AR'!O$6:O$103,MATCH(28,'Current AR'!X$6:X$103,0)),"")</f>
        <v>0</v>
      </c>
      <c r="J33" s="138">
        <f>IFERROR(INDEX('Current AR'!P$6:P$103,MATCH(28,'Current AR'!X$6:X$103,0)),"")</f>
        <v>0</v>
      </c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</row>
    <row r="34" spans="1:41">
      <c r="A34" s="138" t="str">
        <f>IFERROR(INDEX('Current AR'!A$6:A$103,MATCH(29,'Current AR'!X$6:X$103,0)),"")</f>
        <v>Client Alpha (Steel EPC)</v>
      </c>
      <c r="B34" s="138" t="str">
        <f>IFERROR(INDEX('Current AR'!D$6:D$103,MATCH(29,'Current AR'!X$6:X$103,0)),"")</f>
        <v>70000029</v>
      </c>
      <c r="C34" s="138" t="str">
        <f>IFERROR(INDEX('Current AR'!C$6:C$103,MATCH(29,'Current AR'!X$6:X$103,0)),"")</f>
        <v>AR-00029</v>
      </c>
      <c r="D34" s="141">
        <f>IFERROR(INDEX('Current AR'!F$6:F$103,MATCH(29,'Current AR'!X$6:X$103,0)),"")</f>
        <v>46309</v>
      </c>
      <c r="E34" s="142">
        <f>IFERROR(INDEX('Current AR'!I$6:I$103,MATCH(29,'Current AR'!X$6:X$103,0)),"")</f>
        <v>368872456.0143</v>
      </c>
      <c r="F34" s="138">
        <f>IFERROR(INDEX('Current AR'!Q$6:Q$103,MATCH(29,'Current AR'!X$6:X$103,0)),"")</f>
        <v>-9</v>
      </c>
      <c r="G34" s="138" t="str">
        <f>IFERROR(INDEX('Current AR'!J$6:J$103,MATCH(29,'Current AR'!X$6:X$103,0)),"")</f>
        <v>Senior Sales Rep 1</v>
      </c>
      <c r="H34" s="141">
        <f>IFERROR(INDEX('Current AR'!N$6:N$103,MATCH(29,'Current AR'!X$6:X$103,0)),"")</f>
        <v>0</v>
      </c>
      <c r="I34" s="141">
        <f>IFERROR(INDEX('Current AR'!O$6:O$103,MATCH(29,'Current AR'!X$6:X$103,0)),"")</f>
        <v>0</v>
      </c>
      <c r="J34" s="138">
        <f>IFERROR(INDEX('Current AR'!P$6:P$103,MATCH(29,'Current AR'!X$6:X$103,0)),"")</f>
        <v>0</v>
      </c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</row>
    <row r="35" spans="1:41">
      <c r="A35" s="138" t="str">
        <f>IFERROR(INDEX('Current AR'!A$6:A$103,MATCH(30,'Current AR'!X$6:X$103,0)),"")</f>
        <v>Client Alpha (Steel EPC)</v>
      </c>
      <c r="B35" s="138" t="str">
        <f>IFERROR(INDEX('Current AR'!D$6:D$103,MATCH(30,'Current AR'!X$6:X$103,0)),"")</f>
        <v>70000030</v>
      </c>
      <c r="C35" s="138" t="str">
        <f>IFERROR(INDEX('Current AR'!C$6:C$103,MATCH(30,'Current AR'!X$6:X$103,0)),"")</f>
        <v>AR-00030</v>
      </c>
      <c r="D35" s="141">
        <f>IFERROR(INDEX('Current AR'!F$6:F$103,MATCH(30,'Current AR'!X$6:X$103,0)),"")</f>
        <v>46328</v>
      </c>
      <c r="E35" s="142">
        <f>IFERROR(INDEX('Current AR'!I$6:I$103,MATCH(30,'Current AR'!X$6:X$103,0)),"")</f>
        <v>148513401.8067</v>
      </c>
      <c r="F35" s="138">
        <f>IFERROR(INDEX('Current AR'!Q$6:Q$103,MATCH(30,'Current AR'!X$6:X$103,0)),"")</f>
        <v>-28</v>
      </c>
      <c r="G35" s="138" t="str">
        <f>IFERROR(INDEX('Current AR'!J$6:J$103,MATCH(30,'Current AR'!X$6:X$103,0)),"")</f>
        <v>Senior Sales Rep 1</v>
      </c>
      <c r="H35" s="141">
        <f>IFERROR(INDEX('Current AR'!N$6:N$103,MATCH(30,'Current AR'!X$6:X$103,0)),"")</f>
        <v>0</v>
      </c>
      <c r="I35" s="141">
        <f>IFERROR(INDEX('Current AR'!O$6:O$103,MATCH(30,'Current AR'!X$6:X$103,0)),"")</f>
        <v>0</v>
      </c>
      <c r="J35" s="138">
        <f>IFERROR(INDEX('Current AR'!P$6:P$103,MATCH(30,'Current AR'!X$6:X$103,0)),"")</f>
        <v>0</v>
      </c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</row>
    <row r="36" spans="1:41">
      <c r="A36" s="138" t="str">
        <f>IFERROR(INDEX('Current AR'!A$6:A$103,MATCH(31,'Current AR'!X$6:X$103,0)),"")</f>
        <v>Client Alpha (Steel EPC)</v>
      </c>
      <c r="B36" s="138" t="str">
        <f>IFERROR(INDEX('Current AR'!D$6:D$103,MATCH(31,'Current AR'!X$6:X$103,0)),"")</f>
        <v>70000031</v>
      </c>
      <c r="C36" s="138" t="str">
        <f>IFERROR(INDEX('Current AR'!C$6:C$103,MATCH(31,'Current AR'!X$6:X$103,0)),"")</f>
        <v>AR-00031</v>
      </c>
      <c r="D36" s="141">
        <f>IFERROR(INDEX('Current AR'!F$6:F$103,MATCH(31,'Current AR'!X$6:X$103,0)),"")</f>
        <v>46328</v>
      </c>
      <c r="E36" s="142">
        <f>IFERROR(INDEX('Current AR'!I$6:I$103,MATCH(31,'Current AR'!X$6:X$103,0)),"")</f>
        <v>215626418.61599997</v>
      </c>
      <c r="F36" s="138">
        <f>IFERROR(INDEX('Current AR'!Q$6:Q$103,MATCH(31,'Current AR'!X$6:X$103,0)),"")</f>
        <v>-28</v>
      </c>
      <c r="G36" s="138" t="str">
        <f>IFERROR(INDEX('Current AR'!J$6:J$103,MATCH(31,'Current AR'!X$6:X$103,0)),"")</f>
        <v>Senior Sales Rep 1</v>
      </c>
      <c r="H36" s="141">
        <f>IFERROR(INDEX('Current AR'!N$6:N$103,MATCH(31,'Current AR'!X$6:X$103,0)),"")</f>
        <v>0</v>
      </c>
      <c r="I36" s="141">
        <f>IFERROR(INDEX('Current AR'!O$6:O$103,MATCH(31,'Current AR'!X$6:X$103,0)),"")</f>
        <v>0</v>
      </c>
      <c r="J36" s="138">
        <f>IFERROR(INDEX('Current AR'!P$6:P$103,MATCH(31,'Current AR'!X$6:X$103,0)),"")</f>
        <v>0</v>
      </c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</row>
    <row r="37" spans="1:41">
      <c r="A37" s="138" t="str">
        <f>IFERROR(INDEX('Current AR'!A$6:A$103,MATCH(32,'Current AR'!X$6:X$103,0)),"")</f>
        <v>Client Alpha (Steel EPC)</v>
      </c>
      <c r="B37" s="138" t="str">
        <f>IFERROR(INDEX('Current AR'!D$6:D$103,MATCH(32,'Current AR'!X$6:X$103,0)),"")</f>
        <v>70000032</v>
      </c>
      <c r="C37" s="138" t="str">
        <f>IFERROR(INDEX('Current AR'!C$6:C$103,MATCH(32,'Current AR'!X$6:X$103,0)),"")</f>
        <v>AR-00032</v>
      </c>
      <c r="D37" s="141">
        <f>IFERROR(INDEX('Current AR'!F$6:F$103,MATCH(32,'Current AR'!X$6:X$103,0)),"")</f>
        <v>46328</v>
      </c>
      <c r="E37" s="142">
        <f>IFERROR(INDEX('Current AR'!I$6:I$103,MATCH(32,'Current AR'!X$6:X$103,0)),"")</f>
        <v>149021088.86009997</v>
      </c>
      <c r="F37" s="138">
        <f>IFERROR(INDEX('Current AR'!Q$6:Q$103,MATCH(32,'Current AR'!X$6:X$103,0)),"")</f>
        <v>-28</v>
      </c>
      <c r="G37" s="138" t="str">
        <f>IFERROR(INDEX('Current AR'!J$6:J$103,MATCH(32,'Current AR'!X$6:X$103,0)),"")</f>
        <v>Senior Sales Rep 1</v>
      </c>
      <c r="H37" s="141">
        <f>IFERROR(INDEX('Current AR'!N$6:N$103,MATCH(32,'Current AR'!X$6:X$103,0)),"")</f>
        <v>0</v>
      </c>
      <c r="I37" s="141">
        <f>IFERROR(INDEX('Current AR'!O$6:O$103,MATCH(32,'Current AR'!X$6:X$103,0)),"")</f>
        <v>0</v>
      </c>
      <c r="J37" s="138">
        <f>IFERROR(INDEX('Current AR'!P$6:P$103,MATCH(32,'Current AR'!X$6:X$103,0)),"")</f>
        <v>0</v>
      </c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</row>
    <row r="38" spans="1:41">
      <c r="A38" s="138" t="str">
        <f>IFERROR(INDEX('Current AR'!A$6:A$103,MATCH(33,'Current AR'!X$6:X$103,0)),"")</f>
        <v>Client Alpha (Steel EPC)</v>
      </c>
      <c r="B38" s="138" t="str">
        <f>IFERROR(INDEX('Current AR'!D$6:D$103,MATCH(33,'Current AR'!X$6:X$103,0)),"")</f>
        <v>70000033</v>
      </c>
      <c r="C38" s="138" t="str">
        <f>IFERROR(INDEX('Current AR'!C$6:C$103,MATCH(33,'Current AR'!X$6:X$103,0)),"")</f>
        <v>AR-00033</v>
      </c>
      <c r="D38" s="141">
        <f>IFERROR(INDEX('Current AR'!F$6:F$103,MATCH(33,'Current AR'!X$6:X$103,0)),"")</f>
        <v>46330</v>
      </c>
      <c r="E38" s="142">
        <f>IFERROR(INDEX('Current AR'!I$6:I$103,MATCH(33,'Current AR'!X$6:X$103,0)),"")</f>
        <v>235280248.3557</v>
      </c>
      <c r="F38" s="138">
        <f>IFERROR(INDEX('Current AR'!Q$6:Q$103,MATCH(33,'Current AR'!X$6:X$103,0)),"")</f>
        <v>-30</v>
      </c>
      <c r="G38" s="138" t="str">
        <f>IFERROR(INDEX('Current AR'!J$6:J$103,MATCH(33,'Current AR'!X$6:X$103,0)),"")</f>
        <v>Senior Sales Rep 1</v>
      </c>
      <c r="H38" s="141">
        <f>IFERROR(INDEX('Current AR'!N$6:N$103,MATCH(33,'Current AR'!X$6:X$103,0)),"")</f>
        <v>0</v>
      </c>
      <c r="I38" s="141">
        <f>IFERROR(INDEX('Current AR'!O$6:O$103,MATCH(33,'Current AR'!X$6:X$103,0)),"")</f>
        <v>0</v>
      </c>
      <c r="J38" s="138">
        <f>IFERROR(INDEX('Current AR'!P$6:P$103,MATCH(33,'Current AR'!X$6:X$103,0)),"")</f>
        <v>0</v>
      </c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</row>
    <row r="39" spans="1:41">
      <c r="A39" s="138" t="str">
        <f>IFERROR(INDEX('Current AR'!A$6:A$103,MATCH(34,'Current AR'!X$6:X$103,0)),"")</f>
        <v>Client Alpha (Steel EPC)</v>
      </c>
      <c r="B39" s="138" t="str">
        <f>IFERROR(INDEX('Current AR'!D$6:D$103,MATCH(34,'Current AR'!X$6:X$103,0)),"")</f>
        <v>70000034</v>
      </c>
      <c r="C39" s="138" t="str">
        <f>IFERROR(INDEX('Current AR'!C$6:C$103,MATCH(34,'Current AR'!X$6:X$103,0)),"")</f>
        <v>AR-00034</v>
      </c>
      <c r="D39" s="141">
        <f>IFERROR(INDEX('Current AR'!F$6:F$103,MATCH(34,'Current AR'!X$6:X$103,0)),"")</f>
        <v>46330</v>
      </c>
      <c r="E39" s="142">
        <f>IFERROR(INDEX('Current AR'!I$6:I$103,MATCH(34,'Current AR'!X$6:X$103,0)),"")</f>
        <v>138462329.6523</v>
      </c>
      <c r="F39" s="138">
        <f>IFERROR(INDEX('Current AR'!Q$6:Q$103,MATCH(34,'Current AR'!X$6:X$103,0)),"")</f>
        <v>-30</v>
      </c>
      <c r="G39" s="138" t="str">
        <f>IFERROR(INDEX('Current AR'!J$6:J$103,MATCH(34,'Current AR'!X$6:X$103,0)),"")</f>
        <v>Senior Sales Rep 1</v>
      </c>
      <c r="H39" s="141">
        <f>IFERROR(INDEX('Current AR'!N$6:N$103,MATCH(34,'Current AR'!X$6:X$103,0)),"")</f>
        <v>0</v>
      </c>
      <c r="I39" s="141">
        <f>IFERROR(INDEX('Current AR'!O$6:O$103,MATCH(34,'Current AR'!X$6:X$103,0)),"")</f>
        <v>0</v>
      </c>
      <c r="J39" s="138">
        <f>IFERROR(INDEX('Current AR'!P$6:P$103,MATCH(34,'Current AR'!X$6:X$103,0)),"")</f>
        <v>0</v>
      </c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</row>
    <row r="40" spans="1:41">
      <c r="A40" s="138" t="str">
        <f>IFERROR(INDEX('Current AR'!A$6:A$103,MATCH(35,'Current AR'!X$6:X$103,0)),"")</f>
        <v>Client Alpha (Steel EPC)</v>
      </c>
      <c r="B40" s="138" t="str">
        <f>IFERROR(INDEX('Current AR'!D$6:D$103,MATCH(35,'Current AR'!X$6:X$103,0)),"")</f>
        <v>70000035</v>
      </c>
      <c r="C40" s="138" t="str">
        <f>IFERROR(INDEX('Current AR'!C$6:C$103,MATCH(35,'Current AR'!X$6:X$103,0)),"")</f>
        <v>AR-00035</v>
      </c>
      <c r="D40" s="141">
        <f>IFERROR(INDEX('Current AR'!F$6:F$103,MATCH(35,'Current AR'!X$6:X$103,0)),"")</f>
        <v>46330</v>
      </c>
      <c r="E40" s="142">
        <f>IFERROR(INDEX('Current AR'!I$6:I$103,MATCH(35,'Current AR'!X$6:X$103,0)),"")</f>
        <v>45301417.0755</v>
      </c>
      <c r="F40" s="138">
        <f>IFERROR(INDEX('Current AR'!Q$6:Q$103,MATCH(35,'Current AR'!X$6:X$103,0)),"")</f>
        <v>-30</v>
      </c>
      <c r="G40" s="138" t="str">
        <f>IFERROR(INDEX('Current AR'!J$6:J$103,MATCH(35,'Current AR'!X$6:X$103,0)),"")</f>
        <v>Senior Sales Rep 1</v>
      </c>
      <c r="H40" s="141">
        <f>IFERROR(INDEX('Current AR'!N$6:N$103,MATCH(35,'Current AR'!X$6:X$103,0)),"")</f>
        <v>0</v>
      </c>
      <c r="I40" s="141">
        <f>IFERROR(INDEX('Current AR'!O$6:O$103,MATCH(35,'Current AR'!X$6:X$103,0)),"")</f>
        <v>0</v>
      </c>
      <c r="J40" s="138">
        <f>IFERROR(INDEX('Current AR'!P$6:P$103,MATCH(35,'Current AR'!X$6:X$103,0)),"")</f>
        <v>0</v>
      </c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</row>
    <row r="41" spans="1:41">
      <c r="A41" s="138" t="str">
        <f>IFERROR(INDEX('Current AR'!A$6:A$103,MATCH(36,'Current AR'!X$6:X$103,0)),"")</f>
        <v>Client Alpha (Steel EPC)</v>
      </c>
      <c r="B41" s="138" t="str">
        <f>IFERROR(INDEX('Current AR'!D$6:D$103,MATCH(36,'Current AR'!X$6:X$103,0)),"")</f>
        <v>70000036</v>
      </c>
      <c r="C41" s="138" t="str">
        <f>IFERROR(INDEX('Current AR'!C$6:C$103,MATCH(36,'Current AR'!X$6:X$103,0)),"")</f>
        <v>AR-00036</v>
      </c>
      <c r="D41" s="141">
        <f>IFERROR(INDEX('Current AR'!F$6:F$103,MATCH(36,'Current AR'!X$6:X$103,0)),"")</f>
        <v>46334</v>
      </c>
      <c r="E41" s="142">
        <f>IFERROR(INDEX('Current AR'!I$6:I$103,MATCH(36,'Current AR'!X$6:X$103,0)),"")</f>
        <v>37167751.186799996</v>
      </c>
      <c r="F41" s="138">
        <f>IFERROR(INDEX('Current AR'!Q$6:Q$103,MATCH(36,'Current AR'!X$6:X$103,0)),"")</f>
        <v>-34</v>
      </c>
      <c r="G41" s="138" t="str">
        <f>IFERROR(INDEX('Current AR'!J$6:J$103,MATCH(36,'Current AR'!X$6:X$103,0)),"")</f>
        <v>Senior Sales Rep 2</v>
      </c>
      <c r="H41" s="141">
        <f>IFERROR(INDEX('Current AR'!N$6:N$103,MATCH(36,'Current AR'!X$6:X$103,0)),"")</f>
        <v>0</v>
      </c>
      <c r="I41" s="141">
        <f>IFERROR(INDEX('Current AR'!O$6:O$103,MATCH(36,'Current AR'!X$6:X$103,0)),"")</f>
        <v>0</v>
      </c>
      <c r="J41" s="138">
        <f>IFERROR(INDEX('Current AR'!P$6:P$103,MATCH(36,'Current AR'!X$6:X$103,0)),"")</f>
        <v>0</v>
      </c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</row>
    <row r="42" spans="1:41">
      <c r="A42" s="138" t="str">
        <f>IFERROR(INDEX('Current AR'!A$6:A$103,MATCH(37,'Current AR'!X$6:X$103,0)),"")</f>
        <v>Client Alpha (Steel EPC)</v>
      </c>
      <c r="B42" s="138" t="str">
        <f>IFERROR(INDEX('Current AR'!D$6:D$103,MATCH(37,'Current AR'!X$6:X$103,0)),"")</f>
        <v>70000037</v>
      </c>
      <c r="C42" s="138" t="str">
        <f>IFERROR(INDEX('Current AR'!C$6:C$103,MATCH(37,'Current AR'!X$6:X$103,0)),"")</f>
        <v>AR-00037</v>
      </c>
      <c r="D42" s="141">
        <f>IFERROR(INDEX('Current AR'!F$6:F$103,MATCH(37,'Current AR'!X$6:X$103,0)),"")</f>
        <v>46334</v>
      </c>
      <c r="E42" s="142">
        <f>IFERROR(INDEX('Current AR'!I$6:I$103,MATCH(37,'Current AR'!X$6:X$103,0)),"")</f>
        <v>527864904.93119997</v>
      </c>
      <c r="F42" s="138">
        <f>IFERROR(INDEX('Current AR'!Q$6:Q$103,MATCH(37,'Current AR'!X$6:X$103,0)),"")</f>
        <v>-34</v>
      </c>
      <c r="G42" s="138" t="str">
        <f>IFERROR(INDEX('Current AR'!J$6:J$103,MATCH(37,'Current AR'!X$6:X$103,0)),"")</f>
        <v>Senior Sales Rep 1</v>
      </c>
      <c r="H42" s="141">
        <f>IFERROR(INDEX('Current AR'!N$6:N$103,MATCH(37,'Current AR'!X$6:X$103,0)),"")</f>
        <v>0</v>
      </c>
      <c r="I42" s="141">
        <f>IFERROR(INDEX('Current AR'!O$6:O$103,MATCH(37,'Current AR'!X$6:X$103,0)),"")</f>
        <v>0</v>
      </c>
      <c r="J42" s="138">
        <f>IFERROR(INDEX('Current AR'!P$6:P$103,MATCH(37,'Current AR'!X$6:X$103,0)),"")</f>
        <v>0</v>
      </c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</row>
    <row r="43" spans="1:41">
      <c r="A43" s="138" t="str">
        <f>IFERROR(INDEX('Current AR'!A$6:A$103,MATCH(38,'Current AR'!X$6:X$103,0)),"")</f>
        <v>Client Alpha (Steel EPC)</v>
      </c>
      <c r="B43" s="138" t="str">
        <f>IFERROR(INDEX('Current AR'!D$6:D$103,MATCH(38,'Current AR'!X$6:X$103,0)),"")</f>
        <v>70000038</v>
      </c>
      <c r="C43" s="138" t="str">
        <f>IFERROR(INDEX('Current AR'!C$6:C$103,MATCH(38,'Current AR'!X$6:X$103,0)),"")</f>
        <v>AR-00038</v>
      </c>
      <c r="D43" s="141">
        <f>IFERROR(INDEX('Current AR'!F$6:F$103,MATCH(38,'Current AR'!X$6:X$103,0)),"")</f>
        <v>46337</v>
      </c>
      <c r="E43" s="142">
        <f>IFERROR(INDEX('Current AR'!I$6:I$103,MATCH(38,'Current AR'!X$6:X$103,0)),"")</f>
        <v>196740292.2426</v>
      </c>
      <c r="F43" s="138">
        <f>IFERROR(INDEX('Current AR'!Q$6:Q$103,MATCH(38,'Current AR'!X$6:X$103,0)),"")</f>
        <v>-37</v>
      </c>
      <c r="G43" s="138" t="str">
        <f>IFERROR(INDEX('Current AR'!J$6:J$103,MATCH(38,'Current AR'!X$6:X$103,0)),"")</f>
        <v>Senior Sales Rep 1</v>
      </c>
      <c r="H43" s="141">
        <f>IFERROR(INDEX('Current AR'!N$6:N$103,MATCH(38,'Current AR'!X$6:X$103,0)),"")</f>
        <v>0</v>
      </c>
      <c r="I43" s="141">
        <f>IFERROR(INDEX('Current AR'!O$6:O$103,MATCH(38,'Current AR'!X$6:X$103,0)),"")</f>
        <v>0</v>
      </c>
      <c r="J43" s="138">
        <f>IFERROR(INDEX('Current AR'!P$6:P$103,MATCH(38,'Current AR'!X$6:X$103,0)),"")</f>
        <v>0</v>
      </c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</row>
    <row r="44" spans="1:41">
      <c r="A44" s="138" t="str">
        <f>IFERROR(INDEX('Current AR'!A$6:A$103,MATCH(39,'Current AR'!X$6:X$103,0)),"")</f>
        <v>Client Alpha (Steel EPC)</v>
      </c>
      <c r="B44" s="138" t="str">
        <f>IFERROR(INDEX('Current AR'!D$6:D$103,MATCH(39,'Current AR'!X$6:X$103,0)),"")</f>
        <v>70000039</v>
      </c>
      <c r="C44" s="138" t="str">
        <f>IFERROR(INDEX('Current AR'!C$6:C$103,MATCH(39,'Current AR'!X$6:X$103,0)),"")</f>
        <v>AR-00039</v>
      </c>
      <c r="D44" s="141">
        <f>IFERROR(INDEX('Current AR'!F$6:F$103,MATCH(39,'Current AR'!X$6:X$103,0)),"")</f>
        <v>46337</v>
      </c>
      <c r="E44" s="142">
        <f>IFERROR(INDEX('Current AR'!I$6:I$103,MATCH(39,'Current AR'!X$6:X$103,0)),"")</f>
        <v>654539207.0006999</v>
      </c>
      <c r="F44" s="138">
        <f>IFERROR(INDEX('Current AR'!Q$6:Q$103,MATCH(39,'Current AR'!X$6:X$103,0)),"")</f>
        <v>-37</v>
      </c>
      <c r="G44" s="138" t="str">
        <f>IFERROR(INDEX('Current AR'!J$6:J$103,MATCH(39,'Current AR'!X$6:X$103,0)),"")</f>
        <v>Senior Sales Rep 1</v>
      </c>
      <c r="H44" s="141">
        <f>IFERROR(INDEX('Current AR'!N$6:N$103,MATCH(39,'Current AR'!X$6:X$103,0)),"")</f>
        <v>0</v>
      </c>
      <c r="I44" s="141">
        <f>IFERROR(INDEX('Current AR'!O$6:O$103,MATCH(39,'Current AR'!X$6:X$103,0)),"")</f>
        <v>0</v>
      </c>
      <c r="J44" s="138">
        <f>IFERROR(INDEX('Current AR'!P$6:P$103,MATCH(39,'Current AR'!X$6:X$103,0)),"")</f>
        <v>0</v>
      </c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</row>
    <row r="45" spans="1:41">
      <c r="A45" s="138" t="str">
        <f>IFERROR(INDEX('Current AR'!A$6:A$103,MATCH(40,'Current AR'!X$6:X$103,0)),"")</f>
        <v>Client Alpha (Steel EPC)</v>
      </c>
      <c r="B45" s="138" t="str">
        <f>IFERROR(INDEX('Current AR'!D$6:D$103,MATCH(40,'Current AR'!X$6:X$103,0)),"")</f>
        <v>70000040</v>
      </c>
      <c r="C45" s="138" t="str">
        <f>IFERROR(INDEX('Current AR'!C$6:C$103,MATCH(40,'Current AR'!X$6:X$103,0)),"")</f>
        <v>AR-00040</v>
      </c>
      <c r="D45" s="141">
        <f>IFERROR(INDEX('Current AR'!F$6:F$103,MATCH(40,'Current AR'!X$6:X$103,0)),"")</f>
        <v>46337</v>
      </c>
      <c r="E45" s="142">
        <f>IFERROR(INDEX('Current AR'!I$6:I$103,MATCH(40,'Current AR'!X$6:X$103,0)),"")</f>
        <v>163482216.6858</v>
      </c>
      <c r="F45" s="138">
        <f>IFERROR(INDEX('Current AR'!Q$6:Q$103,MATCH(40,'Current AR'!X$6:X$103,0)),"")</f>
        <v>-37</v>
      </c>
      <c r="G45" s="138" t="str">
        <f>IFERROR(INDEX('Current AR'!J$6:J$103,MATCH(40,'Current AR'!X$6:X$103,0)),"")</f>
        <v>Senior Sales Rep 1</v>
      </c>
      <c r="H45" s="141">
        <f>IFERROR(INDEX('Current AR'!N$6:N$103,MATCH(40,'Current AR'!X$6:X$103,0)),"")</f>
        <v>0</v>
      </c>
      <c r="I45" s="141">
        <f>IFERROR(INDEX('Current AR'!O$6:O$103,MATCH(40,'Current AR'!X$6:X$103,0)),"")</f>
        <v>0</v>
      </c>
      <c r="J45" s="138">
        <f>IFERROR(INDEX('Current AR'!P$6:P$103,MATCH(40,'Current AR'!X$6:X$103,0)),"")</f>
        <v>0</v>
      </c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</row>
    <row r="46" spans="1:41">
      <c r="A46" s="138" t="str">
        <f>IFERROR(INDEX('Current AR'!A$6:A$103,MATCH(41,'Current AR'!X$6:X$103,0)),"")</f>
        <v>Client Alpha (Steel EPC)</v>
      </c>
      <c r="B46" s="138" t="str">
        <f>IFERROR(INDEX('Current AR'!D$6:D$103,MATCH(41,'Current AR'!X$6:X$103,0)),"")</f>
        <v>70000041</v>
      </c>
      <c r="C46" s="138" t="str">
        <f>IFERROR(INDEX('Current AR'!C$6:C$103,MATCH(41,'Current AR'!X$6:X$103,0)),"")</f>
        <v>AR-00041</v>
      </c>
      <c r="D46" s="141">
        <f>IFERROR(INDEX('Current AR'!F$6:F$103,MATCH(41,'Current AR'!X$6:X$103,0)),"")</f>
        <v>46337</v>
      </c>
      <c r="E46" s="142">
        <f>IFERROR(INDEX('Current AR'!I$6:I$103,MATCH(41,'Current AR'!X$6:X$103,0)),"")</f>
        <v>629722120.1865</v>
      </c>
      <c r="F46" s="138">
        <f>IFERROR(INDEX('Current AR'!Q$6:Q$103,MATCH(41,'Current AR'!X$6:X$103,0)),"")</f>
        <v>-37</v>
      </c>
      <c r="G46" s="138" t="str">
        <f>IFERROR(INDEX('Current AR'!J$6:J$103,MATCH(41,'Current AR'!X$6:X$103,0)),"")</f>
        <v>Senior Sales Rep 2</v>
      </c>
      <c r="H46" s="141">
        <f>IFERROR(INDEX('Current AR'!N$6:N$103,MATCH(41,'Current AR'!X$6:X$103,0)),"")</f>
        <v>0</v>
      </c>
      <c r="I46" s="141">
        <f>IFERROR(INDEX('Current AR'!O$6:O$103,MATCH(41,'Current AR'!X$6:X$103,0)),"")</f>
        <v>0</v>
      </c>
      <c r="J46" s="138">
        <f>IFERROR(INDEX('Current AR'!P$6:P$103,MATCH(41,'Current AR'!X$6:X$103,0)),"")</f>
        <v>0</v>
      </c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</row>
    <row r="47" spans="1:41">
      <c r="A47" s="138" t="str">
        <f>IFERROR(INDEX('Current AR'!A$6:A$103,MATCH(42,'Current AR'!X$6:X$103,0)),"")</f>
        <v>Client Alpha (Steel EPC)</v>
      </c>
      <c r="B47" s="138" t="str">
        <f>IFERROR(INDEX('Current AR'!D$6:D$103,MATCH(42,'Current AR'!X$6:X$103,0)),"")</f>
        <v>70000042</v>
      </c>
      <c r="C47" s="138" t="str">
        <f>IFERROR(INDEX('Current AR'!C$6:C$103,MATCH(42,'Current AR'!X$6:X$103,0)),"")</f>
        <v>AR-00042</v>
      </c>
      <c r="D47" s="141">
        <f>IFERROR(INDEX('Current AR'!F$6:F$103,MATCH(42,'Current AR'!X$6:X$103,0)),"")</f>
        <v>46337</v>
      </c>
      <c r="E47" s="142">
        <f>IFERROR(INDEX('Current AR'!I$6:I$103,MATCH(42,'Current AR'!X$6:X$103,0)),"")</f>
        <v>5942279792.207099</v>
      </c>
      <c r="F47" s="138">
        <f>IFERROR(INDEX('Current AR'!Q$6:Q$103,MATCH(42,'Current AR'!X$6:X$103,0)),"")</f>
        <v>-37</v>
      </c>
      <c r="G47" s="138" t="str">
        <f>IFERROR(INDEX('Current AR'!J$6:J$103,MATCH(42,'Current AR'!X$6:X$103,0)),"")</f>
        <v>Senior Sales Rep 2</v>
      </c>
      <c r="H47" s="141">
        <f>IFERROR(INDEX('Current AR'!N$6:N$103,MATCH(42,'Current AR'!X$6:X$103,0)),"")</f>
        <v>0</v>
      </c>
      <c r="I47" s="141">
        <f>IFERROR(INDEX('Current AR'!O$6:O$103,MATCH(42,'Current AR'!X$6:X$103,0)),"")</f>
        <v>0</v>
      </c>
      <c r="J47" s="138">
        <f>IFERROR(INDEX('Current AR'!P$6:P$103,MATCH(42,'Current AR'!X$6:X$103,0)),"")</f>
        <v>0</v>
      </c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</row>
    <row r="48" spans="1:41">
      <c r="A48" s="138" t="str">
        <f>IFERROR(INDEX('Current AR'!A$6:A$103,MATCH(43,'Current AR'!X$6:X$103,0)),"")</f>
        <v>Client Alpha (Steel EPC)</v>
      </c>
      <c r="B48" s="138" t="str">
        <f>IFERROR(INDEX('Current AR'!D$6:D$103,MATCH(43,'Current AR'!X$6:X$103,0)),"")</f>
        <v>70000043</v>
      </c>
      <c r="C48" s="138" t="str">
        <f>IFERROR(INDEX('Current AR'!C$6:C$103,MATCH(43,'Current AR'!X$6:X$103,0)),"")</f>
        <v>AR-00043</v>
      </c>
      <c r="D48" s="141">
        <f>IFERROR(INDEX('Current AR'!F$6:F$103,MATCH(43,'Current AR'!X$6:X$103,0)),"")</f>
        <v>46343</v>
      </c>
      <c r="E48" s="142">
        <f>IFERROR(INDEX('Current AR'!I$6:I$103,MATCH(43,'Current AR'!X$6:X$103,0)),"")</f>
        <v>15415975.323599998</v>
      </c>
      <c r="F48" s="138">
        <f>IFERROR(INDEX('Current AR'!Q$6:Q$103,MATCH(43,'Current AR'!X$6:X$103,0)),"")</f>
        <v>-43</v>
      </c>
      <c r="G48" s="138" t="str">
        <f>IFERROR(INDEX('Current AR'!J$6:J$103,MATCH(43,'Current AR'!X$6:X$103,0)),"")</f>
        <v>Senior Sales Rep 1</v>
      </c>
      <c r="H48" s="141">
        <f>IFERROR(INDEX('Current AR'!N$6:N$103,MATCH(43,'Current AR'!X$6:X$103,0)),"")</f>
        <v>0</v>
      </c>
      <c r="I48" s="141">
        <f>IFERROR(INDEX('Current AR'!O$6:O$103,MATCH(43,'Current AR'!X$6:X$103,0)),"")</f>
        <v>0</v>
      </c>
      <c r="J48" s="138">
        <f>IFERROR(INDEX('Current AR'!P$6:P$103,MATCH(43,'Current AR'!X$6:X$103,0)),"")</f>
        <v>0</v>
      </c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</row>
    <row r="49" spans="1:41">
      <c r="A49" s="138" t="str">
        <f>IFERROR(INDEX('Current AR'!A$6:A$103,MATCH(44,'Current AR'!X$6:X$103,0)),"")</f>
        <v>Client Alpha (Steel EPC)</v>
      </c>
      <c r="B49" s="138" t="str">
        <f>IFERROR(INDEX('Current AR'!D$6:D$103,MATCH(44,'Current AR'!X$6:X$103,0)),"")</f>
        <v>70000044</v>
      </c>
      <c r="C49" s="138" t="str">
        <f>IFERROR(INDEX('Current AR'!C$6:C$103,MATCH(44,'Current AR'!X$6:X$103,0)),"")</f>
        <v>AR-00044</v>
      </c>
      <c r="D49" s="141">
        <f>IFERROR(INDEX('Current AR'!F$6:F$103,MATCH(44,'Current AR'!X$6:X$103,0)),"")</f>
        <v>46343</v>
      </c>
      <c r="E49" s="142">
        <f>IFERROR(INDEX('Current AR'!I$6:I$103,MATCH(44,'Current AR'!X$6:X$103,0)),"")</f>
        <v>102773164.9839</v>
      </c>
      <c r="F49" s="138">
        <f>IFERROR(INDEX('Current AR'!Q$6:Q$103,MATCH(44,'Current AR'!X$6:X$103,0)),"")</f>
        <v>-43</v>
      </c>
      <c r="G49" s="138" t="str">
        <f>IFERROR(INDEX('Current AR'!J$6:J$103,MATCH(44,'Current AR'!X$6:X$103,0)),"")</f>
        <v>Senior Sales Rep 1</v>
      </c>
      <c r="H49" s="141">
        <f>IFERROR(INDEX('Current AR'!N$6:N$103,MATCH(44,'Current AR'!X$6:X$103,0)),"")</f>
        <v>0</v>
      </c>
      <c r="I49" s="141">
        <f>IFERROR(INDEX('Current AR'!O$6:O$103,MATCH(44,'Current AR'!X$6:X$103,0)),"")</f>
        <v>0</v>
      </c>
      <c r="J49" s="138">
        <f>IFERROR(INDEX('Current AR'!P$6:P$103,MATCH(44,'Current AR'!X$6:X$103,0)),"")</f>
        <v>0</v>
      </c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</row>
    <row r="50" spans="1:41">
      <c r="A50" s="138" t="str">
        <f>IFERROR(INDEX('Current AR'!A$6:A$103,MATCH(45,'Current AR'!X$6:X$103,0)),"")</f>
        <v>Client Alpha (Steel EPC)</v>
      </c>
      <c r="B50" s="138" t="str">
        <f>IFERROR(INDEX('Current AR'!D$6:D$103,MATCH(45,'Current AR'!X$6:X$103,0)),"")</f>
        <v>70000045</v>
      </c>
      <c r="C50" s="138" t="str">
        <f>IFERROR(INDEX('Current AR'!C$6:C$103,MATCH(45,'Current AR'!X$6:X$103,0)),"")</f>
        <v>AR-00045</v>
      </c>
      <c r="D50" s="141">
        <f>IFERROR(INDEX('Current AR'!F$6:F$103,MATCH(45,'Current AR'!X$6:X$103,0)),"")</f>
        <v>46343</v>
      </c>
      <c r="E50" s="142">
        <f>IFERROR(INDEX('Current AR'!I$6:I$103,MATCH(45,'Current AR'!X$6:X$103,0)),"")</f>
        <v>309368638.1997</v>
      </c>
      <c r="F50" s="138">
        <f>IFERROR(INDEX('Current AR'!Q$6:Q$103,MATCH(45,'Current AR'!X$6:X$103,0)),"")</f>
        <v>-43</v>
      </c>
      <c r="G50" s="138" t="str">
        <f>IFERROR(INDEX('Current AR'!J$6:J$103,MATCH(45,'Current AR'!X$6:X$103,0)),"")</f>
        <v>Senior Sales Rep 1</v>
      </c>
      <c r="H50" s="141">
        <f>IFERROR(INDEX('Current AR'!N$6:N$103,MATCH(45,'Current AR'!X$6:X$103,0)),"")</f>
        <v>0</v>
      </c>
      <c r="I50" s="141">
        <f>IFERROR(INDEX('Current AR'!O$6:O$103,MATCH(45,'Current AR'!X$6:X$103,0)),"")</f>
        <v>0</v>
      </c>
      <c r="J50" s="138">
        <f>IFERROR(INDEX('Current AR'!P$6:P$103,MATCH(45,'Current AR'!X$6:X$103,0)),"")</f>
        <v>0</v>
      </c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</row>
    <row r="51" spans="1:41">
      <c r="A51" s="138" t="str">
        <f>IFERROR(INDEX('Current AR'!A$6:A$103,MATCH(46,'Current AR'!X$6:X$103,0)),"")</f>
        <v>Client Alpha (Steel EPC)</v>
      </c>
      <c r="B51" s="138" t="str">
        <f>IFERROR(INDEX('Current AR'!D$6:D$103,MATCH(46,'Current AR'!X$6:X$103,0)),"")</f>
        <v>70000046</v>
      </c>
      <c r="C51" s="138" t="str">
        <f>IFERROR(INDEX('Current AR'!C$6:C$103,MATCH(46,'Current AR'!X$6:X$103,0)),"")</f>
        <v>AR-00046</v>
      </c>
      <c r="D51" s="141">
        <f>IFERROR(INDEX('Current AR'!F$6:F$103,MATCH(46,'Current AR'!X$6:X$103,0)),"")</f>
        <v>46343</v>
      </c>
      <c r="E51" s="142">
        <f>IFERROR(INDEX('Current AR'!I$6:I$103,MATCH(46,'Current AR'!X$6:X$103,0)),"")</f>
        <v>284395951.9299</v>
      </c>
      <c r="F51" s="138">
        <f>IFERROR(INDEX('Current AR'!Q$6:Q$103,MATCH(46,'Current AR'!X$6:X$103,0)),"")</f>
        <v>-43</v>
      </c>
      <c r="G51" s="138" t="str">
        <f>IFERROR(INDEX('Current AR'!J$6:J$103,MATCH(46,'Current AR'!X$6:X$103,0)),"")</f>
        <v>Senior Sales Rep 1</v>
      </c>
      <c r="H51" s="141">
        <f>IFERROR(INDEX('Current AR'!N$6:N$103,MATCH(46,'Current AR'!X$6:X$103,0)),"")</f>
        <v>0</v>
      </c>
      <c r="I51" s="141">
        <f>IFERROR(INDEX('Current AR'!O$6:O$103,MATCH(46,'Current AR'!X$6:X$103,0)),"")</f>
        <v>0</v>
      </c>
      <c r="J51" s="138">
        <f>IFERROR(INDEX('Current AR'!P$6:P$103,MATCH(46,'Current AR'!X$6:X$103,0)),"")</f>
        <v>0</v>
      </c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</row>
    <row r="52" spans="1:41">
      <c r="A52" s="138" t="str">
        <f>IFERROR(INDEX('Current AR'!A$6:A$103,MATCH(47,'Current AR'!X$6:X$103,0)),"")</f>
        <v>Client Alpha (Steel EPC)</v>
      </c>
      <c r="B52" s="138" t="str">
        <f>IFERROR(INDEX('Current AR'!D$6:D$103,MATCH(47,'Current AR'!X$6:X$103,0)),"")</f>
        <v>70000047</v>
      </c>
      <c r="C52" s="138" t="str">
        <f>IFERROR(INDEX('Current AR'!C$6:C$103,MATCH(47,'Current AR'!X$6:X$103,0)),"")</f>
        <v>AR-00047</v>
      </c>
      <c r="D52" s="141">
        <f>IFERROR(INDEX('Current AR'!F$6:F$103,MATCH(47,'Current AR'!X$6:X$103,0)),"")</f>
        <v>46343</v>
      </c>
      <c r="E52" s="142">
        <f>IFERROR(INDEX('Current AR'!I$6:I$103,MATCH(47,'Current AR'!X$6:X$103,0)),"")</f>
        <v>125327029.16699998</v>
      </c>
      <c r="F52" s="138">
        <f>IFERROR(INDEX('Current AR'!Q$6:Q$103,MATCH(47,'Current AR'!X$6:X$103,0)),"")</f>
        <v>-43</v>
      </c>
      <c r="G52" s="138" t="str">
        <f>IFERROR(INDEX('Current AR'!J$6:J$103,MATCH(47,'Current AR'!X$6:X$103,0)),"")</f>
        <v>Senior Sales Rep 1</v>
      </c>
      <c r="H52" s="141">
        <f>IFERROR(INDEX('Current AR'!N$6:N$103,MATCH(47,'Current AR'!X$6:X$103,0)),"")</f>
        <v>0</v>
      </c>
      <c r="I52" s="141">
        <f>IFERROR(INDEX('Current AR'!O$6:O$103,MATCH(47,'Current AR'!X$6:X$103,0)),"")</f>
        <v>0</v>
      </c>
      <c r="J52" s="138">
        <f>IFERROR(INDEX('Current AR'!P$6:P$103,MATCH(47,'Current AR'!X$6:X$103,0)),"")</f>
        <v>0</v>
      </c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</row>
    <row r="53" spans="1:41">
      <c r="A53" s="138" t="str">
        <f>IFERROR(INDEX('Current AR'!A$6:A$103,MATCH(48,'Current AR'!X$6:X$103,0)),"")</f>
        <v>Client Alpha (Steel EPC)</v>
      </c>
      <c r="B53" s="138" t="str">
        <f>IFERROR(INDEX('Current AR'!D$6:D$103,MATCH(48,'Current AR'!X$6:X$103,0)),"")</f>
        <v>70000048</v>
      </c>
      <c r="C53" s="138" t="str">
        <f>IFERROR(INDEX('Current AR'!C$6:C$103,MATCH(48,'Current AR'!X$6:X$103,0)),"")</f>
        <v>AR-00048</v>
      </c>
      <c r="D53" s="141">
        <f>IFERROR(INDEX('Current AR'!F$6:F$103,MATCH(48,'Current AR'!X$6:X$103,0)),"")</f>
        <v>46343</v>
      </c>
      <c r="E53" s="142">
        <f>IFERROR(INDEX('Current AR'!I$6:I$103,MATCH(48,'Current AR'!X$6:X$103,0)),"")</f>
        <v>92353586.70959999</v>
      </c>
      <c r="F53" s="138">
        <f>IFERROR(INDEX('Current AR'!Q$6:Q$103,MATCH(48,'Current AR'!X$6:X$103,0)),"")</f>
        <v>-43</v>
      </c>
      <c r="G53" s="138" t="str">
        <f>IFERROR(INDEX('Current AR'!J$6:J$103,MATCH(48,'Current AR'!X$6:X$103,0)),"")</f>
        <v>Senior Sales Rep 1</v>
      </c>
      <c r="H53" s="141">
        <f>IFERROR(INDEX('Current AR'!N$6:N$103,MATCH(48,'Current AR'!X$6:X$103,0)),"")</f>
        <v>0</v>
      </c>
      <c r="I53" s="141">
        <f>IFERROR(INDEX('Current AR'!O$6:O$103,MATCH(48,'Current AR'!X$6:X$103,0)),"")</f>
        <v>0</v>
      </c>
      <c r="J53" s="138">
        <f>IFERROR(INDEX('Current AR'!P$6:P$103,MATCH(48,'Current AR'!X$6:X$103,0)),"")</f>
        <v>0</v>
      </c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</row>
    <row r="54" spans="1:41">
      <c r="A54" s="138" t="str">
        <f>IFERROR(INDEX('Current AR'!A$6:A$103,MATCH(49,'Current AR'!X$6:X$103,0)),"")</f>
        <v>Client Alpha (Steel EPC)</v>
      </c>
      <c r="B54" s="138" t="str">
        <f>IFERROR(INDEX('Current AR'!D$6:D$103,MATCH(49,'Current AR'!X$6:X$103,0)),"")</f>
        <v>70000049</v>
      </c>
      <c r="C54" s="138" t="str">
        <f>IFERROR(INDEX('Current AR'!C$6:C$103,MATCH(49,'Current AR'!X$6:X$103,0)),"")</f>
        <v>AR-00049</v>
      </c>
      <c r="D54" s="141">
        <f>IFERROR(INDEX('Current AR'!F$6:F$103,MATCH(49,'Current AR'!X$6:X$103,0)),"")</f>
        <v>46343</v>
      </c>
      <c r="E54" s="142">
        <f>IFERROR(INDEX('Current AR'!I$6:I$103,MATCH(49,'Current AR'!X$6:X$103,0)),"")</f>
        <v>37176091.883999996</v>
      </c>
      <c r="F54" s="138">
        <f>IFERROR(INDEX('Current AR'!Q$6:Q$103,MATCH(49,'Current AR'!X$6:X$103,0)),"")</f>
        <v>-43</v>
      </c>
      <c r="G54" s="138" t="str">
        <f>IFERROR(INDEX('Current AR'!J$6:J$103,MATCH(49,'Current AR'!X$6:X$103,0)),"")</f>
        <v>Senior Sales Rep 1</v>
      </c>
      <c r="H54" s="141">
        <f>IFERROR(INDEX('Current AR'!N$6:N$103,MATCH(49,'Current AR'!X$6:X$103,0)),"")</f>
        <v>0</v>
      </c>
      <c r="I54" s="141">
        <f>IFERROR(INDEX('Current AR'!O$6:O$103,MATCH(49,'Current AR'!X$6:X$103,0)),"")</f>
        <v>0</v>
      </c>
      <c r="J54" s="138">
        <f>IFERROR(INDEX('Current AR'!P$6:P$103,MATCH(49,'Current AR'!X$6:X$103,0)),"")</f>
        <v>0</v>
      </c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</row>
    <row r="55" spans="1:41">
      <c r="A55" s="138" t="str">
        <f>IFERROR(INDEX('Current AR'!A$6:A$103,MATCH(50,'Current AR'!X$6:X$103,0)),"")</f>
        <v>Client Alpha (Steel EPC)</v>
      </c>
      <c r="B55" s="138" t="str">
        <f>IFERROR(INDEX('Current AR'!D$6:D$103,MATCH(50,'Current AR'!X$6:X$103,0)),"")</f>
        <v>70000050</v>
      </c>
      <c r="C55" s="138" t="str">
        <f>IFERROR(INDEX('Current AR'!C$6:C$103,MATCH(50,'Current AR'!X$6:X$103,0)),"")</f>
        <v>AR-00050</v>
      </c>
      <c r="D55" s="141">
        <f>IFERROR(INDEX('Current AR'!F$6:F$103,MATCH(50,'Current AR'!X$6:X$103,0)),"")</f>
        <v>46343</v>
      </c>
      <c r="E55" s="142">
        <f>IFERROR(INDEX('Current AR'!I$6:I$103,MATCH(50,'Current AR'!X$6:X$103,0)),"")</f>
        <v>25890826.95</v>
      </c>
      <c r="F55" s="138">
        <f>IFERROR(INDEX('Current AR'!Q$6:Q$103,MATCH(50,'Current AR'!X$6:X$103,0)),"")</f>
        <v>-43</v>
      </c>
      <c r="G55" s="138" t="str">
        <f>IFERROR(INDEX('Current AR'!J$6:J$103,MATCH(50,'Current AR'!X$6:X$103,0)),"")</f>
        <v>Senior Sales Rep 1</v>
      </c>
      <c r="H55" s="141">
        <f>IFERROR(INDEX('Current AR'!N$6:N$103,MATCH(50,'Current AR'!X$6:X$103,0)),"")</f>
        <v>0</v>
      </c>
      <c r="I55" s="141">
        <f>IFERROR(INDEX('Current AR'!O$6:O$103,MATCH(50,'Current AR'!X$6:X$103,0)),"")</f>
        <v>0</v>
      </c>
      <c r="J55" s="138">
        <f>IFERROR(INDEX('Current AR'!P$6:P$103,MATCH(50,'Current AR'!X$6:X$103,0)),"")</f>
        <v>0</v>
      </c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</row>
    <row r="56" spans="1:41">
      <c r="A56" s="138" t="str">
        <f>IFERROR(INDEX('Current AR'!A$6:A$103,MATCH(51,'Current AR'!X$6:X$103,0)),"")</f>
        <v>Client Alpha (Steel EPC)</v>
      </c>
      <c r="B56" s="138" t="str">
        <f>IFERROR(INDEX('Current AR'!D$6:D$103,MATCH(51,'Current AR'!X$6:X$103,0)),"")</f>
        <v>70000051</v>
      </c>
      <c r="C56" s="138" t="str">
        <f>IFERROR(INDEX('Current AR'!C$6:C$103,MATCH(51,'Current AR'!X$6:X$103,0)),"")</f>
        <v>AR-00051</v>
      </c>
      <c r="D56" s="141">
        <f>IFERROR(INDEX('Current AR'!F$6:F$103,MATCH(51,'Current AR'!X$6:X$103,0)),"")</f>
        <v>46343</v>
      </c>
      <c r="E56" s="142">
        <f>IFERROR(INDEX('Current AR'!I$6:I$103,MATCH(51,'Current AR'!X$6:X$103,0)),"")</f>
        <v>426104517.79739994</v>
      </c>
      <c r="F56" s="138">
        <f>IFERROR(INDEX('Current AR'!Q$6:Q$103,MATCH(51,'Current AR'!X$6:X$103,0)),"")</f>
        <v>-43</v>
      </c>
      <c r="G56" s="138" t="str">
        <f>IFERROR(INDEX('Current AR'!J$6:J$103,MATCH(51,'Current AR'!X$6:X$103,0)),"")</f>
        <v>Senior Sales Rep 1</v>
      </c>
      <c r="H56" s="141">
        <f>IFERROR(INDEX('Current AR'!N$6:N$103,MATCH(51,'Current AR'!X$6:X$103,0)),"")</f>
        <v>0</v>
      </c>
      <c r="I56" s="141">
        <f>IFERROR(INDEX('Current AR'!O$6:O$103,MATCH(51,'Current AR'!X$6:X$103,0)),"")</f>
        <v>0</v>
      </c>
      <c r="J56" s="138">
        <f>IFERROR(INDEX('Current AR'!P$6:P$103,MATCH(51,'Current AR'!X$6:X$103,0)),"")</f>
        <v>0</v>
      </c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</row>
    <row r="57" spans="1:41">
      <c r="A57" s="138" t="str">
        <f>IFERROR(INDEX('Current AR'!A$6:A$103,MATCH(52,'Current AR'!X$6:X$103,0)),"")</f>
        <v>Client Alpha (Steel EPC)</v>
      </c>
      <c r="B57" s="138" t="str">
        <f>IFERROR(INDEX('Current AR'!D$6:D$103,MATCH(52,'Current AR'!X$6:X$103,0)),"")</f>
        <v>70000052</v>
      </c>
      <c r="C57" s="138" t="str">
        <f>IFERROR(INDEX('Current AR'!C$6:C$103,MATCH(52,'Current AR'!X$6:X$103,0)),"")</f>
        <v>AR-00052</v>
      </c>
      <c r="D57" s="141">
        <f>IFERROR(INDEX('Current AR'!F$6:F$103,MATCH(52,'Current AR'!X$6:X$103,0)),"")</f>
        <v>46343</v>
      </c>
      <c r="E57" s="142">
        <f>IFERROR(INDEX('Current AR'!I$6:I$103,MATCH(52,'Current AR'!X$6:X$103,0)),"")</f>
        <v>109600817.40089999</v>
      </c>
      <c r="F57" s="138">
        <f>IFERROR(INDEX('Current AR'!Q$6:Q$103,MATCH(52,'Current AR'!X$6:X$103,0)),"")</f>
        <v>-43</v>
      </c>
      <c r="G57" s="138" t="str">
        <f>IFERROR(INDEX('Current AR'!J$6:J$103,MATCH(52,'Current AR'!X$6:X$103,0)),"")</f>
        <v>Senior Sales Rep 1</v>
      </c>
      <c r="H57" s="141">
        <f>IFERROR(INDEX('Current AR'!N$6:N$103,MATCH(52,'Current AR'!X$6:X$103,0)),"")</f>
        <v>0</v>
      </c>
      <c r="I57" s="141">
        <f>IFERROR(INDEX('Current AR'!O$6:O$103,MATCH(52,'Current AR'!X$6:X$103,0)),"")</f>
        <v>0</v>
      </c>
      <c r="J57" s="138">
        <f>IFERROR(INDEX('Current AR'!P$6:P$103,MATCH(52,'Current AR'!X$6:X$103,0)),"")</f>
        <v>0</v>
      </c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</row>
    <row r="58" spans="1:41">
      <c r="A58" s="138" t="str">
        <f>IFERROR(INDEX('Current AR'!A$6:A$103,MATCH(53,'Current AR'!X$6:X$103,0)),"")</f>
        <v>Client Alpha (Steel EPC)</v>
      </c>
      <c r="B58" s="138" t="str">
        <f>IFERROR(INDEX('Current AR'!D$6:D$103,MATCH(53,'Current AR'!X$6:X$103,0)),"")</f>
        <v>70000053</v>
      </c>
      <c r="C58" s="138" t="str">
        <f>IFERROR(INDEX('Current AR'!C$6:C$103,MATCH(53,'Current AR'!X$6:X$103,0)),"")</f>
        <v>AR-00053</v>
      </c>
      <c r="D58" s="141">
        <f>IFERROR(INDEX('Current AR'!F$6:F$103,MATCH(53,'Current AR'!X$6:X$103,0)),"")</f>
        <v>46343</v>
      </c>
      <c r="E58" s="142">
        <f>IFERROR(INDEX('Current AR'!I$6:I$103,MATCH(53,'Current AR'!X$6:X$103,0)),"")</f>
        <v>202485729.7722</v>
      </c>
      <c r="F58" s="138">
        <f>IFERROR(INDEX('Current AR'!Q$6:Q$103,MATCH(53,'Current AR'!X$6:X$103,0)),"")</f>
        <v>-43</v>
      </c>
      <c r="G58" s="138" t="str">
        <f>IFERROR(INDEX('Current AR'!J$6:J$103,MATCH(53,'Current AR'!X$6:X$103,0)),"")</f>
        <v>Senior Sales Rep 1</v>
      </c>
      <c r="H58" s="141">
        <f>IFERROR(INDEX('Current AR'!N$6:N$103,MATCH(53,'Current AR'!X$6:X$103,0)),"")</f>
        <v>0</v>
      </c>
      <c r="I58" s="141">
        <f>IFERROR(INDEX('Current AR'!O$6:O$103,MATCH(53,'Current AR'!X$6:X$103,0)),"")</f>
        <v>0</v>
      </c>
      <c r="J58" s="138">
        <f>IFERROR(INDEX('Current AR'!P$6:P$103,MATCH(53,'Current AR'!X$6:X$103,0)),"")</f>
        <v>0</v>
      </c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</row>
    <row r="59" spans="1:41">
      <c r="A59" s="138" t="str">
        <f>IFERROR(INDEX('Current AR'!A$6:A$103,MATCH(54,'Current AR'!X$6:X$103,0)),"")</f>
        <v>Client Alpha (Steel EPC)</v>
      </c>
      <c r="B59" s="138" t="str">
        <f>IFERROR(INDEX('Current AR'!D$6:D$103,MATCH(54,'Current AR'!X$6:X$103,0)),"")</f>
        <v>70000054</v>
      </c>
      <c r="C59" s="138" t="str">
        <f>IFERROR(INDEX('Current AR'!C$6:C$103,MATCH(54,'Current AR'!X$6:X$103,0)),"")</f>
        <v>AR-00054</v>
      </c>
      <c r="D59" s="141">
        <f>IFERROR(INDEX('Current AR'!F$6:F$103,MATCH(54,'Current AR'!X$6:X$103,0)),"")</f>
        <v>46343</v>
      </c>
      <c r="E59" s="142">
        <f>IFERROR(INDEX('Current AR'!I$6:I$103,MATCH(54,'Current AR'!X$6:X$103,0)),"")</f>
        <v>569174843.8683</v>
      </c>
      <c r="F59" s="138">
        <f>IFERROR(INDEX('Current AR'!Q$6:Q$103,MATCH(54,'Current AR'!X$6:X$103,0)),"")</f>
        <v>-43</v>
      </c>
      <c r="G59" s="138" t="str">
        <f>IFERROR(INDEX('Current AR'!J$6:J$103,MATCH(54,'Current AR'!X$6:X$103,0)),"")</f>
        <v>Senior Sales Rep 1</v>
      </c>
      <c r="H59" s="141">
        <f>IFERROR(INDEX('Current AR'!N$6:N$103,MATCH(54,'Current AR'!X$6:X$103,0)),"")</f>
        <v>0</v>
      </c>
      <c r="I59" s="141">
        <f>IFERROR(INDEX('Current AR'!O$6:O$103,MATCH(54,'Current AR'!X$6:X$103,0)),"")</f>
        <v>0</v>
      </c>
      <c r="J59" s="138">
        <f>IFERROR(INDEX('Current AR'!P$6:P$103,MATCH(54,'Current AR'!X$6:X$103,0)),"")</f>
        <v>0</v>
      </c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</row>
    <row r="60" spans="1:41">
      <c r="A60" s="138" t="str">
        <f>IFERROR(INDEX('Current AR'!A$6:A$103,MATCH(55,'Current AR'!X$6:X$103,0)),"")</f>
        <v>Client Alpha (Steel EPC)</v>
      </c>
      <c r="B60" s="138" t="str">
        <f>IFERROR(INDEX('Current AR'!D$6:D$103,MATCH(55,'Current AR'!X$6:X$103,0)),"")</f>
        <v>70000055</v>
      </c>
      <c r="C60" s="138" t="str">
        <f>IFERROR(INDEX('Current AR'!C$6:C$103,MATCH(55,'Current AR'!X$6:X$103,0)),"")</f>
        <v>AR-00055</v>
      </c>
      <c r="D60" s="141">
        <f>IFERROR(INDEX('Current AR'!F$6:F$103,MATCH(55,'Current AR'!X$6:X$103,0)),"")</f>
        <v>46343</v>
      </c>
      <c r="E60" s="142">
        <f>IFERROR(INDEX('Current AR'!I$6:I$103,MATCH(55,'Current AR'!X$6:X$103,0)),"")</f>
        <v>161878364.709</v>
      </c>
      <c r="F60" s="138">
        <f>IFERROR(INDEX('Current AR'!Q$6:Q$103,MATCH(55,'Current AR'!X$6:X$103,0)),"")</f>
        <v>-43</v>
      </c>
      <c r="G60" s="138" t="str">
        <f>IFERROR(INDEX('Current AR'!J$6:J$103,MATCH(55,'Current AR'!X$6:X$103,0)),"")</f>
        <v>Senior Sales Rep 1</v>
      </c>
      <c r="H60" s="141">
        <f>IFERROR(INDEX('Current AR'!N$6:N$103,MATCH(55,'Current AR'!X$6:X$103,0)),"")</f>
        <v>0</v>
      </c>
      <c r="I60" s="141">
        <f>IFERROR(INDEX('Current AR'!O$6:O$103,MATCH(55,'Current AR'!X$6:X$103,0)),"")</f>
        <v>0</v>
      </c>
      <c r="J60" s="138">
        <f>IFERROR(INDEX('Current AR'!P$6:P$103,MATCH(55,'Current AR'!X$6:X$103,0)),"")</f>
        <v>0</v>
      </c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</row>
    <row r="61" spans="1:41">
      <c r="A61" s="138" t="str">
        <f>IFERROR(INDEX('Current AR'!A$6:A$103,MATCH(56,'Current AR'!X$6:X$103,0)),"")</f>
        <v>Client Alpha (Steel EPC)</v>
      </c>
      <c r="B61" s="138" t="str">
        <f>IFERROR(INDEX('Current AR'!D$6:D$103,MATCH(56,'Current AR'!X$6:X$103,0)),"")</f>
        <v>70000056</v>
      </c>
      <c r="C61" s="138" t="str">
        <f>IFERROR(INDEX('Current AR'!C$6:C$103,MATCH(56,'Current AR'!X$6:X$103,0)),"")</f>
        <v>AR-00056</v>
      </c>
      <c r="D61" s="141">
        <f>IFERROR(INDEX('Current AR'!F$6:F$103,MATCH(56,'Current AR'!X$6:X$103,0)),"")</f>
        <v>46343</v>
      </c>
      <c r="E61" s="142">
        <f>IFERROR(INDEX('Current AR'!I$6:I$103,MATCH(56,'Current AR'!X$6:X$103,0)),"")</f>
        <v>568476253.9236</v>
      </c>
      <c r="F61" s="138">
        <f>IFERROR(INDEX('Current AR'!Q$6:Q$103,MATCH(56,'Current AR'!X$6:X$103,0)),"")</f>
        <v>-43</v>
      </c>
      <c r="G61" s="138" t="str">
        <f>IFERROR(INDEX('Current AR'!J$6:J$103,MATCH(56,'Current AR'!X$6:X$103,0)),"")</f>
        <v>Senior Sales Rep 1</v>
      </c>
      <c r="H61" s="141">
        <f>IFERROR(INDEX('Current AR'!N$6:N$103,MATCH(56,'Current AR'!X$6:X$103,0)),"")</f>
        <v>0</v>
      </c>
      <c r="I61" s="141">
        <f>IFERROR(INDEX('Current AR'!O$6:O$103,MATCH(56,'Current AR'!X$6:X$103,0)),"")</f>
        <v>0</v>
      </c>
      <c r="J61" s="138">
        <f>IFERROR(INDEX('Current AR'!P$6:P$103,MATCH(56,'Current AR'!X$6:X$103,0)),"")</f>
        <v>0</v>
      </c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</row>
    <row r="62" spans="1:41">
      <c r="A62" s="138" t="str">
        <f>IFERROR(INDEX('Current AR'!A$6:A$103,MATCH(57,'Current AR'!X$6:X$103,0)),"")</f>
        <v>Client Alpha (Steel EPC)</v>
      </c>
      <c r="B62" s="138" t="str">
        <f>IFERROR(INDEX('Current AR'!D$6:D$103,MATCH(57,'Current AR'!X$6:X$103,0)),"")</f>
        <v>70000057</v>
      </c>
      <c r="C62" s="138" t="str">
        <f>IFERROR(INDEX('Current AR'!C$6:C$103,MATCH(57,'Current AR'!X$6:X$103,0)),"")</f>
        <v>AR-00057</v>
      </c>
      <c r="D62" s="141">
        <f>IFERROR(INDEX('Current AR'!F$6:F$103,MATCH(57,'Current AR'!X$6:X$103,0)),"")</f>
        <v>46347</v>
      </c>
      <c r="E62" s="142">
        <f>IFERROR(INDEX('Current AR'!I$6:I$103,MATCH(57,'Current AR'!X$6:X$103,0)),"")</f>
        <v>52811060.77949999</v>
      </c>
      <c r="F62" s="138">
        <f>IFERROR(INDEX('Current AR'!Q$6:Q$103,MATCH(57,'Current AR'!X$6:X$103,0)),"")</f>
        <v>-47</v>
      </c>
      <c r="G62" s="138" t="str">
        <f>IFERROR(INDEX('Current AR'!J$6:J$103,MATCH(57,'Current AR'!X$6:X$103,0)),"")</f>
        <v>Senior Sales Rep 1</v>
      </c>
      <c r="H62" s="141">
        <f>IFERROR(INDEX('Current AR'!N$6:N$103,MATCH(57,'Current AR'!X$6:X$103,0)),"")</f>
        <v>0</v>
      </c>
      <c r="I62" s="141">
        <f>IFERROR(INDEX('Current AR'!O$6:O$103,MATCH(57,'Current AR'!X$6:X$103,0)),"")</f>
        <v>0</v>
      </c>
      <c r="J62" s="138">
        <f>IFERROR(INDEX('Current AR'!P$6:P$103,MATCH(57,'Current AR'!X$6:X$103,0)),"")</f>
        <v>0</v>
      </c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</row>
    <row r="63" spans="1:41">
      <c r="A63" s="138" t="str">
        <f>IFERROR(INDEX('Current AR'!A$6:A$103,MATCH(58,'Current AR'!X$6:X$103,0)),"")</f>
        <v>Client Alpha (Steel EPC)</v>
      </c>
      <c r="B63" s="138" t="str">
        <f>IFERROR(INDEX('Current AR'!D$6:D$103,MATCH(58,'Current AR'!X$6:X$103,0)),"")</f>
        <v>70000058</v>
      </c>
      <c r="C63" s="138" t="str">
        <f>IFERROR(INDEX('Current AR'!C$6:C$103,MATCH(58,'Current AR'!X$6:X$103,0)),"")</f>
        <v>AR-00058</v>
      </c>
      <c r="D63" s="141">
        <f>IFERROR(INDEX('Current AR'!F$6:F$103,MATCH(58,'Current AR'!X$6:X$103,0)),"")</f>
        <v>46347</v>
      </c>
      <c r="E63" s="142">
        <f>IFERROR(INDEX('Current AR'!I$6:I$103,MATCH(58,'Current AR'!X$6:X$103,0)),"")</f>
        <v>35970607.691999994</v>
      </c>
      <c r="F63" s="138">
        <f>IFERROR(INDEX('Current AR'!Q$6:Q$103,MATCH(58,'Current AR'!X$6:X$103,0)),"")</f>
        <v>-47</v>
      </c>
      <c r="G63" s="138" t="str">
        <f>IFERROR(INDEX('Current AR'!J$6:J$103,MATCH(58,'Current AR'!X$6:X$103,0)),"")</f>
        <v>Senior Sales Rep 1</v>
      </c>
      <c r="H63" s="141">
        <f>IFERROR(INDEX('Current AR'!N$6:N$103,MATCH(58,'Current AR'!X$6:X$103,0)),"")</f>
        <v>0</v>
      </c>
      <c r="I63" s="141">
        <f>IFERROR(INDEX('Current AR'!O$6:O$103,MATCH(58,'Current AR'!X$6:X$103,0)),"")</f>
        <v>0</v>
      </c>
      <c r="J63" s="138">
        <f>IFERROR(INDEX('Current AR'!P$6:P$103,MATCH(58,'Current AR'!X$6:X$103,0)),"")</f>
        <v>0</v>
      </c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</row>
    <row r="64" spans="1:41">
      <c r="A64" s="138" t="str">
        <f>IFERROR(INDEX('Current AR'!A$6:A$103,MATCH(59,'Current AR'!X$6:X$103,0)),"")</f>
        <v>Client Alpha (Steel EPC)</v>
      </c>
      <c r="B64" s="138" t="str">
        <f>IFERROR(INDEX('Current AR'!D$6:D$103,MATCH(59,'Current AR'!X$6:X$103,0)),"")</f>
        <v>70000059</v>
      </c>
      <c r="C64" s="138" t="str">
        <f>IFERROR(INDEX('Current AR'!C$6:C$103,MATCH(59,'Current AR'!X$6:X$103,0)),"")</f>
        <v>AR-00059</v>
      </c>
      <c r="D64" s="141">
        <f>IFERROR(INDEX('Current AR'!F$6:F$103,MATCH(59,'Current AR'!X$6:X$103,0)),"")</f>
        <v>46347</v>
      </c>
      <c r="E64" s="142">
        <f>IFERROR(INDEX('Current AR'!I$6:I$103,MATCH(59,'Current AR'!X$6:X$103,0)),"")</f>
        <v>35970607.691999994</v>
      </c>
      <c r="F64" s="138">
        <f>IFERROR(INDEX('Current AR'!Q$6:Q$103,MATCH(59,'Current AR'!X$6:X$103,0)),"")</f>
        <v>-47</v>
      </c>
      <c r="G64" s="138" t="str">
        <f>IFERROR(INDEX('Current AR'!J$6:J$103,MATCH(59,'Current AR'!X$6:X$103,0)),"")</f>
        <v>Senior Sales Rep 1</v>
      </c>
      <c r="H64" s="141">
        <f>IFERROR(INDEX('Current AR'!N$6:N$103,MATCH(59,'Current AR'!X$6:X$103,0)),"")</f>
        <v>0</v>
      </c>
      <c r="I64" s="141">
        <f>IFERROR(INDEX('Current AR'!O$6:O$103,MATCH(59,'Current AR'!X$6:X$103,0)),"")</f>
        <v>0</v>
      </c>
      <c r="J64" s="138">
        <f>IFERROR(INDEX('Current AR'!P$6:P$103,MATCH(59,'Current AR'!X$6:X$103,0)),"")</f>
        <v>0</v>
      </c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</row>
    <row r="65" spans="1:41">
      <c r="A65" s="138" t="str">
        <f>IFERROR(INDEX('Current AR'!A$6:A$103,MATCH(60,'Current AR'!X$6:X$103,0)),"")</f>
        <v>Client Alpha (Steel EPC)</v>
      </c>
      <c r="B65" s="138" t="str">
        <f>IFERROR(INDEX('Current AR'!D$6:D$103,MATCH(60,'Current AR'!X$6:X$103,0)),"")</f>
        <v>70000060</v>
      </c>
      <c r="C65" s="138" t="str">
        <f>IFERROR(INDEX('Current AR'!C$6:C$103,MATCH(60,'Current AR'!X$6:X$103,0)),"")</f>
        <v>AR-00060</v>
      </c>
      <c r="D65" s="141">
        <f>IFERROR(INDEX('Current AR'!F$6:F$103,MATCH(60,'Current AR'!X$6:X$103,0)),"")</f>
        <v>46351</v>
      </c>
      <c r="E65" s="142">
        <f>IFERROR(INDEX('Current AR'!I$6:I$103,MATCH(60,'Current AR'!X$6:X$103,0)),"")</f>
        <v>2249007573.7404</v>
      </c>
      <c r="F65" s="138">
        <f>IFERROR(INDEX('Current AR'!Q$6:Q$103,MATCH(60,'Current AR'!X$6:X$103,0)),"")</f>
        <v>-51</v>
      </c>
      <c r="G65" s="138" t="str">
        <f>IFERROR(INDEX('Current AR'!J$6:J$103,MATCH(60,'Current AR'!X$6:X$103,0)),"")</f>
        <v>Senior Sales Rep 2</v>
      </c>
      <c r="H65" s="141">
        <f>IFERROR(INDEX('Current AR'!N$6:N$103,MATCH(60,'Current AR'!X$6:X$103,0)),"")</f>
        <v>0</v>
      </c>
      <c r="I65" s="141">
        <f>IFERROR(INDEX('Current AR'!O$6:O$103,MATCH(60,'Current AR'!X$6:X$103,0)),"")</f>
        <v>0</v>
      </c>
      <c r="J65" s="138">
        <f>IFERROR(INDEX('Current AR'!P$6:P$103,MATCH(60,'Current AR'!X$6:X$103,0)),"")</f>
        <v>0</v>
      </c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</row>
    <row r="66" spans="1:41">
      <c r="A66" s="138" t="str">
        <f>IFERROR(INDEX('Current AR'!A$6:A$103,MATCH(61,'Current AR'!X$6:X$103,0)),"")</f>
        <v>Client Alpha (Steel EPC)</v>
      </c>
      <c r="B66" s="138" t="str">
        <f>IFERROR(INDEX('Current AR'!D$6:D$103,MATCH(61,'Current AR'!X$6:X$103,0)),"")</f>
        <v>70000061</v>
      </c>
      <c r="C66" s="138" t="str">
        <f>IFERROR(INDEX('Current AR'!C$6:C$103,MATCH(61,'Current AR'!X$6:X$103,0)),"")</f>
        <v>AR-00061</v>
      </c>
      <c r="D66" s="141">
        <f>IFERROR(INDEX('Current AR'!F$6:F$103,MATCH(61,'Current AR'!X$6:X$103,0)),"")</f>
        <v>46357</v>
      </c>
      <c r="E66" s="142">
        <f>IFERROR(INDEX('Current AR'!I$6:I$103,MATCH(61,'Current AR'!X$6:X$103,0)),"")</f>
        <v>24751560.395099998</v>
      </c>
      <c r="F66" s="138">
        <f>IFERROR(INDEX('Current AR'!Q$6:Q$103,MATCH(61,'Current AR'!X$6:X$103,0)),"")</f>
        <v>-57</v>
      </c>
      <c r="G66" s="138" t="str">
        <f>IFERROR(INDEX('Current AR'!J$6:J$103,MATCH(61,'Current AR'!X$6:X$103,0)),"")</f>
        <v>Senior Sales Rep 2</v>
      </c>
      <c r="H66" s="141">
        <f>IFERROR(INDEX('Current AR'!N$6:N$103,MATCH(61,'Current AR'!X$6:X$103,0)),"")</f>
        <v>0</v>
      </c>
      <c r="I66" s="141">
        <f>IFERROR(INDEX('Current AR'!O$6:O$103,MATCH(61,'Current AR'!X$6:X$103,0)),"")</f>
        <v>0</v>
      </c>
      <c r="J66" s="138">
        <f>IFERROR(INDEX('Current AR'!P$6:P$103,MATCH(61,'Current AR'!X$6:X$103,0)),"")</f>
        <v>0</v>
      </c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</row>
    <row r="67" spans="1:41">
      <c r="A67" s="138" t="str">
        <f>IFERROR(INDEX('Current AR'!A$6:A$103,MATCH(62,'Current AR'!X$6:X$103,0)),"")</f>
        <v>Client Alpha (Steel EPC)</v>
      </c>
      <c r="B67" s="138" t="str">
        <f>IFERROR(INDEX('Current AR'!D$6:D$103,MATCH(62,'Current AR'!X$6:X$103,0)),"")</f>
        <v>70000062</v>
      </c>
      <c r="C67" s="138" t="str">
        <f>IFERROR(INDEX('Current AR'!C$6:C$103,MATCH(62,'Current AR'!X$6:X$103,0)),"")</f>
        <v>AR-00062</v>
      </c>
      <c r="D67" s="141">
        <f>IFERROR(INDEX('Current AR'!F$6:F$103,MATCH(62,'Current AR'!X$6:X$103,0)),"")</f>
        <v>46357</v>
      </c>
      <c r="E67" s="142">
        <f>IFERROR(INDEX('Current AR'!I$6:I$103,MATCH(62,'Current AR'!X$6:X$103,0)),"")</f>
        <v>35483836.266899996</v>
      </c>
      <c r="F67" s="138">
        <f>IFERROR(INDEX('Current AR'!Q$6:Q$103,MATCH(62,'Current AR'!X$6:X$103,0)),"")</f>
        <v>-57</v>
      </c>
      <c r="G67" s="138" t="str">
        <f>IFERROR(INDEX('Current AR'!J$6:J$103,MATCH(62,'Current AR'!X$6:X$103,0)),"")</f>
        <v>Senior Sales Rep 2</v>
      </c>
      <c r="H67" s="141">
        <f>IFERROR(INDEX('Current AR'!N$6:N$103,MATCH(62,'Current AR'!X$6:X$103,0)),"")</f>
        <v>0</v>
      </c>
      <c r="I67" s="141">
        <f>IFERROR(INDEX('Current AR'!O$6:O$103,MATCH(62,'Current AR'!X$6:X$103,0)),"")</f>
        <v>0</v>
      </c>
      <c r="J67" s="138">
        <f>IFERROR(INDEX('Current AR'!P$6:P$103,MATCH(62,'Current AR'!X$6:X$103,0)),"")</f>
        <v>0</v>
      </c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  <c r="AK67" s="138"/>
      <c r="AL67" s="138"/>
      <c r="AM67" s="138"/>
      <c r="AN67" s="138"/>
      <c r="AO67" s="138"/>
    </row>
    <row r="68" spans="1:41">
      <c r="A68" s="138" t="str">
        <f>IFERROR(INDEX('Current AR'!A$6:A$103,MATCH(63,'Current AR'!X$6:X$103,0)),"")</f>
        <v>Client Alpha (Steel EPC)</v>
      </c>
      <c r="B68" s="138" t="str">
        <f>IFERROR(INDEX('Current AR'!D$6:D$103,MATCH(63,'Current AR'!X$6:X$103,0)),"")</f>
        <v>70000063</v>
      </c>
      <c r="C68" s="138" t="str">
        <f>IFERROR(INDEX('Current AR'!C$6:C$103,MATCH(63,'Current AR'!X$6:X$103,0)),"")</f>
        <v>AR-00063</v>
      </c>
      <c r="D68" s="141">
        <f>IFERROR(INDEX('Current AR'!F$6:F$103,MATCH(63,'Current AR'!X$6:X$103,0)),"")</f>
        <v>46357</v>
      </c>
      <c r="E68" s="142">
        <f>IFERROR(INDEX('Current AR'!I$6:I$103,MATCH(63,'Current AR'!X$6:X$103,0)),"")</f>
        <v>504616350.94859993</v>
      </c>
      <c r="F68" s="138">
        <f>IFERROR(INDEX('Current AR'!Q$6:Q$103,MATCH(63,'Current AR'!X$6:X$103,0)),"")</f>
        <v>-57</v>
      </c>
      <c r="G68" s="138" t="str">
        <f>IFERROR(INDEX('Current AR'!J$6:J$103,MATCH(63,'Current AR'!X$6:X$103,0)),"")</f>
        <v>Senior Sales Rep 1</v>
      </c>
      <c r="H68" s="141">
        <f>IFERROR(INDEX('Current AR'!N$6:N$103,MATCH(63,'Current AR'!X$6:X$103,0)),"")</f>
        <v>0</v>
      </c>
      <c r="I68" s="141">
        <f>IFERROR(INDEX('Current AR'!O$6:O$103,MATCH(63,'Current AR'!X$6:X$103,0)),"")</f>
        <v>0</v>
      </c>
      <c r="J68" s="138">
        <f>IFERROR(INDEX('Current AR'!P$6:P$103,MATCH(63,'Current AR'!X$6:X$103,0)),"")</f>
        <v>0</v>
      </c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  <c r="AE68" s="138"/>
      <c r="AF68" s="138"/>
      <c r="AG68" s="138"/>
      <c r="AH68" s="138"/>
      <c r="AI68" s="138"/>
      <c r="AJ68" s="138"/>
      <c r="AK68" s="138"/>
      <c r="AL68" s="138"/>
      <c r="AM68" s="138"/>
      <c r="AN68" s="138"/>
      <c r="AO68" s="138"/>
    </row>
    <row r="69" spans="1:41">
      <c r="A69" s="138" t="str">
        <f>IFERROR(INDEX('Current AR'!A$6:A$103,MATCH(64,'Current AR'!X$6:X$103,0)),"")</f>
        <v>Client Alpha (Steel EPC)</v>
      </c>
      <c r="B69" s="138" t="str">
        <f>IFERROR(INDEX('Current AR'!D$6:D$103,MATCH(64,'Current AR'!X$6:X$103,0)),"")</f>
        <v>70000064</v>
      </c>
      <c r="C69" s="138" t="str">
        <f>IFERROR(INDEX('Current AR'!C$6:C$103,MATCH(64,'Current AR'!X$6:X$103,0)),"")</f>
        <v>AR-00064</v>
      </c>
      <c r="D69" s="141">
        <f>IFERROR(INDEX('Current AR'!F$6:F$103,MATCH(64,'Current AR'!X$6:X$103,0)),"")</f>
        <v>46357</v>
      </c>
      <c r="E69" s="142">
        <f>IFERROR(INDEX('Current AR'!I$6:I$103,MATCH(64,'Current AR'!X$6:X$103,0)),"")</f>
        <v>274835403.67649996</v>
      </c>
      <c r="F69" s="138">
        <f>IFERROR(INDEX('Current AR'!Q$6:Q$103,MATCH(64,'Current AR'!X$6:X$103,0)),"")</f>
        <v>-57</v>
      </c>
      <c r="G69" s="138" t="str">
        <f>IFERROR(INDEX('Current AR'!J$6:J$103,MATCH(64,'Current AR'!X$6:X$103,0)),"")</f>
        <v>Senior Sales Rep 1</v>
      </c>
      <c r="H69" s="141">
        <f>IFERROR(INDEX('Current AR'!N$6:N$103,MATCH(64,'Current AR'!X$6:X$103,0)),"")</f>
        <v>0</v>
      </c>
      <c r="I69" s="141">
        <f>IFERROR(INDEX('Current AR'!O$6:O$103,MATCH(64,'Current AR'!X$6:X$103,0)),"")</f>
        <v>0</v>
      </c>
      <c r="J69" s="138">
        <f>IFERROR(INDEX('Current AR'!P$6:P$103,MATCH(64,'Current AR'!X$6:X$103,0)),"")</f>
        <v>0</v>
      </c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  <c r="AE69" s="138"/>
      <c r="AF69" s="138"/>
      <c r="AG69" s="138"/>
      <c r="AH69" s="138"/>
      <c r="AI69" s="138"/>
      <c r="AJ69" s="138"/>
      <c r="AK69" s="138"/>
      <c r="AL69" s="138"/>
      <c r="AM69" s="138"/>
      <c r="AN69" s="138"/>
      <c r="AO69" s="138"/>
    </row>
    <row r="70" spans="1:41">
      <c r="A70" s="138" t="str">
        <f>IFERROR(INDEX('Current AR'!A$6:A$103,MATCH(65,'Current AR'!X$6:X$103,0)),"")</f>
        <v>Client Alpha (Steel EPC)</v>
      </c>
      <c r="B70" s="138" t="str">
        <f>IFERROR(INDEX('Current AR'!D$6:D$103,MATCH(65,'Current AR'!X$6:X$103,0)),"")</f>
        <v>70000065</v>
      </c>
      <c r="C70" s="138" t="str">
        <f>IFERROR(INDEX('Current AR'!C$6:C$103,MATCH(65,'Current AR'!X$6:X$103,0)),"")</f>
        <v>AR-00065</v>
      </c>
      <c r="D70" s="141">
        <f>IFERROR(INDEX('Current AR'!F$6:F$103,MATCH(65,'Current AR'!X$6:X$103,0)),"")</f>
        <v>46357</v>
      </c>
      <c r="E70" s="142">
        <f>IFERROR(INDEX('Current AR'!I$6:I$103,MATCH(65,'Current AR'!X$6:X$103,0)),"")</f>
        <v>154151484.80249998</v>
      </c>
      <c r="F70" s="138">
        <f>IFERROR(INDEX('Current AR'!Q$6:Q$103,MATCH(65,'Current AR'!X$6:X$103,0)),"")</f>
        <v>-57</v>
      </c>
      <c r="G70" s="138" t="str">
        <f>IFERROR(INDEX('Current AR'!J$6:J$103,MATCH(65,'Current AR'!X$6:X$103,0)),"")</f>
        <v>Senior Sales Rep 1</v>
      </c>
      <c r="H70" s="141">
        <f>IFERROR(INDEX('Current AR'!N$6:N$103,MATCH(65,'Current AR'!X$6:X$103,0)),"")</f>
        <v>0</v>
      </c>
      <c r="I70" s="141">
        <f>IFERROR(INDEX('Current AR'!O$6:O$103,MATCH(65,'Current AR'!X$6:X$103,0)),"")</f>
        <v>0</v>
      </c>
      <c r="J70" s="138">
        <f>IFERROR(INDEX('Current AR'!P$6:P$103,MATCH(65,'Current AR'!X$6:X$103,0)),"")</f>
        <v>0</v>
      </c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  <c r="AI70" s="138"/>
      <c r="AJ70" s="138"/>
      <c r="AK70" s="138"/>
      <c r="AL70" s="138"/>
      <c r="AM70" s="138"/>
      <c r="AN70" s="138"/>
      <c r="AO70" s="138"/>
    </row>
    <row r="71" spans="1:41">
      <c r="A71" s="138" t="str">
        <f>IFERROR(INDEX('Current AR'!A$6:A$103,MATCH(66,'Current AR'!X$6:X$103,0)),"")</f>
        <v>Client Alpha (Steel EPC)</v>
      </c>
      <c r="B71" s="138" t="str">
        <f>IFERROR(INDEX('Current AR'!D$6:D$103,MATCH(66,'Current AR'!X$6:X$103,0)),"")</f>
        <v>70000066</v>
      </c>
      <c r="C71" s="138" t="str">
        <f>IFERROR(INDEX('Current AR'!C$6:C$103,MATCH(66,'Current AR'!X$6:X$103,0)),"")</f>
        <v>AR-00066</v>
      </c>
      <c r="D71" s="141">
        <f>IFERROR(INDEX('Current AR'!F$6:F$103,MATCH(66,'Current AR'!X$6:X$103,0)),"")</f>
        <v>46358</v>
      </c>
      <c r="E71" s="142">
        <f>IFERROR(INDEX('Current AR'!I$6:I$103,MATCH(66,'Current AR'!X$6:X$103,0)),"")</f>
        <v>1378039876.5605998</v>
      </c>
      <c r="F71" s="138">
        <f>IFERROR(INDEX('Current AR'!Q$6:Q$103,MATCH(66,'Current AR'!X$6:X$103,0)),"")</f>
        <v>-58</v>
      </c>
      <c r="G71" s="138" t="str">
        <f>IFERROR(INDEX('Current AR'!J$6:J$103,MATCH(66,'Current AR'!X$6:X$103,0)),"")</f>
        <v>Senior Sales Rep 2</v>
      </c>
      <c r="H71" s="141">
        <f>IFERROR(INDEX('Current AR'!N$6:N$103,MATCH(66,'Current AR'!X$6:X$103,0)),"")</f>
        <v>0</v>
      </c>
      <c r="I71" s="141">
        <f>IFERROR(INDEX('Current AR'!O$6:O$103,MATCH(66,'Current AR'!X$6:X$103,0)),"")</f>
        <v>0</v>
      </c>
      <c r="J71" s="138">
        <f>IFERROR(INDEX('Current AR'!P$6:P$103,MATCH(66,'Current AR'!X$6:X$103,0)),"")</f>
        <v>0</v>
      </c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  <c r="AI71" s="138"/>
      <c r="AJ71" s="138"/>
      <c r="AK71" s="138"/>
      <c r="AL71" s="138"/>
      <c r="AM71" s="138"/>
      <c r="AN71" s="138"/>
      <c r="AO71" s="138"/>
    </row>
    <row r="72" spans="1:41">
      <c r="A72" s="138" t="str">
        <f>IFERROR(INDEX('Current AR'!A$6:A$103,MATCH(67,'Current AR'!X$6:X$103,0)),"")</f>
        <v>Client Alpha (Steel EPC)</v>
      </c>
      <c r="B72" s="138" t="str">
        <f>IFERROR(INDEX('Current AR'!D$6:D$103,MATCH(67,'Current AR'!X$6:X$103,0)),"")</f>
        <v>70000067</v>
      </c>
      <c r="C72" s="138" t="str">
        <f>IFERROR(INDEX('Current AR'!C$6:C$103,MATCH(67,'Current AR'!X$6:X$103,0)),"")</f>
        <v>AR-00067</v>
      </c>
      <c r="D72" s="141">
        <f>IFERROR(INDEX('Current AR'!F$6:F$103,MATCH(67,'Current AR'!X$6:X$103,0)),"")</f>
        <v>46358</v>
      </c>
      <c r="E72" s="142">
        <f>IFERROR(INDEX('Current AR'!I$6:I$103,MATCH(67,'Current AR'!X$6:X$103,0)),"")</f>
        <v>2781998737.779</v>
      </c>
      <c r="F72" s="138">
        <f>IFERROR(INDEX('Current AR'!Q$6:Q$103,MATCH(67,'Current AR'!X$6:X$103,0)),"")</f>
        <v>-58</v>
      </c>
      <c r="G72" s="138" t="str">
        <f>IFERROR(INDEX('Current AR'!J$6:J$103,MATCH(67,'Current AR'!X$6:X$103,0)),"")</f>
        <v>Senior Sales Rep 2</v>
      </c>
      <c r="H72" s="141">
        <f>IFERROR(INDEX('Current AR'!N$6:N$103,MATCH(67,'Current AR'!X$6:X$103,0)),"")</f>
        <v>0</v>
      </c>
      <c r="I72" s="141">
        <f>IFERROR(INDEX('Current AR'!O$6:O$103,MATCH(67,'Current AR'!X$6:X$103,0)),"")</f>
        <v>0</v>
      </c>
      <c r="J72" s="138">
        <f>IFERROR(INDEX('Current AR'!P$6:P$103,MATCH(67,'Current AR'!X$6:X$103,0)),"")</f>
        <v>0</v>
      </c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  <c r="AF72" s="138"/>
      <c r="AG72" s="138"/>
      <c r="AH72" s="138"/>
      <c r="AI72" s="138"/>
      <c r="AJ72" s="138"/>
      <c r="AK72" s="138"/>
      <c r="AL72" s="138"/>
      <c r="AM72" s="138"/>
      <c r="AN72" s="138"/>
      <c r="AO72" s="138"/>
    </row>
    <row r="73" spans="1:41">
      <c r="A73" s="138" t="str">
        <f>IFERROR(INDEX('Current AR'!A$6:A$103,MATCH(68,'Current AR'!X$6:X$103,0)),"")</f>
        <v>Client Alpha (Steel EPC)</v>
      </c>
      <c r="B73" s="138" t="str">
        <f>IFERROR(INDEX('Current AR'!D$6:D$103,MATCH(68,'Current AR'!X$6:X$103,0)),"")</f>
        <v>70000068</v>
      </c>
      <c r="C73" s="138" t="str">
        <f>IFERROR(INDEX('Current AR'!C$6:C$103,MATCH(68,'Current AR'!X$6:X$103,0)),"")</f>
        <v>AR-00068</v>
      </c>
      <c r="D73" s="141">
        <f>IFERROR(INDEX('Current AR'!F$6:F$103,MATCH(68,'Current AR'!X$6:X$103,0)),"")</f>
        <v>46359</v>
      </c>
      <c r="E73" s="142">
        <f>IFERROR(INDEX('Current AR'!I$6:I$103,MATCH(68,'Current AR'!X$6:X$103,0)),"")</f>
        <v>1233595933.803</v>
      </c>
      <c r="F73" s="138">
        <f>IFERROR(INDEX('Current AR'!Q$6:Q$103,MATCH(68,'Current AR'!X$6:X$103,0)),"")</f>
        <v>-59</v>
      </c>
      <c r="G73" s="138" t="str">
        <f>IFERROR(INDEX('Current AR'!J$6:J$103,MATCH(68,'Current AR'!X$6:X$103,0)),"")</f>
        <v>Senior Sales Rep 2</v>
      </c>
      <c r="H73" s="141">
        <f>IFERROR(INDEX('Current AR'!N$6:N$103,MATCH(68,'Current AR'!X$6:X$103,0)),"")</f>
        <v>0</v>
      </c>
      <c r="I73" s="141">
        <f>IFERROR(INDEX('Current AR'!O$6:O$103,MATCH(68,'Current AR'!X$6:X$103,0)),"")</f>
        <v>0</v>
      </c>
      <c r="J73" s="138">
        <f>IFERROR(INDEX('Current AR'!P$6:P$103,MATCH(68,'Current AR'!X$6:X$103,0)),"")</f>
        <v>0</v>
      </c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  <c r="AM73" s="138"/>
      <c r="AN73" s="138"/>
      <c r="AO73" s="138"/>
    </row>
    <row r="74" spans="1:41">
      <c r="A74" s="138" t="str">
        <f>IFERROR(INDEX('Current AR'!A$6:A$103,MATCH(69,'Current AR'!X$6:X$103,0)),"")</f>
        <v>Client Alpha (Steel EPC)</v>
      </c>
      <c r="B74" s="138" t="str">
        <f>IFERROR(INDEX('Current AR'!D$6:D$103,MATCH(69,'Current AR'!X$6:X$103,0)),"")</f>
        <v>70000069</v>
      </c>
      <c r="C74" s="138" t="str">
        <f>IFERROR(INDEX('Current AR'!C$6:C$103,MATCH(69,'Current AR'!X$6:X$103,0)),"")</f>
        <v>AR-00069</v>
      </c>
      <c r="D74" s="141">
        <f>IFERROR(INDEX('Current AR'!F$6:F$103,MATCH(69,'Current AR'!X$6:X$103,0)),"")</f>
        <v>46359</v>
      </c>
      <c r="E74" s="142">
        <f>IFERROR(INDEX('Current AR'!I$6:I$103,MATCH(69,'Current AR'!X$6:X$103,0)),"")</f>
        <v>3074061247.2299995</v>
      </c>
      <c r="F74" s="138">
        <f>IFERROR(INDEX('Current AR'!Q$6:Q$103,MATCH(69,'Current AR'!X$6:X$103,0)),"")</f>
        <v>-59</v>
      </c>
      <c r="G74" s="138" t="str">
        <f>IFERROR(INDEX('Current AR'!J$6:J$103,MATCH(69,'Current AR'!X$6:X$103,0)),"")</f>
        <v>Senior Sales Rep 2</v>
      </c>
      <c r="H74" s="141">
        <f>IFERROR(INDEX('Current AR'!N$6:N$103,MATCH(69,'Current AR'!X$6:X$103,0)),"")</f>
        <v>0</v>
      </c>
      <c r="I74" s="141">
        <f>IFERROR(INDEX('Current AR'!O$6:O$103,MATCH(69,'Current AR'!X$6:X$103,0)),"")</f>
        <v>0</v>
      </c>
      <c r="J74" s="138">
        <f>IFERROR(INDEX('Current AR'!P$6:P$103,MATCH(69,'Current AR'!X$6:X$103,0)),"")</f>
        <v>0</v>
      </c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  <c r="AK74" s="138"/>
      <c r="AL74" s="138"/>
      <c r="AM74" s="138"/>
      <c r="AN74" s="138"/>
      <c r="AO74" s="138"/>
    </row>
    <row r="75" spans="1:41">
      <c r="A75" s="138" t="str">
        <f>IFERROR(INDEX('Current AR'!A$6:A$103,MATCH(70,'Current AR'!X$6:X$103,0)),"")</f>
        <v>Client Alpha (Steel EPC)</v>
      </c>
      <c r="B75" s="138" t="str">
        <f>IFERROR(INDEX('Current AR'!D$6:D$103,MATCH(70,'Current AR'!X$6:X$103,0)),"")</f>
        <v>70000070</v>
      </c>
      <c r="C75" s="138" t="str">
        <f>IFERROR(INDEX('Current AR'!C$6:C$103,MATCH(70,'Current AR'!X$6:X$103,0)),"")</f>
        <v>AR-00070</v>
      </c>
      <c r="D75" s="141">
        <f>IFERROR(INDEX('Current AR'!F$6:F$103,MATCH(70,'Current AR'!X$6:X$103,0)),"")</f>
        <v>46364</v>
      </c>
      <c r="E75" s="142">
        <f>IFERROR(INDEX('Current AR'!I$6:I$103,MATCH(70,'Current AR'!X$6:X$103,0)),"")</f>
        <v>349295.496</v>
      </c>
      <c r="F75" s="138">
        <f>IFERROR(INDEX('Current AR'!Q$6:Q$103,MATCH(70,'Current AR'!X$6:X$103,0)),"")</f>
        <v>-64</v>
      </c>
      <c r="G75" s="138" t="str">
        <f>IFERROR(INDEX('Current AR'!J$6:J$103,MATCH(70,'Current AR'!X$6:X$103,0)),"")</f>
        <v>Senior Sales Rep 1</v>
      </c>
      <c r="H75" s="141">
        <f>IFERROR(INDEX('Current AR'!N$6:N$103,MATCH(70,'Current AR'!X$6:X$103,0)),"")</f>
        <v>0</v>
      </c>
      <c r="I75" s="141">
        <f>IFERROR(INDEX('Current AR'!O$6:O$103,MATCH(70,'Current AR'!X$6:X$103,0)),"")</f>
        <v>0</v>
      </c>
      <c r="J75" s="138">
        <f>IFERROR(INDEX('Current AR'!P$6:P$103,MATCH(70,'Current AR'!X$6:X$103,0)),"")</f>
        <v>0</v>
      </c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</row>
    <row r="76" spans="1:41">
      <c r="A76" s="138" t="str">
        <f>IFERROR(INDEX('Current AR'!A$6:A$103,MATCH(71,'Current AR'!X$6:X$103,0)),"")</f>
        <v>Client Alpha (Steel EPC)</v>
      </c>
      <c r="B76" s="138" t="str">
        <f>IFERROR(INDEX('Current AR'!D$6:D$103,MATCH(71,'Current AR'!X$6:X$103,0)),"")</f>
        <v>70000071</v>
      </c>
      <c r="C76" s="138" t="str">
        <f>IFERROR(INDEX('Current AR'!C$6:C$103,MATCH(71,'Current AR'!X$6:X$103,0)),"")</f>
        <v>AR-00071</v>
      </c>
      <c r="D76" s="141">
        <f>IFERROR(INDEX('Current AR'!F$6:F$103,MATCH(71,'Current AR'!X$6:X$103,0)),"")</f>
        <v>46364</v>
      </c>
      <c r="E76" s="142">
        <f>IFERROR(INDEX('Current AR'!I$6:I$103,MATCH(71,'Current AR'!X$6:X$103,0)),"")</f>
        <v>95221373.73869999</v>
      </c>
      <c r="F76" s="138">
        <f>IFERROR(INDEX('Current AR'!Q$6:Q$103,MATCH(71,'Current AR'!X$6:X$103,0)),"")</f>
        <v>-64</v>
      </c>
      <c r="G76" s="138" t="str">
        <f>IFERROR(INDEX('Current AR'!J$6:J$103,MATCH(71,'Current AR'!X$6:X$103,0)),"")</f>
        <v>Senior Sales Rep 1</v>
      </c>
      <c r="H76" s="141">
        <f>IFERROR(INDEX('Current AR'!N$6:N$103,MATCH(71,'Current AR'!X$6:X$103,0)),"")</f>
        <v>0</v>
      </c>
      <c r="I76" s="141">
        <f>IFERROR(INDEX('Current AR'!O$6:O$103,MATCH(71,'Current AR'!X$6:X$103,0)),"")</f>
        <v>0</v>
      </c>
      <c r="J76" s="138">
        <f>IFERROR(INDEX('Current AR'!P$6:P$103,MATCH(71,'Current AR'!X$6:X$103,0)),"")</f>
        <v>0</v>
      </c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  <c r="AN76" s="138"/>
      <c r="AO76" s="138"/>
    </row>
    <row r="77" spans="1:41">
      <c r="A77" s="138" t="str">
        <f>IFERROR(INDEX('Current AR'!A$6:A$103,MATCH(72,'Current AR'!X$6:X$103,0)),"")</f>
        <v>Client Alpha (Steel EPC)</v>
      </c>
      <c r="B77" s="138" t="str">
        <f>IFERROR(INDEX('Current AR'!D$6:D$103,MATCH(72,'Current AR'!X$6:X$103,0)),"")</f>
        <v>70000072</v>
      </c>
      <c r="C77" s="138" t="str">
        <f>IFERROR(INDEX('Current AR'!C$6:C$103,MATCH(72,'Current AR'!X$6:X$103,0)),"")</f>
        <v>AR-00072</v>
      </c>
      <c r="D77" s="141">
        <f>IFERROR(INDEX('Current AR'!F$6:F$103,MATCH(72,'Current AR'!X$6:X$103,0)),"")</f>
        <v>46364</v>
      </c>
      <c r="E77" s="142">
        <f>IFERROR(INDEX('Current AR'!I$6:I$103,MATCH(72,'Current AR'!X$6:X$103,0)),"")</f>
        <v>9559011.8643</v>
      </c>
      <c r="F77" s="138">
        <f>IFERROR(INDEX('Current AR'!Q$6:Q$103,MATCH(72,'Current AR'!X$6:X$103,0)),"")</f>
        <v>-64</v>
      </c>
      <c r="G77" s="138" t="str">
        <f>IFERROR(INDEX('Current AR'!J$6:J$103,MATCH(72,'Current AR'!X$6:X$103,0)),"")</f>
        <v>Senior Sales Rep 1</v>
      </c>
      <c r="H77" s="141">
        <f>IFERROR(INDEX('Current AR'!N$6:N$103,MATCH(72,'Current AR'!X$6:X$103,0)),"")</f>
        <v>0</v>
      </c>
      <c r="I77" s="141">
        <f>IFERROR(INDEX('Current AR'!O$6:O$103,MATCH(72,'Current AR'!X$6:X$103,0)),"")</f>
        <v>0</v>
      </c>
      <c r="J77" s="138">
        <f>IFERROR(INDEX('Current AR'!P$6:P$103,MATCH(72,'Current AR'!X$6:X$103,0)),"")</f>
        <v>0</v>
      </c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  <c r="AB77" s="138"/>
      <c r="AC77" s="138"/>
      <c r="AD77" s="138"/>
      <c r="AE77" s="138"/>
      <c r="AF77" s="138"/>
      <c r="AG77" s="138"/>
      <c r="AH77" s="138"/>
      <c r="AI77" s="138"/>
      <c r="AJ77" s="138"/>
      <c r="AK77" s="138"/>
      <c r="AL77" s="138"/>
      <c r="AM77" s="138"/>
      <c r="AN77" s="138"/>
      <c r="AO77" s="138"/>
    </row>
    <row r="78" spans="1:41">
      <c r="A78" s="138" t="str">
        <f>IFERROR(INDEX('Current AR'!A$6:A$103,MATCH(73,'Current AR'!X$6:X$103,0)),"")</f>
        <v>Client Alpha (Steel EPC)</v>
      </c>
      <c r="B78" s="138" t="str">
        <f>IFERROR(INDEX('Current AR'!D$6:D$103,MATCH(73,'Current AR'!X$6:X$103,0)),"")</f>
        <v>70000073</v>
      </c>
      <c r="C78" s="138" t="str">
        <f>IFERROR(INDEX('Current AR'!C$6:C$103,MATCH(73,'Current AR'!X$6:X$103,0)),"")</f>
        <v>AR-00073</v>
      </c>
      <c r="D78" s="141">
        <f>IFERROR(INDEX('Current AR'!F$6:F$103,MATCH(73,'Current AR'!X$6:X$103,0)),"")</f>
        <v>46364</v>
      </c>
      <c r="E78" s="142">
        <f>IFERROR(INDEX('Current AR'!I$6:I$103,MATCH(73,'Current AR'!X$6:X$103,0)),"")</f>
        <v>7011258.769199999</v>
      </c>
      <c r="F78" s="138">
        <f>IFERROR(INDEX('Current AR'!Q$6:Q$103,MATCH(73,'Current AR'!X$6:X$103,0)),"")</f>
        <v>-64</v>
      </c>
      <c r="G78" s="138" t="str">
        <f>IFERROR(INDEX('Current AR'!J$6:J$103,MATCH(73,'Current AR'!X$6:X$103,0)),"")</f>
        <v>Senior Sales Rep 2</v>
      </c>
      <c r="H78" s="141">
        <f>IFERROR(INDEX('Current AR'!N$6:N$103,MATCH(73,'Current AR'!X$6:X$103,0)),"")</f>
        <v>0</v>
      </c>
      <c r="I78" s="141">
        <f>IFERROR(INDEX('Current AR'!O$6:O$103,MATCH(73,'Current AR'!X$6:X$103,0)),"")</f>
        <v>0</v>
      </c>
      <c r="J78" s="138">
        <f>IFERROR(INDEX('Current AR'!P$6:P$103,MATCH(73,'Current AR'!X$6:X$103,0)),"")</f>
        <v>0</v>
      </c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138"/>
      <c r="AG78" s="138"/>
      <c r="AH78" s="138"/>
      <c r="AI78" s="138"/>
      <c r="AJ78" s="138"/>
      <c r="AK78" s="138"/>
      <c r="AL78" s="138"/>
      <c r="AM78" s="138"/>
      <c r="AN78" s="138"/>
      <c r="AO78" s="138"/>
    </row>
    <row r="79" spans="1:41">
      <c r="A79" s="138" t="str">
        <f>IFERROR(INDEX('Current AR'!A$6:A$103,MATCH(74,'Current AR'!X$6:X$103,0)),"")</f>
        <v>Client Alpha (Steel EPC)</v>
      </c>
      <c r="B79" s="138" t="str">
        <f>IFERROR(INDEX('Current AR'!D$6:D$103,MATCH(74,'Current AR'!X$6:X$103,0)),"")</f>
        <v>70000074</v>
      </c>
      <c r="C79" s="138" t="str">
        <f>IFERROR(INDEX('Current AR'!C$6:C$103,MATCH(74,'Current AR'!X$6:X$103,0)),"")</f>
        <v>AR-00074</v>
      </c>
      <c r="D79" s="141">
        <f>IFERROR(INDEX('Current AR'!F$6:F$103,MATCH(74,'Current AR'!X$6:X$103,0)),"")</f>
        <v>46364</v>
      </c>
      <c r="E79" s="142">
        <f>IFERROR(INDEX('Current AR'!I$6:I$103,MATCH(74,'Current AR'!X$6:X$103,0)),"")</f>
        <v>5046104600.9556</v>
      </c>
      <c r="F79" s="138">
        <f>IFERROR(INDEX('Current AR'!Q$6:Q$103,MATCH(74,'Current AR'!X$6:X$103,0)),"")</f>
        <v>-64</v>
      </c>
      <c r="G79" s="138" t="str">
        <f>IFERROR(INDEX('Current AR'!J$6:J$103,MATCH(74,'Current AR'!X$6:X$103,0)),"")</f>
        <v>Senior Sales Rep 2</v>
      </c>
      <c r="H79" s="141">
        <f>IFERROR(INDEX('Current AR'!N$6:N$103,MATCH(74,'Current AR'!X$6:X$103,0)),"")</f>
        <v>0</v>
      </c>
      <c r="I79" s="141">
        <f>IFERROR(INDEX('Current AR'!O$6:O$103,MATCH(74,'Current AR'!X$6:X$103,0)),"")</f>
        <v>0</v>
      </c>
      <c r="J79" s="138">
        <f>IFERROR(INDEX('Current AR'!P$6:P$103,MATCH(74,'Current AR'!X$6:X$103,0)),"")</f>
        <v>0</v>
      </c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  <c r="AB79" s="138"/>
      <c r="AC79" s="138"/>
      <c r="AD79" s="138"/>
      <c r="AE79" s="138"/>
      <c r="AF79" s="138"/>
      <c r="AG79" s="138"/>
      <c r="AH79" s="138"/>
      <c r="AI79" s="138"/>
      <c r="AJ79" s="138"/>
      <c r="AK79" s="138"/>
      <c r="AL79" s="138"/>
      <c r="AM79" s="138"/>
      <c r="AN79" s="138"/>
      <c r="AO79" s="138"/>
    </row>
    <row r="80" spans="1:41">
      <c r="A80" s="138" t="str">
        <f>IFERROR(INDEX('Current AR'!A$6:A$103,MATCH(75,'Current AR'!X$6:X$103,0)),"")</f>
        <v>Client Alpha (Steel EPC)</v>
      </c>
      <c r="B80" s="138" t="str">
        <f>IFERROR(INDEX('Current AR'!D$6:D$103,MATCH(75,'Current AR'!X$6:X$103,0)),"")</f>
        <v>70000075</v>
      </c>
      <c r="C80" s="138" t="str">
        <f>IFERROR(INDEX('Current AR'!C$6:C$103,MATCH(75,'Current AR'!X$6:X$103,0)),"")</f>
        <v>AR-00075</v>
      </c>
      <c r="D80" s="141">
        <f>IFERROR(INDEX('Current AR'!F$6:F$103,MATCH(75,'Current AR'!X$6:X$103,0)),"")</f>
        <v>46364</v>
      </c>
      <c r="E80" s="142">
        <f>IFERROR(INDEX('Current AR'!I$6:I$103,MATCH(75,'Current AR'!X$6:X$103,0)),"")</f>
        <v>37392838.99739999</v>
      </c>
      <c r="F80" s="138">
        <f>IFERROR(INDEX('Current AR'!Q$6:Q$103,MATCH(75,'Current AR'!X$6:X$103,0)),"")</f>
        <v>-64</v>
      </c>
      <c r="G80" s="138" t="str">
        <f>IFERROR(INDEX('Current AR'!J$6:J$103,MATCH(75,'Current AR'!X$6:X$103,0)),"")</f>
        <v>Senior Sales Rep 2</v>
      </c>
      <c r="H80" s="141">
        <f>IFERROR(INDEX('Current AR'!N$6:N$103,MATCH(75,'Current AR'!X$6:X$103,0)),"")</f>
        <v>0</v>
      </c>
      <c r="I80" s="141">
        <f>IFERROR(INDEX('Current AR'!O$6:O$103,MATCH(75,'Current AR'!X$6:X$103,0)),"")</f>
        <v>0</v>
      </c>
      <c r="J80" s="138">
        <f>IFERROR(INDEX('Current AR'!P$6:P$103,MATCH(75,'Current AR'!X$6:X$103,0)),"")</f>
        <v>0</v>
      </c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  <c r="AB80" s="138"/>
      <c r="AC80" s="138"/>
      <c r="AD80" s="138"/>
      <c r="AE80" s="138"/>
      <c r="AF80" s="138"/>
      <c r="AG80" s="138"/>
      <c r="AH80" s="138"/>
      <c r="AI80" s="138"/>
      <c r="AJ80" s="138"/>
      <c r="AK80" s="138"/>
      <c r="AL80" s="138"/>
      <c r="AM80" s="138"/>
      <c r="AN80" s="138"/>
      <c r="AO80" s="138"/>
    </row>
    <row r="81" spans="1:41">
      <c r="A81" s="138" t="str">
        <f>IFERROR(INDEX('Current AR'!A$6:A$103,MATCH(76,'Current AR'!X$6:X$103,0)),"")</f>
        <v>Client Alpha (Steel EPC)</v>
      </c>
      <c r="B81" s="138" t="str">
        <f>IFERROR(INDEX('Current AR'!D$6:D$103,MATCH(76,'Current AR'!X$6:X$103,0)),"")</f>
        <v>70000076</v>
      </c>
      <c r="C81" s="138" t="str">
        <f>IFERROR(INDEX('Current AR'!C$6:C$103,MATCH(76,'Current AR'!X$6:X$103,0)),"")</f>
        <v>AR-00076</v>
      </c>
      <c r="D81" s="141">
        <f>IFERROR(INDEX('Current AR'!F$6:F$103,MATCH(76,'Current AR'!X$6:X$103,0)),"")</f>
        <v>46364</v>
      </c>
      <c r="E81" s="142">
        <f>IFERROR(INDEX('Current AR'!I$6:I$103,MATCH(76,'Current AR'!X$6:X$103,0)),"")</f>
        <v>2613764.4140999997</v>
      </c>
      <c r="F81" s="138">
        <f>IFERROR(INDEX('Current AR'!Q$6:Q$103,MATCH(76,'Current AR'!X$6:X$103,0)),"")</f>
        <v>-64</v>
      </c>
      <c r="G81" s="138" t="str">
        <f>IFERROR(INDEX('Current AR'!J$6:J$103,MATCH(76,'Current AR'!X$6:X$103,0)),"")</f>
        <v>Senior Sales Rep 2</v>
      </c>
      <c r="H81" s="141">
        <f>IFERROR(INDEX('Current AR'!N$6:N$103,MATCH(76,'Current AR'!X$6:X$103,0)),"")</f>
        <v>0</v>
      </c>
      <c r="I81" s="141">
        <f>IFERROR(INDEX('Current AR'!O$6:O$103,MATCH(76,'Current AR'!X$6:X$103,0)),"")</f>
        <v>0</v>
      </c>
      <c r="J81" s="138">
        <f>IFERROR(INDEX('Current AR'!P$6:P$103,MATCH(76,'Current AR'!X$6:X$103,0)),"")</f>
        <v>0</v>
      </c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  <c r="AB81" s="138"/>
      <c r="AC81" s="138"/>
      <c r="AD81" s="138"/>
      <c r="AE81" s="138"/>
      <c r="AF81" s="138"/>
      <c r="AG81" s="138"/>
      <c r="AH81" s="138"/>
      <c r="AI81" s="138"/>
      <c r="AJ81" s="138"/>
      <c r="AK81" s="138"/>
      <c r="AL81" s="138"/>
      <c r="AM81" s="138"/>
      <c r="AN81" s="138"/>
      <c r="AO81" s="138"/>
    </row>
    <row r="82" spans="1:41">
      <c r="A82" s="138" t="str">
        <f>IFERROR(INDEX('Current AR'!A$6:A$103,MATCH(77,'Current AR'!X$6:X$103,0)),"")</f>
        <v>Client Alpha (Steel EPC)</v>
      </c>
      <c r="B82" s="138" t="str">
        <f>IFERROR(INDEX('Current AR'!D$6:D$103,MATCH(77,'Current AR'!X$6:X$103,0)),"")</f>
        <v>70000077</v>
      </c>
      <c r="C82" s="138" t="str">
        <f>IFERROR(INDEX('Current AR'!C$6:C$103,MATCH(77,'Current AR'!X$6:X$103,0)),"")</f>
        <v>AR-00077</v>
      </c>
      <c r="D82" s="141">
        <f>IFERROR(INDEX('Current AR'!F$6:F$103,MATCH(77,'Current AR'!X$6:X$103,0)),"")</f>
        <v>46369</v>
      </c>
      <c r="E82" s="142">
        <f>IFERROR(INDEX('Current AR'!I$6:I$103,MATCH(77,'Current AR'!X$6:X$103,0)),"")</f>
        <v>120506758.65329999</v>
      </c>
      <c r="F82" s="138">
        <f>IFERROR(INDEX('Current AR'!Q$6:Q$103,MATCH(77,'Current AR'!X$6:X$103,0)),"")</f>
        <v>-69</v>
      </c>
      <c r="G82" s="138" t="str">
        <f>IFERROR(INDEX('Current AR'!J$6:J$103,MATCH(77,'Current AR'!X$6:X$103,0)),"")</f>
        <v>Senior Sales Rep 1</v>
      </c>
      <c r="H82" s="141">
        <f>IFERROR(INDEX('Current AR'!N$6:N$103,MATCH(77,'Current AR'!X$6:X$103,0)),"")</f>
        <v>0</v>
      </c>
      <c r="I82" s="141">
        <f>IFERROR(INDEX('Current AR'!O$6:O$103,MATCH(77,'Current AR'!X$6:X$103,0)),"")</f>
        <v>0</v>
      </c>
      <c r="J82" s="138">
        <f>IFERROR(INDEX('Current AR'!P$6:P$103,MATCH(77,'Current AR'!X$6:X$103,0)),"")</f>
        <v>0</v>
      </c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8"/>
      <c r="AH82" s="138"/>
      <c r="AI82" s="138"/>
      <c r="AJ82" s="138"/>
      <c r="AK82" s="138"/>
      <c r="AL82" s="138"/>
      <c r="AM82" s="138"/>
      <c r="AN82" s="138"/>
      <c r="AO82" s="138"/>
    </row>
    <row r="83" spans="1:41">
      <c r="A83" s="138" t="str">
        <f>IFERROR(INDEX('Current AR'!A$6:A$103,MATCH(78,'Current AR'!X$6:X$103,0)),"")</f>
        <v>Client Alpha (Steel EPC)</v>
      </c>
      <c r="B83" s="138" t="str">
        <f>IFERROR(INDEX('Current AR'!D$6:D$103,MATCH(78,'Current AR'!X$6:X$103,0)),"")</f>
        <v>70000078</v>
      </c>
      <c r="C83" s="138" t="str">
        <f>IFERROR(INDEX('Current AR'!C$6:C$103,MATCH(78,'Current AR'!X$6:X$103,0)),"")</f>
        <v>AR-00078</v>
      </c>
      <c r="D83" s="141">
        <f>IFERROR(INDEX('Current AR'!F$6:F$103,MATCH(78,'Current AR'!X$6:X$103,0)),"")</f>
        <v>46369</v>
      </c>
      <c r="E83" s="142">
        <f>IFERROR(INDEX('Current AR'!I$6:I$103,MATCH(78,'Current AR'!X$6:X$103,0)),"")</f>
        <v>120506758.65329999</v>
      </c>
      <c r="F83" s="138">
        <f>IFERROR(INDEX('Current AR'!Q$6:Q$103,MATCH(78,'Current AR'!X$6:X$103,0)),"")</f>
        <v>-69</v>
      </c>
      <c r="G83" s="138" t="str">
        <f>IFERROR(INDEX('Current AR'!J$6:J$103,MATCH(78,'Current AR'!X$6:X$103,0)),"")</f>
        <v>Senior Sales Rep 1</v>
      </c>
      <c r="H83" s="141">
        <f>IFERROR(INDEX('Current AR'!N$6:N$103,MATCH(78,'Current AR'!X$6:X$103,0)),"")</f>
        <v>0</v>
      </c>
      <c r="I83" s="141">
        <f>IFERROR(INDEX('Current AR'!O$6:O$103,MATCH(78,'Current AR'!X$6:X$103,0)),"")</f>
        <v>0</v>
      </c>
      <c r="J83" s="138">
        <f>IFERROR(INDEX('Current AR'!P$6:P$103,MATCH(78,'Current AR'!X$6:X$103,0)),"")</f>
        <v>0</v>
      </c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  <c r="AH83" s="138"/>
      <c r="AI83" s="138"/>
      <c r="AJ83" s="138"/>
      <c r="AK83" s="138"/>
      <c r="AL83" s="138"/>
      <c r="AM83" s="138"/>
      <c r="AN83" s="138"/>
      <c r="AO83" s="138"/>
    </row>
    <row r="84" spans="1:41">
      <c r="A84" s="138" t="str">
        <f>IFERROR(INDEX('Current AR'!A$6:A$103,MATCH(79,'Current AR'!X$6:X$103,0)),"")</f>
        <v>Client Alpha (Steel EPC)</v>
      </c>
      <c r="B84" s="138" t="str">
        <f>IFERROR(INDEX('Current AR'!D$6:D$103,MATCH(79,'Current AR'!X$6:X$103,0)),"")</f>
        <v>70000079</v>
      </c>
      <c r="C84" s="138" t="str">
        <f>IFERROR(INDEX('Current AR'!C$6:C$103,MATCH(79,'Current AR'!X$6:X$103,0)),"")</f>
        <v>AR-00079</v>
      </c>
      <c r="D84" s="141">
        <f>IFERROR(INDEX('Current AR'!F$6:F$103,MATCH(79,'Current AR'!X$6:X$103,0)),"")</f>
        <v>46369</v>
      </c>
      <c r="E84" s="142">
        <f>IFERROR(INDEX('Current AR'!I$6:I$103,MATCH(79,'Current AR'!X$6:X$103,0)),"")</f>
        <v>30367331.711699996</v>
      </c>
      <c r="F84" s="138">
        <f>IFERROR(INDEX('Current AR'!Q$6:Q$103,MATCH(79,'Current AR'!X$6:X$103,0)),"")</f>
        <v>-69</v>
      </c>
      <c r="G84" s="138" t="str">
        <f>IFERROR(INDEX('Current AR'!J$6:J$103,MATCH(79,'Current AR'!X$6:X$103,0)),"")</f>
        <v>Senior Sales Rep 1</v>
      </c>
      <c r="H84" s="141">
        <f>IFERROR(INDEX('Current AR'!N$6:N$103,MATCH(79,'Current AR'!X$6:X$103,0)),"")</f>
        <v>0</v>
      </c>
      <c r="I84" s="141">
        <f>IFERROR(INDEX('Current AR'!O$6:O$103,MATCH(79,'Current AR'!X$6:X$103,0)),"")</f>
        <v>0</v>
      </c>
      <c r="J84" s="138">
        <f>IFERROR(INDEX('Current AR'!P$6:P$103,MATCH(79,'Current AR'!X$6:X$103,0)),"")</f>
        <v>0</v>
      </c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  <c r="AB84" s="138"/>
      <c r="AC84" s="138"/>
      <c r="AD84" s="138"/>
      <c r="AE84" s="138"/>
      <c r="AF84" s="138"/>
      <c r="AG84" s="138"/>
      <c r="AH84" s="138"/>
      <c r="AI84" s="138"/>
      <c r="AJ84" s="138"/>
      <c r="AK84" s="138"/>
      <c r="AL84" s="138"/>
      <c r="AM84" s="138"/>
      <c r="AN84" s="138"/>
      <c r="AO84" s="138"/>
    </row>
    <row r="85" spans="1:41">
      <c r="A85" s="138" t="str">
        <f>IFERROR(INDEX('Current AR'!A$6:A$103,MATCH(80,'Current AR'!X$6:X$103,0)),"")</f>
        <v>Client Alpha (Steel EPC)</v>
      </c>
      <c r="B85" s="138" t="str">
        <f>IFERROR(INDEX('Current AR'!D$6:D$103,MATCH(80,'Current AR'!X$6:X$103,0)),"")</f>
        <v>70000080</v>
      </c>
      <c r="C85" s="138" t="str">
        <f>IFERROR(INDEX('Current AR'!C$6:C$103,MATCH(80,'Current AR'!X$6:X$103,0)),"")</f>
        <v>AR-00080</v>
      </c>
      <c r="D85" s="141">
        <f>IFERROR(INDEX('Current AR'!F$6:F$103,MATCH(80,'Current AR'!X$6:X$103,0)),"")</f>
        <v>46369</v>
      </c>
      <c r="E85" s="142">
        <f>IFERROR(INDEX('Current AR'!I$6:I$103,MATCH(80,'Current AR'!X$6:X$103,0)),"")</f>
        <v>1424477.7639</v>
      </c>
      <c r="F85" s="138">
        <f>IFERROR(INDEX('Current AR'!Q$6:Q$103,MATCH(80,'Current AR'!X$6:X$103,0)),"")</f>
        <v>-69</v>
      </c>
      <c r="G85" s="138" t="str">
        <f>IFERROR(INDEX('Current AR'!J$6:J$103,MATCH(80,'Current AR'!X$6:X$103,0)),"")</f>
        <v>Senior Sales Rep 1</v>
      </c>
      <c r="H85" s="141">
        <f>IFERROR(INDEX('Current AR'!N$6:N$103,MATCH(80,'Current AR'!X$6:X$103,0)),"")</f>
        <v>0</v>
      </c>
      <c r="I85" s="141">
        <f>IFERROR(INDEX('Current AR'!O$6:O$103,MATCH(80,'Current AR'!X$6:X$103,0)),"")</f>
        <v>0</v>
      </c>
      <c r="J85" s="138">
        <f>IFERROR(INDEX('Current AR'!P$6:P$103,MATCH(80,'Current AR'!X$6:X$103,0)),"")</f>
        <v>0</v>
      </c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  <c r="AK85" s="138"/>
      <c r="AL85" s="138"/>
      <c r="AM85" s="138"/>
      <c r="AN85" s="138"/>
      <c r="AO85" s="138"/>
    </row>
    <row r="86" spans="1:41">
      <c r="A86" s="138" t="str">
        <f>IFERROR(INDEX('Current AR'!A$6:A$103,MATCH(81,'Current AR'!X$6:X$103,0)),"")</f>
        <v>Client Alpha (Steel EPC)</v>
      </c>
      <c r="B86" s="138" t="str">
        <f>IFERROR(INDEX('Current AR'!D$6:D$103,MATCH(81,'Current AR'!X$6:X$103,0)),"")</f>
        <v>70000081</v>
      </c>
      <c r="C86" s="138" t="str">
        <f>IFERROR(INDEX('Current AR'!C$6:C$103,MATCH(81,'Current AR'!X$6:X$103,0)),"")</f>
        <v>AR-00081</v>
      </c>
      <c r="D86" s="141">
        <f>IFERROR(INDEX('Current AR'!F$6:F$103,MATCH(81,'Current AR'!X$6:X$103,0)),"")</f>
        <v>46369</v>
      </c>
      <c r="E86" s="142">
        <f>IFERROR(INDEX('Current AR'!I$6:I$103,MATCH(81,'Current AR'!X$6:X$103,0)),"")</f>
        <v>6760671.298199999</v>
      </c>
      <c r="F86" s="138">
        <f>IFERROR(INDEX('Current AR'!Q$6:Q$103,MATCH(81,'Current AR'!X$6:X$103,0)),"")</f>
        <v>-69</v>
      </c>
      <c r="G86" s="138" t="str">
        <f>IFERROR(INDEX('Current AR'!J$6:J$103,MATCH(81,'Current AR'!X$6:X$103,0)),"")</f>
        <v>Senior Sales Rep 1</v>
      </c>
      <c r="H86" s="141">
        <f>IFERROR(INDEX('Current AR'!N$6:N$103,MATCH(81,'Current AR'!X$6:X$103,0)),"")</f>
        <v>0</v>
      </c>
      <c r="I86" s="141">
        <f>IFERROR(INDEX('Current AR'!O$6:O$103,MATCH(81,'Current AR'!X$6:X$103,0)),"")</f>
        <v>0</v>
      </c>
      <c r="J86" s="138">
        <f>IFERROR(INDEX('Current AR'!P$6:P$103,MATCH(81,'Current AR'!X$6:X$103,0)),"")</f>
        <v>0</v>
      </c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  <c r="AB86" s="138"/>
      <c r="AC86" s="138"/>
      <c r="AD86" s="138"/>
      <c r="AE86" s="138"/>
      <c r="AF86" s="138"/>
      <c r="AG86" s="138"/>
      <c r="AH86" s="138"/>
      <c r="AI86" s="138"/>
      <c r="AJ86" s="138"/>
      <c r="AK86" s="138"/>
      <c r="AL86" s="138"/>
      <c r="AM86" s="138"/>
      <c r="AN86" s="138"/>
      <c r="AO86" s="138"/>
    </row>
    <row r="87" spans="1:41">
      <c r="A87" s="138" t="str">
        <f>IFERROR(INDEX('Current AR'!A$6:A$103,MATCH(82,'Current AR'!X$6:X$103,0)),"")</f>
        <v>Client Alpha (Steel EPC)</v>
      </c>
      <c r="B87" s="138" t="str">
        <f>IFERROR(INDEX('Current AR'!D$6:D$103,MATCH(82,'Current AR'!X$6:X$103,0)),"")</f>
        <v>70000082</v>
      </c>
      <c r="C87" s="138" t="str">
        <f>IFERROR(INDEX('Current AR'!C$6:C$103,MATCH(82,'Current AR'!X$6:X$103,0)),"")</f>
        <v>AR-00082</v>
      </c>
      <c r="D87" s="141">
        <f>IFERROR(INDEX('Current AR'!F$6:F$103,MATCH(82,'Current AR'!X$6:X$103,0)),"")</f>
        <v>46369</v>
      </c>
      <c r="E87" s="142">
        <f>IFERROR(INDEX('Current AR'!I$6:I$103,MATCH(82,'Current AR'!X$6:X$103,0)),"")</f>
        <v>3898279793.2265997</v>
      </c>
      <c r="F87" s="138">
        <f>IFERROR(INDEX('Current AR'!Q$6:Q$103,MATCH(82,'Current AR'!X$6:X$103,0)),"")</f>
        <v>-69</v>
      </c>
      <c r="G87" s="138" t="str">
        <f>IFERROR(INDEX('Current AR'!J$6:J$103,MATCH(82,'Current AR'!X$6:X$103,0)),"")</f>
        <v>Senior Sales Rep 2</v>
      </c>
      <c r="H87" s="141">
        <f>IFERROR(INDEX('Current AR'!N$6:N$103,MATCH(82,'Current AR'!X$6:X$103,0)),"")</f>
        <v>0</v>
      </c>
      <c r="I87" s="141">
        <f>IFERROR(INDEX('Current AR'!O$6:O$103,MATCH(82,'Current AR'!X$6:X$103,0)),"")</f>
        <v>0</v>
      </c>
      <c r="J87" s="138">
        <f>IFERROR(INDEX('Current AR'!P$6:P$103,MATCH(82,'Current AR'!X$6:X$103,0)),"")</f>
        <v>0</v>
      </c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138"/>
      <c r="AG87" s="138"/>
      <c r="AH87" s="138"/>
      <c r="AI87" s="138"/>
      <c r="AJ87" s="138"/>
      <c r="AK87" s="138"/>
      <c r="AL87" s="138"/>
      <c r="AM87" s="138"/>
      <c r="AN87" s="138"/>
      <c r="AO87" s="138"/>
    </row>
    <row r="88" spans="1:41">
      <c r="A88" s="138" t="str">
        <f>IFERROR(INDEX('Current AR'!A$6:A$103,MATCH(83,'Current AR'!X$6:X$103,0)),"")</f>
        <v>Client Alpha (Steel EPC)</v>
      </c>
      <c r="B88" s="138" t="str">
        <f>IFERROR(INDEX('Current AR'!D$6:D$103,MATCH(83,'Current AR'!X$6:X$103,0)),"")</f>
        <v>70000083</v>
      </c>
      <c r="C88" s="138" t="str">
        <f>IFERROR(INDEX('Current AR'!C$6:C$103,MATCH(83,'Current AR'!X$6:X$103,0)),"")</f>
        <v>AR-00083</v>
      </c>
      <c r="D88" s="141">
        <f>IFERROR(INDEX('Current AR'!F$6:F$103,MATCH(83,'Current AR'!X$6:X$103,0)),"")</f>
        <v>46373</v>
      </c>
      <c r="E88" s="142">
        <f>IFERROR(INDEX('Current AR'!I$6:I$103,MATCH(83,'Current AR'!X$6:X$103,0)),"")</f>
        <v>186429623.7426</v>
      </c>
      <c r="F88" s="138">
        <f>IFERROR(INDEX('Current AR'!Q$6:Q$103,MATCH(83,'Current AR'!X$6:X$103,0)),"")</f>
        <v>-73</v>
      </c>
      <c r="G88" s="138" t="str">
        <f>IFERROR(INDEX('Current AR'!J$6:J$103,MATCH(83,'Current AR'!X$6:X$103,0)),"")</f>
        <v>Senior Sales Rep 1</v>
      </c>
      <c r="H88" s="141">
        <f>IFERROR(INDEX('Current AR'!N$6:N$103,MATCH(83,'Current AR'!X$6:X$103,0)),"")</f>
        <v>0</v>
      </c>
      <c r="I88" s="141">
        <f>IFERROR(INDEX('Current AR'!O$6:O$103,MATCH(83,'Current AR'!X$6:X$103,0)),"")</f>
        <v>0</v>
      </c>
      <c r="J88" s="138">
        <f>IFERROR(INDEX('Current AR'!P$6:P$103,MATCH(83,'Current AR'!X$6:X$103,0)),"")</f>
        <v>0</v>
      </c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  <c r="AE88" s="138"/>
      <c r="AF88" s="138"/>
      <c r="AG88" s="138"/>
      <c r="AH88" s="138"/>
      <c r="AI88" s="138"/>
      <c r="AJ88" s="138"/>
      <c r="AK88" s="138"/>
      <c r="AL88" s="138"/>
      <c r="AM88" s="138"/>
      <c r="AN88" s="138"/>
      <c r="AO88" s="138"/>
    </row>
    <row r="89" spans="1:41">
      <c r="A89" s="138" t="str">
        <f>IFERROR(INDEX('Current AR'!A$6:A$103,MATCH(84,'Current AR'!X$6:X$103,0)),"")</f>
        <v>Client Alpha (Steel EPC)</v>
      </c>
      <c r="B89" s="138" t="str">
        <f>IFERROR(INDEX('Current AR'!D$6:D$103,MATCH(84,'Current AR'!X$6:X$103,0)),"")</f>
        <v>70000084</v>
      </c>
      <c r="C89" s="138" t="str">
        <f>IFERROR(INDEX('Current AR'!C$6:C$103,MATCH(84,'Current AR'!X$6:X$103,0)),"")</f>
        <v>AR-00084</v>
      </c>
      <c r="D89" s="141">
        <f>IFERROR(INDEX('Current AR'!F$6:F$103,MATCH(84,'Current AR'!X$6:X$103,0)),"")</f>
        <v>46373</v>
      </c>
      <c r="E89" s="142">
        <f>IFERROR(INDEX('Current AR'!I$6:I$103,MATCH(84,'Current AR'!X$6:X$103,0)),"")</f>
        <v>25726645.918199997</v>
      </c>
      <c r="F89" s="138">
        <f>IFERROR(INDEX('Current AR'!Q$6:Q$103,MATCH(84,'Current AR'!X$6:X$103,0)),"")</f>
        <v>-73</v>
      </c>
      <c r="G89" s="138" t="str">
        <f>IFERROR(INDEX('Current AR'!J$6:J$103,MATCH(84,'Current AR'!X$6:X$103,0)),"")</f>
        <v>Senior Sales Rep 1</v>
      </c>
      <c r="H89" s="141">
        <f>IFERROR(INDEX('Current AR'!N$6:N$103,MATCH(84,'Current AR'!X$6:X$103,0)),"")</f>
        <v>0</v>
      </c>
      <c r="I89" s="141">
        <f>IFERROR(INDEX('Current AR'!O$6:O$103,MATCH(84,'Current AR'!X$6:X$103,0)),"")</f>
        <v>0</v>
      </c>
      <c r="J89" s="138">
        <f>IFERROR(INDEX('Current AR'!P$6:P$103,MATCH(84,'Current AR'!X$6:X$103,0)),"")</f>
        <v>0</v>
      </c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  <c r="AB89" s="138"/>
      <c r="AC89" s="138"/>
      <c r="AD89" s="138"/>
      <c r="AE89" s="138"/>
      <c r="AF89" s="138"/>
      <c r="AG89" s="138"/>
      <c r="AH89" s="138"/>
      <c r="AI89" s="138"/>
      <c r="AJ89" s="138"/>
      <c r="AK89" s="138"/>
      <c r="AL89" s="138"/>
      <c r="AM89" s="138"/>
      <c r="AN89" s="138"/>
      <c r="AO89" s="138"/>
    </row>
    <row r="90" spans="1:41">
      <c r="A90" s="138" t="str">
        <f>IFERROR(INDEX('Current AR'!A$6:A$103,MATCH(85,'Current AR'!X$6:X$103,0)),"")</f>
        <v>Client Alpha (Steel EPC)</v>
      </c>
      <c r="B90" s="138" t="str">
        <f>IFERROR(INDEX('Current AR'!D$6:D$103,MATCH(85,'Current AR'!X$6:X$103,0)),"")</f>
        <v>70000085</v>
      </c>
      <c r="C90" s="138" t="str">
        <f>IFERROR(INDEX('Current AR'!C$6:C$103,MATCH(85,'Current AR'!X$6:X$103,0)),"")</f>
        <v>AR-00085</v>
      </c>
      <c r="D90" s="141">
        <f>IFERROR(INDEX('Current AR'!F$6:F$103,MATCH(85,'Current AR'!X$6:X$103,0)),"")</f>
        <v>46373</v>
      </c>
      <c r="E90" s="142">
        <f>IFERROR(INDEX('Current AR'!I$6:I$103,MATCH(85,'Current AR'!X$6:X$103,0)),"")</f>
        <v>6021195.8088</v>
      </c>
      <c r="F90" s="138">
        <f>IFERROR(INDEX('Current AR'!Q$6:Q$103,MATCH(85,'Current AR'!X$6:X$103,0)),"")</f>
        <v>-73</v>
      </c>
      <c r="G90" s="138" t="str">
        <f>IFERROR(INDEX('Current AR'!J$6:J$103,MATCH(85,'Current AR'!X$6:X$103,0)),"")</f>
        <v>Senior Sales Rep 1</v>
      </c>
      <c r="H90" s="141">
        <f>IFERROR(INDEX('Current AR'!N$6:N$103,MATCH(85,'Current AR'!X$6:X$103,0)),"")</f>
        <v>0</v>
      </c>
      <c r="I90" s="141">
        <f>IFERROR(INDEX('Current AR'!O$6:O$103,MATCH(85,'Current AR'!X$6:X$103,0)),"")</f>
        <v>0</v>
      </c>
      <c r="J90" s="138">
        <f>IFERROR(INDEX('Current AR'!P$6:P$103,MATCH(85,'Current AR'!X$6:X$103,0)),"")</f>
        <v>0</v>
      </c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  <c r="AI90" s="138"/>
      <c r="AJ90" s="138"/>
      <c r="AK90" s="138"/>
      <c r="AL90" s="138"/>
      <c r="AM90" s="138"/>
      <c r="AN90" s="138"/>
      <c r="AO90" s="138"/>
    </row>
    <row r="91" spans="1:41">
      <c r="A91" s="138" t="str">
        <f>IFERROR(INDEX('Current AR'!A$6:A$103,MATCH(86,'Current AR'!X$6:X$103,0)),"")</f>
        <v>Client Alpha (Steel EPC)</v>
      </c>
      <c r="B91" s="138" t="str">
        <f>IFERROR(INDEX('Current AR'!D$6:D$103,MATCH(86,'Current AR'!X$6:X$103,0)),"")</f>
        <v>70000086</v>
      </c>
      <c r="C91" s="138" t="str">
        <f>IFERROR(INDEX('Current AR'!C$6:C$103,MATCH(86,'Current AR'!X$6:X$103,0)),"")</f>
        <v>AR-00086</v>
      </c>
      <c r="D91" s="141">
        <f>IFERROR(INDEX('Current AR'!F$6:F$103,MATCH(86,'Current AR'!X$6:X$103,0)),"")</f>
        <v>46373</v>
      </c>
      <c r="E91" s="142">
        <f>IFERROR(INDEX('Current AR'!I$6:I$103,MATCH(86,'Current AR'!X$6:X$103,0)),"")</f>
        <v>38976130.3806</v>
      </c>
      <c r="F91" s="138">
        <f>IFERROR(INDEX('Current AR'!Q$6:Q$103,MATCH(86,'Current AR'!X$6:X$103,0)),"")</f>
        <v>-73</v>
      </c>
      <c r="G91" s="138" t="str">
        <f>IFERROR(INDEX('Current AR'!J$6:J$103,MATCH(86,'Current AR'!X$6:X$103,0)),"")</f>
        <v>Senior Sales Rep 1</v>
      </c>
      <c r="H91" s="141">
        <f>IFERROR(INDEX('Current AR'!N$6:N$103,MATCH(86,'Current AR'!X$6:X$103,0)),"")</f>
        <v>0</v>
      </c>
      <c r="I91" s="141">
        <f>IFERROR(INDEX('Current AR'!O$6:O$103,MATCH(86,'Current AR'!X$6:X$103,0)),"")</f>
        <v>0</v>
      </c>
      <c r="J91" s="138">
        <f>IFERROR(INDEX('Current AR'!P$6:P$103,MATCH(86,'Current AR'!X$6:X$103,0)),"")</f>
        <v>0</v>
      </c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  <c r="AC91" s="138"/>
      <c r="AD91" s="138"/>
      <c r="AE91" s="138"/>
      <c r="AF91" s="138"/>
      <c r="AG91" s="138"/>
      <c r="AH91" s="138"/>
      <c r="AI91" s="138"/>
      <c r="AJ91" s="138"/>
      <c r="AK91" s="138"/>
      <c r="AL91" s="138"/>
      <c r="AM91" s="138"/>
      <c r="AN91" s="138"/>
      <c r="AO91" s="138"/>
    </row>
    <row r="92" spans="1:41">
      <c r="A92" s="138" t="str">
        <f>IFERROR(INDEX('Current AR'!A$6:A$103,MATCH(87,'Current AR'!X$6:X$103,0)),"")</f>
        <v>Client Alpha Sub-Contract</v>
      </c>
      <c r="B92" s="138" t="str">
        <f>IFERROR(INDEX('Current AR'!D$6:D$103,MATCH(87,'Current AR'!X$6:X$103,0)),"")</f>
        <v>70000087</v>
      </c>
      <c r="C92" s="138" t="str">
        <f>IFERROR(INDEX('Current AR'!C$6:C$103,MATCH(87,'Current AR'!X$6:X$103,0)),"")</f>
        <v>AR-00087</v>
      </c>
      <c r="D92" s="141">
        <f>IFERROR(INDEX('Current AR'!F$6:F$103,MATCH(87,'Current AR'!X$6:X$103,0)),"")</f>
        <v>46278</v>
      </c>
      <c r="E92" s="142">
        <f>IFERROR(INDEX('Current AR'!I$6:I$103,MATCH(87,'Current AR'!X$6:X$103,0)),"")</f>
        <v>1084632179.3813999</v>
      </c>
      <c r="F92" s="138">
        <f>IFERROR(INDEX('Current AR'!Q$6:Q$103,MATCH(87,'Current AR'!X$6:X$103,0)),"")</f>
        <v>22</v>
      </c>
      <c r="G92" s="138" t="str">
        <f>IFERROR(INDEX('Current AR'!J$6:J$103,MATCH(87,'Current AR'!X$6:X$103,0)),"")</f>
        <v>Senior Sales Rep 2</v>
      </c>
      <c r="H92" s="141">
        <f>IFERROR(INDEX('Current AR'!N$6:N$103,MATCH(87,'Current AR'!X$6:X$103,0)),"")</f>
        <v>0</v>
      </c>
      <c r="I92" s="141">
        <f>IFERROR(INDEX('Current AR'!O$6:O$103,MATCH(87,'Current AR'!X$6:X$103,0)),"")</f>
        <v>0</v>
      </c>
      <c r="J92" s="138">
        <f>IFERROR(INDEX('Current AR'!P$6:P$103,MATCH(87,'Current AR'!X$6:X$103,0)),"")</f>
        <v>0</v>
      </c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  <c r="AB92" s="138"/>
      <c r="AC92" s="138"/>
      <c r="AD92" s="138"/>
      <c r="AE92" s="138"/>
      <c r="AF92" s="138"/>
      <c r="AG92" s="138"/>
      <c r="AH92" s="138"/>
      <c r="AI92" s="138"/>
      <c r="AJ92" s="138"/>
      <c r="AK92" s="138"/>
      <c r="AL92" s="138"/>
      <c r="AM92" s="138"/>
      <c r="AN92" s="138"/>
      <c r="AO92" s="138"/>
    </row>
    <row r="93" spans="1:41">
      <c r="A93" s="138" t="str">
        <f>IFERROR(INDEX('Current AR'!A$6:A$103,MATCH(88,'Current AR'!X$6:X$103,0)),"")</f>
        <v>Client Alpha Sub-Contract</v>
      </c>
      <c r="B93" s="138" t="str">
        <f>IFERROR(INDEX('Current AR'!D$6:D$103,MATCH(88,'Current AR'!X$6:X$103,0)),"")</f>
        <v>70000088</v>
      </c>
      <c r="C93" s="138" t="str">
        <f>IFERROR(INDEX('Current AR'!C$6:C$103,MATCH(88,'Current AR'!X$6:X$103,0)),"")</f>
        <v>AR-00088</v>
      </c>
      <c r="D93" s="141">
        <f>IFERROR(INDEX('Current AR'!F$6:F$103,MATCH(88,'Current AR'!X$6:X$103,0)),"")</f>
        <v>46293</v>
      </c>
      <c r="E93" s="142">
        <f>IFERROR(INDEX('Current AR'!I$6:I$103,MATCH(88,'Current AR'!X$6:X$103,0)),"")</f>
        <v>591047820.6185999</v>
      </c>
      <c r="F93" s="138">
        <f>IFERROR(INDEX('Current AR'!Q$6:Q$103,MATCH(88,'Current AR'!X$6:X$103,0)),"")</f>
        <v>7</v>
      </c>
      <c r="G93" s="138" t="str">
        <f>IFERROR(INDEX('Current AR'!J$6:J$103,MATCH(88,'Current AR'!X$6:X$103,0)),"")</f>
        <v>Senior Sales Rep 2</v>
      </c>
      <c r="H93" s="141">
        <f>IFERROR(INDEX('Current AR'!N$6:N$103,MATCH(88,'Current AR'!X$6:X$103,0)),"")</f>
        <v>0</v>
      </c>
      <c r="I93" s="141">
        <f>IFERROR(INDEX('Current AR'!O$6:O$103,MATCH(88,'Current AR'!X$6:X$103,0)),"")</f>
        <v>0</v>
      </c>
      <c r="J93" s="138">
        <f>IFERROR(INDEX('Current AR'!P$6:P$103,MATCH(88,'Current AR'!X$6:X$103,0)),"")</f>
        <v>0</v>
      </c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  <c r="AB93" s="138"/>
      <c r="AC93" s="138"/>
      <c r="AD93" s="138"/>
      <c r="AE93" s="138"/>
      <c r="AF93" s="138"/>
      <c r="AG93" s="138"/>
      <c r="AH93" s="138"/>
      <c r="AI93" s="138"/>
      <c r="AJ93" s="138"/>
      <c r="AK93" s="138"/>
      <c r="AL93" s="138"/>
      <c r="AM93" s="138"/>
      <c r="AN93" s="138"/>
      <c r="AO93" s="138"/>
    </row>
    <row r="94" spans="1:41">
      <c r="A94" s="138" t="str">
        <f>IFERROR(INDEX('Current AR'!A$6:A$103,MATCH(89,'Current AR'!X$6:X$103,0)),"")</f>
        <v>Client Alpha Sub-Contract</v>
      </c>
      <c r="B94" s="138" t="str">
        <f>IFERROR(INDEX('Current AR'!D$6:D$103,MATCH(89,'Current AR'!X$6:X$103,0)),"")</f>
        <v>70000089</v>
      </c>
      <c r="C94" s="138" t="str">
        <f>IFERROR(INDEX('Current AR'!C$6:C$103,MATCH(89,'Current AR'!X$6:X$103,0)),"")</f>
        <v>AR-00089</v>
      </c>
      <c r="D94" s="141">
        <f>IFERROR(INDEX('Current AR'!F$6:F$103,MATCH(89,'Current AR'!X$6:X$103,0)),"")</f>
        <v>46309</v>
      </c>
      <c r="E94" s="142">
        <f>IFERROR(INDEX('Current AR'!I$6:I$103,MATCH(89,'Current AR'!X$6:X$103,0)),"")</f>
        <v>338515300.91669995</v>
      </c>
      <c r="F94" s="138">
        <f>IFERROR(INDEX('Current AR'!Q$6:Q$103,MATCH(89,'Current AR'!X$6:X$103,0)),"")</f>
        <v>-9</v>
      </c>
      <c r="G94" s="138" t="str">
        <f>IFERROR(INDEX('Current AR'!J$6:J$103,MATCH(89,'Current AR'!X$6:X$103,0)),"")</f>
        <v>Senior Sales Rep 2</v>
      </c>
      <c r="H94" s="141">
        <f>IFERROR(INDEX('Current AR'!N$6:N$103,MATCH(89,'Current AR'!X$6:X$103,0)),"")</f>
        <v>0</v>
      </c>
      <c r="I94" s="141">
        <f>IFERROR(INDEX('Current AR'!O$6:O$103,MATCH(89,'Current AR'!X$6:X$103,0)),"")</f>
        <v>0</v>
      </c>
      <c r="J94" s="138">
        <f>IFERROR(INDEX('Current AR'!P$6:P$103,MATCH(89,'Current AR'!X$6:X$103,0)),"")</f>
        <v>0</v>
      </c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  <c r="AB94" s="138"/>
      <c r="AC94" s="138"/>
      <c r="AD94" s="138"/>
      <c r="AE94" s="138"/>
      <c r="AF94" s="138"/>
      <c r="AG94" s="138"/>
      <c r="AH94" s="138"/>
      <c r="AI94" s="138"/>
      <c r="AJ94" s="138"/>
      <c r="AK94" s="138"/>
      <c r="AL94" s="138"/>
      <c r="AM94" s="138"/>
      <c r="AN94" s="138"/>
      <c r="AO94" s="138"/>
    </row>
    <row r="95" spans="1:41">
      <c r="A95" s="138" t="str">
        <f>IFERROR(INDEX('Current AR'!A$6:A$103,MATCH(90,'Current AR'!X$6:X$103,0)),"")</f>
        <v>Client Alpha Sub-Contract</v>
      </c>
      <c r="B95" s="138" t="str">
        <f>IFERROR(INDEX('Current AR'!D$6:D$103,MATCH(90,'Current AR'!X$6:X$103,0)),"")</f>
        <v>70000090</v>
      </c>
      <c r="C95" s="138" t="str">
        <f>IFERROR(INDEX('Current AR'!C$6:C$103,MATCH(90,'Current AR'!X$6:X$103,0)),"")</f>
        <v>AR-00090</v>
      </c>
      <c r="D95" s="141">
        <f>IFERROR(INDEX('Current AR'!F$6:F$103,MATCH(90,'Current AR'!X$6:X$103,0)),"")</f>
        <v>46309</v>
      </c>
      <c r="E95" s="142">
        <f>IFERROR(INDEX('Current AR'!I$6:I$103,MATCH(90,'Current AR'!X$6:X$103,0)),"")</f>
        <v>556845132.8268</v>
      </c>
      <c r="F95" s="138">
        <f>IFERROR(INDEX('Current AR'!Q$6:Q$103,MATCH(90,'Current AR'!X$6:X$103,0)),"")</f>
        <v>-9</v>
      </c>
      <c r="G95" s="138" t="str">
        <f>IFERROR(INDEX('Current AR'!J$6:J$103,MATCH(90,'Current AR'!X$6:X$103,0)),"")</f>
        <v>Senior Sales Rep 2</v>
      </c>
      <c r="H95" s="141">
        <f>IFERROR(INDEX('Current AR'!N$6:N$103,MATCH(90,'Current AR'!X$6:X$103,0)),"")</f>
        <v>0</v>
      </c>
      <c r="I95" s="141">
        <f>IFERROR(INDEX('Current AR'!O$6:O$103,MATCH(90,'Current AR'!X$6:X$103,0)),"")</f>
        <v>0</v>
      </c>
      <c r="J95" s="138">
        <f>IFERROR(INDEX('Current AR'!P$6:P$103,MATCH(90,'Current AR'!X$6:X$103,0)),"")</f>
        <v>0</v>
      </c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  <c r="AB95" s="138"/>
      <c r="AC95" s="138"/>
      <c r="AD95" s="138"/>
      <c r="AE95" s="138"/>
      <c r="AF95" s="138"/>
      <c r="AG95" s="138"/>
      <c r="AH95" s="138"/>
      <c r="AI95" s="138"/>
      <c r="AJ95" s="138"/>
      <c r="AK95" s="138"/>
      <c r="AL95" s="138"/>
      <c r="AM95" s="138"/>
      <c r="AN95" s="138"/>
      <c r="AO95" s="138"/>
    </row>
    <row r="96" spans="1:41">
      <c r="A96" s="138" t="str">
        <f>IFERROR(INDEX('Current AR'!A$6:A$103,MATCH(91,'Current AR'!X$6:X$103,0)),"")</f>
        <v>Client Alpha Sub-Contract</v>
      </c>
      <c r="B96" s="138" t="str">
        <f>IFERROR(INDEX('Current AR'!D$6:D$103,MATCH(91,'Current AR'!X$6:X$103,0)),"")</f>
        <v>70000091</v>
      </c>
      <c r="C96" s="138" t="str">
        <f>IFERROR(INDEX('Current AR'!C$6:C$103,MATCH(91,'Current AR'!X$6:X$103,0)),"")</f>
        <v>AR-00091</v>
      </c>
      <c r="D96" s="141">
        <f>IFERROR(INDEX('Current AR'!F$6:F$103,MATCH(91,'Current AR'!X$6:X$103,0)),"")</f>
        <v>46357</v>
      </c>
      <c r="E96" s="142">
        <f>IFERROR(INDEX('Current AR'!I$6:I$103,MATCH(91,'Current AR'!X$6:X$103,0)),"")</f>
        <v>151128275.31149998</v>
      </c>
      <c r="F96" s="138">
        <f>IFERROR(INDEX('Current AR'!Q$6:Q$103,MATCH(91,'Current AR'!X$6:X$103,0)),"")</f>
        <v>-57</v>
      </c>
      <c r="G96" s="138" t="str">
        <f>IFERROR(INDEX('Current AR'!J$6:J$103,MATCH(91,'Current AR'!X$6:X$103,0)),"")</f>
        <v>Senior Sales Rep 2</v>
      </c>
      <c r="H96" s="141">
        <f>IFERROR(INDEX('Current AR'!N$6:N$103,MATCH(91,'Current AR'!X$6:X$103,0)),"")</f>
        <v>0</v>
      </c>
      <c r="I96" s="141">
        <f>IFERROR(INDEX('Current AR'!O$6:O$103,MATCH(91,'Current AR'!X$6:X$103,0)),"")</f>
        <v>0</v>
      </c>
      <c r="J96" s="138">
        <f>IFERROR(INDEX('Current AR'!P$6:P$103,MATCH(91,'Current AR'!X$6:X$103,0)),"")</f>
        <v>0</v>
      </c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  <c r="AB96" s="138"/>
      <c r="AC96" s="138"/>
      <c r="AD96" s="138"/>
      <c r="AE96" s="138"/>
      <c r="AF96" s="138"/>
      <c r="AG96" s="138"/>
      <c r="AH96" s="138"/>
      <c r="AI96" s="138"/>
      <c r="AJ96" s="138"/>
      <c r="AK96" s="138"/>
      <c r="AL96" s="138"/>
      <c r="AM96" s="138"/>
      <c r="AN96" s="138"/>
      <c r="AO96" s="138"/>
    </row>
    <row r="97" spans="1:41">
      <c r="A97" s="138" t="str">
        <f>IFERROR(INDEX('Current AR'!A$6:A$103,MATCH(92,'Current AR'!X$6:X$103,0)),"")</f>
        <v>Client Alpha Sub-Contract</v>
      </c>
      <c r="B97" s="138" t="str">
        <f>IFERROR(INDEX('Current AR'!D$6:D$103,MATCH(92,'Current AR'!X$6:X$103,0)),"")</f>
        <v>70000092</v>
      </c>
      <c r="C97" s="138" t="str">
        <f>IFERROR(INDEX('Current AR'!C$6:C$103,MATCH(92,'Current AR'!X$6:X$103,0)),"")</f>
        <v>AR-00092</v>
      </c>
      <c r="D97" s="141">
        <f>IFERROR(INDEX('Current AR'!F$6:F$103,MATCH(92,'Current AR'!X$6:X$103,0)),"")</f>
        <v>46357</v>
      </c>
      <c r="E97" s="142">
        <f>IFERROR(INDEX('Current AR'!I$6:I$103,MATCH(92,'Current AR'!X$6:X$103,0)),"")</f>
        <v>130165402.26119998</v>
      </c>
      <c r="F97" s="138">
        <f>IFERROR(INDEX('Current AR'!Q$6:Q$103,MATCH(92,'Current AR'!X$6:X$103,0)),"")</f>
        <v>-57</v>
      </c>
      <c r="G97" s="138" t="str">
        <f>IFERROR(INDEX('Current AR'!J$6:J$103,MATCH(92,'Current AR'!X$6:X$103,0)),"")</f>
        <v>Senior Sales Rep 2</v>
      </c>
      <c r="H97" s="141">
        <f>IFERROR(INDEX('Current AR'!N$6:N$103,MATCH(92,'Current AR'!X$6:X$103,0)),"")</f>
        <v>0</v>
      </c>
      <c r="I97" s="141">
        <f>IFERROR(INDEX('Current AR'!O$6:O$103,MATCH(92,'Current AR'!X$6:X$103,0)),"")</f>
        <v>0</v>
      </c>
      <c r="J97" s="138">
        <f>IFERROR(INDEX('Current AR'!P$6:P$103,MATCH(92,'Current AR'!X$6:X$103,0)),"")</f>
        <v>0</v>
      </c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  <c r="AB97" s="138"/>
      <c r="AC97" s="138"/>
      <c r="AD97" s="138"/>
      <c r="AE97" s="138"/>
      <c r="AF97" s="138"/>
      <c r="AG97" s="138"/>
      <c r="AH97" s="138"/>
      <c r="AI97" s="138"/>
      <c r="AJ97" s="138"/>
      <c r="AK97" s="138"/>
      <c r="AL97" s="138"/>
      <c r="AM97" s="138"/>
      <c r="AN97" s="138"/>
      <c r="AO97" s="138"/>
    </row>
    <row r="98" spans="1:41">
      <c r="A98" s="138" t="str">
        <f>IFERROR(INDEX('Current AR'!A$6:A$103,MATCH(93,'Current AR'!X$6:X$103,0)),"")</f>
        <v>Client Alpha Sub-Contract</v>
      </c>
      <c r="B98" s="138" t="str">
        <f>IFERROR(INDEX('Current AR'!D$6:D$103,MATCH(93,'Current AR'!X$6:X$103,0)),"")</f>
        <v>70000093</v>
      </c>
      <c r="C98" s="138" t="str">
        <f>IFERROR(INDEX('Current AR'!C$6:C$103,MATCH(93,'Current AR'!X$6:X$103,0)),"")</f>
        <v>AR-00093</v>
      </c>
      <c r="D98" s="141">
        <f>IFERROR(INDEX('Current AR'!F$6:F$103,MATCH(93,'Current AR'!X$6:X$103,0)),"")</f>
        <v>46364</v>
      </c>
      <c r="E98" s="142">
        <f>IFERROR(INDEX('Current AR'!I$6:I$103,MATCH(93,'Current AR'!X$6:X$103,0)),"")</f>
        <v>631890527.6067</v>
      </c>
      <c r="F98" s="138">
        <f>IFERROR(INDEX('Current AR'!Q$6:Q$103,MATCH(93,'Current AR'!X$6:X$103,0)),"")</f>
        <v>-64</v>
      </c>
      <c r="G98" s="138" t="str">
        <f>IFERROR(INDEX('Current AR'!J$6:J$103,MATCH(93,'Current AR'!X$6:X$103,0)),"")</f>
        <v>Senior Sales Rep 2</v>
      </c>
      <c r="H98" s="141">
        <f>IFERROR(INDEX('Current AR'!N$6:N$103,MATCH(93,'Current AR'!X$6:X$103,0)),"")</f>
        <v>0</v>
      </c>
      <c r="I98" s="141">
        <f>IFERROR(INDEX('Current AR'!O$6:O$103,MATCH(93,'Current AR'!X$6:X$103,0)),"")</f>
        <v>0</v>
      </c>
      <c r="J98" s="138">
        <f>IFERROR(INDEX('Current AR'!P$6:P$103,MATCH(93,'Current AR'!X$6:X$103,0)),"")</f>
        <v>0</v>
      </c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  <c r="AB98" s="138"/>
      <c r="AC98" s="138"/>
      <c r="AD98" s="138"/>
      <c r="AE98" s="138"/>
      <c r="AF98" s="138"/>
      <c r="AG98" s="138"/>
      <c r="AH98" s="138"/>
      <c r="AI98" s="138"/>
      <c r="AJ98" s="138"/>
      <c r="AK98" s="138"/>
      <c r="AL98" s="138"/>
      <c r="AM98" s="138"/>
      <c r="AN98" s="138"/>
      <c r="AO98" s="138"/>
    </row>
    <row r="99" spans="1:41">
      <c r="A99" s="138" t="str">
        <f>IFERROR(INDEX('Current AR'!A$6:A$103,MATCH(94,'Current AR'!X$6:X$103,0)),"")</f>
        <v>Client Alpha Sub-Contract</v>
      </c>
      <c r="B99" s="138" t="str">
        <f>IFERROR(INDEX('Current AR'!D$6:D$103,MATCH(94,'Current AR'!X$6:X$103,0)),"")</f>
        <v>70000094</v>
      </c>
      <c r="C99" s="138" t="str">
        <f>IFERROR(INDEX('Current AR'!C$6:C$103,MATCH(94,'Current AR'!X$6:X$103,0)),"")</f>
        <v>AR-00094</v>
      </c>
      <c r="D99" s="141">
        <f>IFERROR(INDEX('Current AR'!F$6:F$103,MATCH(94,'Current AR'!X$6:X$103,0)),"")</f>
        <v>46373</v>
      </c>
      <c r="E99" s="142">
        <f>IFERROR(INDEX('Current AR'!I$6:I$103,MATCH(94,'Current AR'!X$6:X$103,0)),"")</f>
        <v>88916685.34019999</v>
      </c>
      <c r="F99" s="138">
        <f>IFERROR(INDEX('Current AR'!Q$6:Q$103,MATCH(94,'Current AR'!X$6:X$103,0)),"")</f>
        <v>-73</v>
      </c>
      <c r="G99" s="138" t="str">
        <f>IFERROR(INDEX('Current AR'!J$6:J$103,MATCH(94,'Current AR'!X$6:X$103,0)),"")</f>
        <v>Senior Sales Rep 2</v>
      </c>
      <c r="H99" s="141">
        <f>IFERROR(INDEX('Current AR'!N$6:N$103,MATCH(94,'Current AR'!X$6:X$103,0)),"")</f>
        <v>0</v>
      </c>
      <c r="I99" s="141">
        <f>IFERROR(INDEX('Current AR'!O$6:O$103,MATCH(94,'Current AR'!X$6:X$103,0)),"")</f>
        <v>0</v>
      </c>
      <c r="J99" s="138">
        <f>IFERROR(INDEX('Current AR'!P$6:P$103,MATCH(94,'Current AR'!X$6:X$103,0)),"")</f>
        <v>0</v>
      </c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  <c r="AB99" s="138"/>
      <c r="AC99" s="138"/>
      <c r="AD99" s="138"/>
      <c r="AE99" s="138"/>
      <c r="AF99" s="138"/>
      <c r="AG99" s="138"/>
      <c r="AH99" s="138"/>
      <c r="AI99" s="138"/>
      <c r="AJ99" s="138"/>
      <c r="AK99" s="138"/>
      <c r="AL99" s="138"/>
      <c r="AM99" s="138"/>
      <c r="AN99" s="138"/>
      <c r="AO99" s="138"/>
    </row>
    <row r="100" spans="1:41">
      <c r="A100" s="138" t="str">
        <f>IFERROR(INDEX('Current AR'!A$6:A$103,MATCH(95,'Current AR'!X$6:X$103,0)),"")</f>
        <v>Client Alpha Sub-Contract</v>
      </c>
      <c r="B100" s="138" t="str">
        <f>IFERROR(INDEX('Current AR'!D$6:D$103,MATCH(95,'Current AR'!X$6:X$103,0)),"")</f>
        <v>70000095</v>
      </c>
      <c r="C100" s="138" t="str">
        <f>IFERROR(INDEX('Current AR'!C$6:C$103,MATCH(95,'Current AR'!X$6:X$103,0)),"")</f>
        <v>AR-00095</v>
      </c>
      <c r="D100" s="141">
        <f>IFERROR(INDEX('Current AR'!F$6:F$103,MATCH(95,'Current AR'!X$6:X$103,0)),"")</f>
        <v>46373</v>
      </c>
      <c r="E100" s="142">
        <f>IFERROR(INDEX('Current AR'!I$6:I$103,MATCH(95,'Current AR'!X$6:X$103,0)),"")</f>
        <v>80040062.73689999</v>
      </c>
      <c r="F100" s="138">
        <f>IFERROR(INDEX('Current AR'!Q$6:Q$103,MATCH(95,'Current AR'!X$6:X$103,0)),"")</f>
        <v>-73</v>
      </c>
      <c r="G100" s="138" t="str">
        <f>IFERROR(INDEX('Current AR'!J$6:J$103,MATCH(95,'Current AR'!X$6:X$103,0)),"")</f>
        <v>Senior Sales Rep 2</v>
      </c>
      <c r="H100" s="141">
        <f>IFERROR(INDEX('Current AR'!N$6:N$103,MATCH(95,'Current AR'!X$6:X$103,0)),"")</f>
        <v>0</v>
      </c>
      <c r="I100" s="141">
        <f>IFERROR(INDEX('Current AR'!O$6:O$103,MATCH(95,'Current AR'!X$6:X$103,0)),"")</f>
        <v>0</v>
      </c>
      <c r="J100" s="138">
        <f>IFERROR(INDEX('Current AR'!P$6:P$103,MATCH(95,'Current AR'!X$6:X$103,0)),"")</f>
        <v>0</v>
      </c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  <c r="AB100" s="138"/>
      <c r="AC100" s="138"/>
      <c r="AD100" s="138"/>
      <c r="AE100" s="138"/>
      <c r="AF100" s="138"/>
      <c r="AG100" s="138"/>
      <c r="AH100" s="138"/>
      <c r="AI100" s="138"/>
      <c r="AJ100" s="138"/>
      <c r="AK100" s="138"/>
      <c r="AL100" s="138"/>
      <c r="AM100" s="138"/>
      <c r="AN100" s="138"/>
      <c r="AO100" s="138"/>
    </row>
    <row r="101" spans="1:41">
      <c r="A101" s="138" t="str">
        <f>IFERROR(INDEX('Current AR'!A$6:A$103,MATCH(96,'Current AR'!X$6:X$103,0)),"")</f>
        <v>Client Epsilon (Equipment)</v>
      </c>
      <c r="B101" s="138" t="str">
        <f>IFERROR(INDEX('Current AR'!D$6:D$103,MATCH(96,'Current AR'!X$6:X$103,0)),"")</f>
        <v>70000096</v>
      </c>
      <c r="C101" s="138" t="str">
        <f>IFERROR(INDEX('Current AR'!C$6:C$103,MATCH(96,'Current AR'!X$6:X$103,0)),"")</f>
        <v>AR-00096</v>
      </c>
      <c r="D101" s="141">
        <f>IFERROR(INDEX('Current AR'!F$6:F$103,MATCH(96,'Current AR'!X$6:X$103,0)),"")</f>
        <v>46324</v>
      </c>
      <c r="E101" s="142">
        <f>IFERROR(INDEX('Current AR'!I$6:I$103,MATCH(96,'Current AR'!X$6:X$103,0)),"")</f>
        <v>43462949.99999999</v>
      </c>
      <c r="F101" s="138">
        <f>IFERROR(INDEX('Current AR'!Q$6:Q$103,MATCH(96,'Current AR'!X$6:X$103,0)),"")</f>
        <v>-24</v>
      </c>
      <c r="G101" s="138" t="str">
        <f>IFERROR(INDEX('Current AR'!J$6:J$103,MATCH(96,'Current AR'!X$6:X$103,0)),"")</f>
        <v>Sales Rep 4</v>
      </c>
      <c r="H101" s="141">
        <f>IFERROR(INDEX('Current AR'!N$6:N$103,MATCH(96,'Current AR'!X$6:X$103,0)),"")</f>
        <v>0</v>
      </c>
      <c r="I101" s="141">
        <f>IFERROR(INDEX('Current AR'!O$6:O$103,MATCH(96,'Current AR'!X$6:X$103,0)),"")</f>
        <v>0</v>
      </c>
      <c r="J101" s="138">
        <f>IFERROR(INDEX('Current AR'!P$6:P$103,MATCH(96,'Current AR'!X$6:X$103,0)),"")</f>
        <v>0</v>
      </c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  <c r="AE101" s="138"/>
      <c r="AF101" s="138"/>
      <c r="AG101" s="138"/>
      <c r="AH101" s="138"/>
      <c r="AI101" s="138"/>
      <c r="AJ101" s="138"/>
      <c r="AK101" s="138"/>
      <c r="AL101" s="138"/>
      <c r="AM101" s="138"/>
      <c r="AN101" s="138"/>
      <c r="AO101" s="138"/>
    </row>
    <row r="102" spans="1:41">
      <c r="A102" s="138" t="str">
        <f>IFERROR(INDEX('Current AR'!A$6:A$103,MATCH(97,'Current AR'!X$6:X$103,0)),"")</f>
        <v>Client Zeta (Building Tech)</v>
      </c>
      <c r="B102" s="138" t="str">
        <f>IFERROR(INDEX('Current AR'!D$6:D$103,MATCH(97,'Current AR'!X$6:X$103,0)),"")</f>
        <v>70000097</v>
      </c>
      <c r="C102" s="138" t="str">
        <f>IFERROR(INDEX('Current AR'!C$6:C$103,MATCH(97,'Current AR'!X$6:X$103,0)),"")</f>
        <v>AR-00097</v>
      </c>
      <c r="D102" s="141">
        <f>IFERROR(INDEX('Current AR'!F$6:F$103,MATCH(97,'Current AR'!X$6:X$103,0)),"")</f>
        <v>46322</v>
      </c>
      <c r="E102" s="142">
        <f>IFERROR(INDEX('Current AR'!I$6:I$103,MATCH(97,'Current AR'!X$6:X$103,0)),"")</f>
        <v>324662.99999999994</v>
      </c>
      <c r="F102" s="138">
        <f>IFERROR(INDEX('Current AR'!Q$6:Q$103,MATCH(97,'Current AR'!X$6:X$103,0)),"")</f>
        <v>-22</v>
      </c>
      <c r="G102" s="138" t="str">
        <f>IFERROR(INDEX('Current AR'!J$6:J$103,MATCH(97,'Current AR'!X$6:X$103,0)),"")</f>
        <v>Sales Rep 5</v>
      </c>
      <c r="H102" s="141">
        <f>IFERROR(INDEX('Current AR'!N$6:N$103,MATCH(97,'Current AR'!X$6:X$103,0)),"")</f>
        <v>0</v>
      </c>
      <c r="I102" s="141">
        <f>IFERROR(INDEX('Current AR'!O$6:O$103,MATCH(97,'Current AR'!X$6:X$103,0)),"")</f>
        <v>0</v>
      </c>
      <c r="J102" s="138">
        <f>IFERROR(INDEX('Current AR'!P$6:P$103,MATCH(97,'Current AR'!X$6:X$103,0)),"")</f>
        <v>0</v>
      </c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  <c r="AB102" s="138"/>
      <c r="AC102" s="138"/>
      <c r="AD102" s="138"/>
      <c r="AE102" s="138"/>
      <c r="AF102" s="138"/>
      <c r="AG102" s="138"/>
      <c r="AH102" s="138"/>
      <c r="AI102" s="138"/>
      <c r="AJ102" s="138"/>
      <c r="AK102" s="138"/>
      <c r="AL102" s="138"/>
      <c r="AM102" s="138"/>
      <c r="AN102" s="138"/>
      <c r="AO102" s="138"/>
    </row>
    <row r="103" spans="1:41">
      <c r="A103" s="138" t="str">
        <f>IFERROR(INDEX('Current AR'!A$6:A$103,MATCH(98,'Current AR'!X$6:X$103,0)),"")</f>
        <v>Client Gamma (Offshore Energy)</v>
      </c>
      <c r="B103" s="138" t="str">
        <f>IFERROR(INDEX('Current AR'!D$6:D$103,MATCH(98,'Current AR'!X$6:X$103,0)),"")</f>
        <v>70000098</v>
      </c>
      <c r="C103" s="138" t="str">
        <f>IFERROR(INDEX('Current AR'!C$6:C$103,MATCH(98,'Current AR'!X$6:X$103,0)),"")</f>
        <v>AR-00098</v>
      </c>
      <c r="D103" s="141">
        <f>IFERROR(INDEX('Current AR'!F$6:F$103,MATCH(98,'Current AR'!X$6:X$103,0)),"")</f>
        <v>46224</v>
      </c>
      <c r="E103" s="142">
        <f>IFERROR(INDEX('Current AR'!I$6:I$103,MATCH(98,'Current AR'!X$6:X$103,0)),"")</f>
        <v>4021631999.9999995</v>
      </c>
      <c r="F103" s="138">
        <f>IFERROR(INDEX('Current AR'!Q$6:Q$103,MATCH(98,'Current AR'!X$6:X$103,0)),"")</f>
        <v>76</v>
      </c>
      <c r="G103" s="138" t="str">
        <f>IFERROR(INDEX('Current AR'!J$6:J$103,MATCH(98,'Current AR'!X$6:X$103,0)),"")</f>
        <v>Sales Rep 3</v>
      </c>
      <c r="H103" s="141">
        <f>IFERROR(INDEX('Current AR'!N$6:N$103,MATCH(98,'Current AR'!X$6:X$103,0)),"")</f>
        <v>0</v>
      </c>
      <c r="I103" s="141">
        <f>IFERROR(INDEX('Current AR'!O$6:O$103,MATCH(98,'Current AR'!X$6:X$103,0)),"")</f>
        <v>0</v>
      </c>
      <c r="J103" s="138">
        <f>IFERROR(INDEX('Current AR'!P$6:P$103,MATCH(98,'Current AR'!X$6:X$103,0)),"")</f>
        <v>0</v>
      </c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  <c r="AB103" s="138"/>
      <c r="AC103" s="138"/>
      <c r="AD103" s="138"/>
      <c r="AE103" s="138"/>
      <c r="AF103" s="138"/>
      <c r="AG103" s="138"/>
      <c r="AH103" s="138"/>
      <c r="AI103" s="138"/>
      <c r="AJ103" s="138"/>
      <c r="AK103" s="138"/>
      <c r="AL103" s="138"/>
      <c r="AM103" s="138"/>
      <c r="AN103" s="138"/>
      <c r="AO103" s="138"/>
    </row>
    <row r="104" spans="1:4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  <c r="AB104" s="138"/>
      <c r="AC104" s="138"/>
      <c r="AD104" s="138"/>
      <c r="AE104" s="138"/>
      <c r="AF104" s="138"/>
      <c r="AG104" s="138"/>
      <c r="AH104" s="138"/>
      <c r="AI104" s="138"/>
      <c r="AJ104" s="138"/>
      <c r="AK104" s="138"/>
      <c r="AL104" s="138"/>
      <c r="AM104" s="138"/>
      <c r="AN104" s="138"/>
      <c r="AO104" s="138"/>
    </row>
    <row r="105" spans="1:4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  <c r="AB105" s="138"/>
      <c r="AC105" s="138"/>
      <c r="AD105" s="138"/>
      <c r="AE105" s="138"/>
      <c r="AF105" s="138"/>
      <c r="AG105" s="138"/>
      <c r="AH105" s="138"/>
      <c r="AI105" s="138"/>
      <c r="AJ105" s="138"/>
      <c r="AK105" s="138"/>
      <c r="AL105" s="138"/>
      <c r="AM105" s="138"/>
      <c r="AN105" s="138"/>
      <c r="AO105" s="138"/>
    </row>
    <row r="106" spans="1:4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  <c r="AB106" s="138"/>
      <c r="AC106" s="138"/>
      <c r="AD106" s="138"/>
      <c r="AE106" s="138"/>
      <c r="AF106" s="138"/>
      <c r="AG106" s="138"/>
      <c r="AH106" s="138"/>
      <c r="AI106" s="138"/>
      <c r="AJ106" s="138"/>
      <c r="AK106" s="138"/>
      <c r="AL106" s="138"/>
      <c r="AM106" s="138"/>
      <c r="AN106" s="138"/>
      <c r="AO106" s="138"/>
    </row>
    <row r="107" spans="1:4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  <c r="AB107" s="138"/>
      <c r="AC107" s="138"/>
      <c r="AD107" s="138"/>
      <c r="AE107" s="138"/>
      <c r="AF107" s="138"/>
      <c r="AG107" s="138"/>
      <c r="AH107" s="138"/>
      <c r="AI107" s="138"/>
      <c r="AJ107" s="138"/>
      <c r="AK107" s="138"/>
      <c r="AL107" s="138"/>
      <c r="AM107" s="138"/>
      <c r="AN107" s="138"/>
      <c r="AO107" s="138"/>
    </row>
    <row r="108" spans="1:4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  <c r="AB108" s="138"/>
      <c r="AC108" s="138"/>
      <c r="AD108" s="138"/>
      <c r="AE108" s="138"/>
      <c r="AF108" s="138"/>
      <c r="AG108" s="138"/>
      <c r="AH108" s="138"/>
      <c r="AI108" s="138"/>
      <c r="AJ108" s="138"/>
      <c r="AK108" s="138"/>
      <c r="AL108" s="138"/>
      <c r="AM108" s="138"/>
      <c r="AN108" s="138"/>
      <c r="AO108" s="138"/>
    </row>
    <row r="109" spans="1:4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  <c r="AB109" s="138"/>
      <c r="AC109" s="138"/>
      <c r="AD109" s="138"/>
      <c r="AE109" s="138"/>
      <c r="AF109" s="138"/>
      <c r="AG109" s="138"/>
      <c r="AH109" s="138"/>
      <c r="AI109" s="138"/>
      <c r="AJ109" s="138"/>
      <c r="AK109" s="138"/>
      <c r="AL109" s="138"/>
      <c r="AM109" s="138"/>
      <c r="AN109" s="138"/>
      <c r="AO109" s="138"/>
    </row>
    <row r="110" spans="1:4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  <c r="AB110" s="138"/>
      <c r="AC110" s="138"/>
      <c r="AD110" s="138"/>
      <c r="AE110" s="138"/>
      <c r="AF110" s="138"/>
      <c r="AG110" s="138"/>
      <c r="AH110" s="138"/>
      <c r="AI110" s="138"/>
      <c r="AJ110" s="138"/>
      <c r="AK110" s="138"/>
      <c r="AL110" s="138"/>
      <c r="AM110" s="138"/>
      <c r="AN110" s="138"/>
      <c r="AO110" s="138"/>
    </row>
    <row r="111" spans="1:4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  <c r="AB111" s="138"/>
      <c r="AC111" s="138"/>
      <c r="AD111" s="138"/>
      <c r="AE111" s="138"/>
      <c r="AF111" s="138"/>
      <c r="AG111" s="138"/>
      <c r="AH111" s="138"/>
      <c r="AI111" s="138"/>
      <c r="AJ111" s="138"/>
      <c r="AK111" s="138"/>
      <c r="AL111" s="138"/>
      <c r="AM111" s="138"/>
      <c r="AN111" s="138"/>
      <c r="AO111" s="138"/>
    </row>
    <row r="112" spans="1:4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  <c r="AB112" s="138"/>
      <c r="AC112" s="138"/>
      <c r="AD112" s="138"/>
      <c r="AE112" s="138"/>
      <c r="AF112" s="138"/>
      <c r="AG112" s="138"/>
      <c r="AH112" s="138"/>
      <c r="AI112" s="138"/>
      <c r="AJ112" s="138"/>
      <c r="AK112" s="138"/>
      <c r="AL112" s="138"/>
      <c r="AM112" s="138"/>
      <c r="AN112" s="138"/>
      <c r="AO112" s="138"/>
    </row>
    <row r="113" spans="1:4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  <c r="AB113" s="138"/>
      <c r="AC113" s="138"/>
      <c r="AD113" s="138"/>
      <c r="AE113" s="138"/>
      <c r="AF113" s="138"/>
      <c r="AG113" s="138"/>
      <c r="AH113" s="138"/>
      <c r="AI113" s="138"/>
      <c r="AJ113" s="138"/>
      <c r="AK113" s="138"/>
      <c r="AL113" s="138"/>
      <c r="AM113" s="138"/>
      <c r="AN113" s="138"/>
      <c r="AO113" s="138"/>
    </row>
    <row r="114" spans="1:4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  <c r="AB114" s="138"/>
      <c r="AC114" s="138"/>
      <c r="AD114" s="138"/>
      <c r="AE114" s="138"/>
      <c r="AF114" s="138"/>
      <c r="AG114" s="138"/>
      <c r="AH114" s="138"/>
      <c r="AI114" s="138"/>
      <c r="AJ114" s="138"/>
      <c r="AK114" s="138"/>
      <c r="AL114" s="138"/>
      <c r="AM114" s="138"/>
      <c r="AN114" s="138"/>
      <c r="AO114" s="138"/>
    </row>
    <row r="115" spans="1:4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  <c r="AD115" s="138"/>
      <c r="AE115" s="138"/>
      <c r="AF115" s="138"/>
      <c r="AG115" s="138"/>
      <c r="AH115" s="138"/>
      <c r="AI115" s="138"/>
      <c r="AJ115" s="138"/>
      <c r="AK115" s="138"/>
      <c r="AL115" s="138"/>
      <c r="AM115" s="138"/>
      <c r="AN115" s="138"/>
      <c r="AO115" s="138"/>
    </row>
    <row r="116" spans="1:4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  <c r="AB116" s="138"/>
      <c r="AC116" s="138"/>
      <c r="AD116" s="138"/>
      <c r="AE116" s="138"/>
      <c r="AF116" s="138"/>
      <c r="AG116" s="138"/>
      <c r="AH116" s="138"/>
      <c r="AI116" s="138"/>
      <c r="AJ116" s="138"/>
      <c r="AK116" s="138"/>
      <c r="AL116" s="138"/>
      <c r="AM116" s="138"/>
      <c r="AN116" s="138"/>
      <c r="AO116" s="138"/>
    </row>
    <row r="117" spans="1:4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  <c r="AG117" s="138"/>
      <c r="AH117" s="138"/>
      <c r="AI117" s="138"/>
      <c r="AJ117" s="138"/>
      <c r="AK117" s="138"/>
      <c r="AL117" s="138"/>
      <c r="AM117" s="138"/>
      <c r="AN117" s="138"/>
      <c r="AO117" s="138"/>
    </row>
    <row r="118" spans="1:4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  <c r="AB118" s="138"/>
      <c r="AC118" s="138"/>
      <c r="AD118" s="138"/>
      <c r="AE118" s="138"/>
      <c r="AF118" s="138"/>
      <c r="AG118" s="138"/>
      <c r="AH118" s="138"/>
      <c r="AI118" s="138"/>
      <c r="AJ118" s="138"/>
      <c r="AK118" s="138"/>
      <c r="AL118" s="138"/>
      <c r="AM118" s="138"/>
      <c r="AN118" s="138"/>
      <c r="AO118" s="138"/>
    </row>
    <row r="119" spans="1:4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  <c r="AD119" s="138"/>
      <c r="AE119" s="138"/>
      <c r="AF119" s="138"/>
      <c r="AG119" s="138"/>
      <c r="AH119" s="138"/>
      <c r="AI119" s="138"/>
      <c r="AJ119" s="138"/>
      <c r="AK119" s="138"/>
      <c r="AL119" s="138"/>
      <c r="AM119" s="138"/>
      <c r="AN119" s="138"/>
      <c r="AO119" s="138"/>
    </row>
    <row r="120" spans="1:4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  <c r="AC120" s="138"/>
      <c r="AD120" s="138"/>
      <c r="AE120" s="138"/>
      <c r="AF120" s="138"/>
      <c r="AG120" s="138"/>
      <c r="AH120" s="138"/>
      <c r="AI120" s="138"/>
      <c r="AJ120" s="138"/>
      <c r="AK120" s="138"/>
      <c r="AL120" s="138"/>
      <c r="AM120" s="138"/>
      <c r="AN120" s="138"/>
      <c r="AO120" s="138"/>
    </row>
    <row r="121" spans="1:4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  <c r="AB121" s="138"/>
      <c r="AC121" s="138"/>
      <c r="AD121" s="138"/>
      <c r="AE121" s="138"/>
      <c r="AF121" s="138"/>
      <c r="AG121" s="138"/>
      <c r="AH121" s="138"/>
      <c r="AI121" s="138"/>
      <c r="AJ121" s="138"/>
      <c r="AK121" s="138"/>
      <c r="AL121" s="138"/>
      <c r="AM121" s="138"/>
      <c r="AN121" s="138"/>
      <c r="AO121" s="138"/>
    </row>
    <row r="122" spans="1:4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  <c r="AB122" s="138"/>
      <c r="AC122" s="138"/>
      <c r="AD122" s="138"/>
      <c r="AE122" s="138"/>
      <c r="AF122" s="138"/>
      <c r="AG122" s="138"/>
      <c r="AH122" s="138"/>
      <c r="AI122" s="138"/>
      <c r="AJ122" s="138"/>
      <c r="AK122" s="138"/>
      <c r="AL122" s="138"/>
      <c r="AM122" s="138"/>
      <c r="AN122" s="138"/>
      <c r="AO122" s="138"/>
    </row>
    <row r="123" spans="1:4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  <c r="AC123" s="138"/>
      <c r="AD123" s="138"/>
      <c r="AE123" s="138"/>
      <c r="AF123" s="138"/>
      <c r="AG123" s="138"/>
      <c r="AH123" s="138"/>
      <c r="AI123" s="138"/>
      <c r="AJ123" s="138"/>
      <c r="AK123" s="138"/>
      <c r="AL123" s="138"/>
      <c r="AM123" s="138"/>
      <c r="AN123" s="138"/>
      <c r="AO123" s="138"/>
    </row>
    <row r="124" spans="1:4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  <c r="AC124" s="138"/>
      <c r="AD124" s="138"/>
      <c r="AE124" s="138"/>
      <c r="AF124" s="138"/>
      <c r="AG124" s="138"/>
      <c r="AH124" s="138"/>
      <c r="AI124" s="138"/>
      <c r="AJ124" s="138"/>
      <c r="AK124" s="138"/>
      <c r="AL124" s="138"/>
      <c r="AM124" s="138"/>
      <c r="AN124" s="138"/>
      <c r="AO124" s="138"/>
    </row>
    <row r="125" spans="1:4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38"/>
      <c r="AD125" s="138"/>
      <c r="AE125" s="138"/>
      <c r="AF125" s="138"/>
      <c r="AG125" s="138"/>
      <c r="AH125" s="138"/>
      <c r="AI125" s="138"/>
      <c r="AJ125" s="138"/>
      <c r="AK125" s="138"/>
      <c r="AL125" s="138"/>
      <c r="AM125" s="138"/>
      <c r="AN125" s="138"/>
      <c r="AO125" s="138"/>
    </row>
    <row r="126" spans="1:4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  <c r="AB126" s="138"/>
      <c r="AC126" s="138"/>
      <c r="AD126" s="138"/>
      <c r="AE126" s="138"/>
      <c r="AF126" s="138"/>
      <c r="AG126" s="138"/>
      <c r="AH126" s="138"/>
      <c r="AI126" s="138"/>
      <c r="AJ126" s="138"/>
      <c r="AK126" s="138"/>
      <c r="AL126" s="138"/>
      <c r="AM126" s="138"/>
      <c r="AN126" s="138"/>
      <c r="AO126" s="138"/>
    </row>
    <row r="127" spans="1:4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  <c r="AB127" s="138"/>
      <c r="AC127" s="138"/>
      <c r="AD127" s="138"/>
      <c r="AE127" s="138"/>
      <c r="AF127" s="138"/>
      <c r="AG127" s="138"/>
      <c r="AH127" s="138"/>
      <c r="AI127" s="138"/>
      <c r="AJ127" s="138"/>
      <c r="AK127" s="138"/>
      <c r="AL127" s="138"/>
      <c r="AM127" s="138"/>
      <c r="AN127" s="138"/>
      <c r="AO127" s="138"/>
    </row>
    <row r="128" spans="1:4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38"/>
      <c r="AD128" s="138"/>
      <c r="AE128" s="138"/>
      <c r="AF128" s="138"/>
      <c r="AG128" s="138"/>
      <c r="AH128" s="138"/>
      <c r="AI128" s="138"/>
      <c r="AJ128" s="138"/>
      <c r="AK128" s="138"/>
      <c r="AL128" s="138"/>
      <c r="AM128" s="138"/>
      <c r="AN128" s="138"/>
      <c r="AO128" s="138"/>
    </row>
    <row r="129" spans="1:4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  <c r="AB129" s="138"/>
      <c r="AC129" s="138"/>
      <c r="AD129" s="138"/>
      <c r="AE129" s="138"/>
      <c r="AF129" s="138"/>
      <c r="AG129" s="138"/>
      <c r="AH129" s="138"/>
      <c r="AI129" s="138"/>
      <c r="AJ129" s="138"/>
      <c r="AK129" s="138"/>
      <c r="AL129" s="138"/>
      <c r="AM129" s="138"/>
      <c r="AN129" s="138"/>
      <c r="AO129" s="138"/>
    </row>
    <row r="130" spans="1:4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  <c r="AB130" s="138"/>
      <c r="AC130" s="138"/>
      <c r="AD130" s="138"/>
      <c r="AE130" s="138"/>
      <c r="AF130" s="138"/>
      <c r="AG130" s="138"/>
      <c r="AH130" s="138"/>
      <c r="AI130" s="138"/>
      <c r="AJ130" s="138"/>
      <c r="AK130" s="138"/>
      <c r="AL130" s="138"/>
      <c r="AM130" s="138"/>
      <c r="AN130" s="138"/>
      <c r="AO130" s="138"/>
    </row>
    <row r="131" spans="1:4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  <c r="AB131" s="138"/>
      <c r="AC131" s="138"/>
      <c r="AD131" s="138"/>
      <c r="AE131" s="138"/>
      <c r="AF131" s="138"/>
      <c r="AG131" s="138"/>
      <c r="AH131" s="138"/>
      <c r="AI131" s="138"/>
      <c r="AJ131" s="138"/>
      <c r="AK131" s="138"/>
      <c r="AL131" s="138"/>
      <c r="AM131" s="138"/>
      <c r="AN131" s="138"/>
      <c r="AO131" s="138"/>
    </row>
    <row r="132" spans="1:4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  <c r="AC132" s="138"/>
      <c r="AD132" s="138"/>
      <c r="AE132" s="138"/>
      <c r="AF132" s="138"/>
      <c r="AG132" s="138"/>
      <c r="AH132" s="138"/>
      <c r="AI132" s="138"/>
      <c r="AJ132" s="138"/>
      <c r="AK132" s="138"/>
      <c r="AL132" s="138"/>
      <c r="AM132" s="138"/>
      <c r="AN132" s="138"/>
      <c r="AO132" s="138"/>
    </row>
    <row r="133" spans="1:4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  <c r="AB133" s="138"/>
      <c r="AC133" s="138"/>
      <c r="AD133" s="138"/>
      <c r="AE133" s="138"/>
      <c r="AF133" s="138"/>
      <c r="AG133" s="138"/>
      <c r="AH133" s="138"/>
      <c r="AI133" s="138"/>
      <c r="AJ133" s="138"/>
      <c r="AK133" s="138"/>
      <c r="AL133" s="138"/>
      <c r="AM133" s="138"/>
      <c r="AN133" s="138"/>
      <c r="AO133" s="138"/>
    </row>
    <row r="134" spans="1:4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  <c r="AB134" s="138"/>
      <c r="AC134" s="138"/>
      <c r="AD134" s="138"/>
      <c r="AE134" s="138"/>
      <c r="AF134" s="138"/>
      <c r="AG134" s="138"/>
      <c r="AH134" s="138"/>
      <c r="AI134" s="138"/>
      <c r="AJ134" s="138"/>
      <c r="AK134" s="138"/>
      <c r="AL134" s="138"/>
      <c r="AM134" s="138"/>
      <c r="AN134" s="138"/>
      <c r="AO134" s="138"/>
    </row>
    <row r="135" spans="1:4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  <c r="AB135" s="138"/>
      <c r="AC135" s="138"/>
      <c r="AD135" s="138"/>
      <c r="AE135" s="138"/>
      <c r="AF135" s="138"/>
      <c r="AG135" s="138"/>
      <c r="AH135" s="138"/>
      <c r="AI135" s="138"/>
      <c r="AJ135" s="138"/>
      <c r="AK135" s="138"/>
      <c r="AL135" s="138"/>
      <c r="AM135" s="138"/>
      <c r="AN135" s="138"/>
      <c r="AO135" s="138"/>
    </row>
    <row r="136" spans="1:4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  <c r="AB136" s="138"/>
      <c r="AC136" s="138"/>
      <c r="AD136" s="138"/>
      <c r="AE136" s="138"/>
      <c r="AF136" s="138"/>
      <c r="AG136" s="138"/>
      <c r="AH136" s="138"/>
      <c r="AI136" s="138"/>
      <c r="AJ136" s="138"/>
      <c r="AK136" s="138"/>
      <c r="AL136" s="138"/>
      <c r="AM136" s="138"/>
      <c r="AN136" s="138"/>
      <c r="AO136" s="138"/>
    </row>
    <row r="137" spans="1:4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  <c r="AB137" s="138"/>
      <c r="AC137" s="138"/>
      <c r="AD137" s="138"/>
      <c r="AE137" s="138"/>
      <c r="AF137" s="138"/>
      <c r="AG137" s="138"/>
      <c r="AH137" s="138"/>
      <c r="AI137" s="138"/>
      <c r="AJ137" s="138"/>
      <c r="AK137" s="138"/>
      <c r="AL137" s="138"/>
      <c r="AM137" s="138"/>
      <c r="AN137" s="138"/>
      <c r="AO137" s="138"/>
    </row>
    <row r="138" spans="1:4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  <c r="AB138" s="138"/>
      <c r="AC138" s="138"/>
      <c r="AD138" s="138"/>
      <c r="AE138" s="138"/>
      <c r="AF138" s="138"/>
      <c r="AG138" s="138"/>
      <c r="AH138" s="138"/>
      <c r="AI138" s="138"/>
      <c r="AJ138" s="138"/>
      <c r="AK138" s="138"/>
      <c r="AL138" s="138"/>
      <c r="AM138" s="138"/>
      <c r="AN138" s="138"/>
      <c r="AO138" s="138"/>
    </row>
    <row r="139" spans="1:4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  <c r="AB139" s="138"/>
      <c r="AC139" s="138"/>
      <c r="AD139" s="138"/>
      <c r="AE139" s="138"/>
      <c r="AF139" s="138"/>
      <c r="AG139" s="138"/>
      <c r="AH139" s="138"/>
      <c r="AI139" s="138"/>
      <c r="AJ139" s="138"/>
      <c r="AK139" s="138"/>
      <c r="AL139" s="138"/>
      <c r="AM139" s="138"/>
      <c r="AN139" s="138"/>
      <c r="AO139" s="138"/>
    </row>
    <row r="140" spans="1:4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  <c r="AB140" s="138"/>
      <c r="AC140" s="138"/>
      <c r="AD140" s="138"/>
      <c r="AE140" s="138"/>
      <c r="AF140" s="138"/>
      <c r="AG140" s="138"/>
      <c r="AH140" s="138"/>
      <c r="AI140" s="138"/>
      <c r="AJ140" s="138"/>
      <c r="AK140" s="138"/>
      <c r="AL140" s="138"/>
      <c r="AM140" s="138"/>
      <c r="AN140" s="138"/>
      <c r="AO140" s="138"/>
    </row>
    <row r="141" spans="1:4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  <c r="AC141" s="138"/>
      <c r="AD141" s="138"/>
      <c r="AE141" s="138"/>
      <c r="AF141" s="138"/>
      <c r="AG141" s="138"/>
      <c r="AH141" s="138"/>
      <c r="AI141" s="138"/>
      <c r="AJ141" s="138"/>
      <c r="AK141" s="138"/>
      <c r="AL141" s="138"/>
      <c r="AM141" s="138"/>
      <c r="AN141" s="138"/>
      <c r="AO141" s="138"/>
    </row>
    <row r="142" spans="1:4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  <c r="AB142" s="138"/>
      <c r="AC142" s="138"/>
      <c r="AD142" s="138"/>
      <c r="AE142" s="138"/>
      <c r="AF142" s="138"/>
      <c r="AG142" s="138"/>
      <c r="AH142" s="138"/>
      <c r="AI142" s="138"/>
      <c r="AJ142" s="138"/>
      <c r="AK142" s="138"/>
      <c r="AL142" s="138"/>
      <c r="AM142" s="138"/>
      <c r="AN142" s="138"/>
      <c r="AO142" s="138"/>
    </row>
    <row r="143" spans="1:4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  <c r="AB143" s="138"/>
      <c r="AC143" s="138"/>
      <c r="AD143" s="138"/>
      <c r="AE143" s="138"/>
      <c r="AF143" s="138"/>
      <c r="AG143" s="138"/>
      <c r="AH143" s="138"/>
      <c r="AI143" s="138"/>
      <c r="AJ143" s="138"/>
      <c r="AK143" s="138"/>
      <c r="AL143" s="138"/>
      <c r="AM143" s="138"/>
      <c r="AN143" s="138"/>
      <c r="AO143" s="138"/>
    </row>
    <row r="144" spans="1:4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  <c r="AB144" s="138"/>
      <c r="AC144" s="138"/>
      <c r="AD144" s="138"/>
      <c r="AE144" s="138"/>
      <c r="AF144" s="138"/>
      <c r="AG144" s="138"/>
      <c r="AH144" s="138"/>
      <c r="AI144" s="138"/>
      <c r="AJ144" s="138"/>
      <c r="AK144" s="138"/>
      <c r="AL144" s="138"/>
      <c r="AM144" s="138"/>
      <c r="AN144" s="138"/>
      <c r="AO144" s="138"/>
    </row>
    <row r="145" spans="1:4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  <c r="AB145" s="138"/>
      <c r="AC145" s="138"/>
      <c r="AD145" s="138"/>
      <c r="AE145" s="138"/>
      <c r="AF145" s="138"/>
      <c r="AG145" s="138"/>
      <c r="AH145" s="138"/>
      <c r="AI145" s="138"/>
      <c r="AJ145" s="138"/>
      <c r="AK145" s="138"/>
      <c r="AL145" s="138"/>
      <c r="AM145" s="138"/>
      <c r="AN145" s="138"/>
      <c r="AO145" s="138"/>
    </row>
    <row r="146" spans="1:4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  <c r="AB146" s="138"/>
      <c r="AC146" s="138"/>
      <c r="AD146" s="138"/>
      <c r="AE146" s="138"/>
      <c r="AF146" s="138"/>
      <c r="AG146" s="138"/>
      <c r="AH146" s="138"/>
      <c r="AI146" s="138"/>
      <c r="AJ146" s="138"/>
      <c r="AK146" s="138"/>
      <c r="AL146" s="138"/>
      <c r="AM146" s="138"/>
      <c r="AN146" s="138"/>
      <c r="AO146" s="138"/>
    </row>
    <row r="147" spans="1:4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  <c r="AB147" s="138"/>
      <c r="AC147" s="138"/>
      <c r="AD147" s="138"/>
      <c r="AE147" s="138"/>
      <c r="AF147" s="138"/>
      <c r="AG147" s="138"/>
      <c r="AH147" s="138"/>
      <c r="AI147" s="138"/>
      <c r="AJ147" s="138"/>
      <c r="AK147" s="138"/>
      <c r="AL147" s="138"/>
      <c r="AM147" s="138"/>
      <c r="AN147" s="138"/>
      <c r="AO147" s="138"/>
    </row>
    <row r="148" spans="1:4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  <c r="AC148" s="138"/>
      <c r="AD148" s="138"/>
      <c r="AE148" s="138"/>
      <c r="AF148" s="138"/>
      <c r="AG148" s="138"/>
      <c r="AH148" s="138"/>
      <c r="AI148" s="138"/>
      <c r="AJ148" s="138"/>
      <c r="AK148" s="138"/>
      <c r="AL148" s="138"/>
      <c r="AM148" s="138"/>
      <c r="AN148" s="138"/>
      <c r="AO148" s="138"/>
    </row>
    <row r="149" spans="1:4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/>
      <c r="AC149" s="138"/>
      <c r="AD149" s="138"/>
      <c r="AE149" s="138"/>
      <c r="AF149" s="138"/>
      <c r="AG149" s="138"/>
      <c r="AH149" s="138"/>
      <c r="AI149" s="138"/>
      <c r="AJ149" s="138"/>
      <c r="AK149" s="138"/>
      <c r="AL149" s="138"/>
      <c r="AM149" s="138"/>
      <c r="AN149" s="138"/>
      <c r="AO149" s="138"/>
    </row>
    <row r="150" spans="1:4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  <c r="AC150" s="138"/>
      <c r="AD150" s="138"/>
      <c r="AE150" s="138"/>
      <c r="AF150" s="138"/>
      <c r="AG150" s="138"/>
      <c r="AH150" s="138"/>
      <c r="AI150" s="138"/>
      <c r="AJ150" s="138"/>
      <c r="AK150" s="138"/>
      <c r="AL150" s="138"/>
      <c r="AM150" s="138"/>
      <c r="AN150" s="138"/>
      <c r="AO150" s="138"/>
    </row>
    <row r="151" spans="1:4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  <c r="AB151" s="138"/>
      <c r="AC151" s="138"/>
      <c r="AD151" s="138"/>
      <c r="AE151" s="138"/>
      <c r="AF151" s="138"/>
      <c r="AG151" s="138"/>
      <c r="AH151" s="138"/>
      <c r="AI151" s="138"/>
      <c r="AJ151" s="138"/>
      <c r="AK151" s="138"/>
      <c r="AL151" s="138"/>
      <c r="AM151" s="138"/>
      <c r="AN151" s="138"/>
      <c r="AO151" s="138"/>
    </row>
    <row r="152" spans="1:4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138"/>
      <c r="AD152" s="138"/>
      <c r="AE152" s="138"/>
      <c r="AF152" s="138"/>
      <c r="AG152" s="138"/>
      <c r="AH152" s="138"/>
      <c r="AI152" s="138"/>
      <c r="AJ152" s="138"/>
      <c r="AK152" s="138"/>
      <c r="AL152" s="138"/>
      <c r="AM152" s="138"/>
      <c r="AN152" s="138"/>
      <c r="AO152" s="138"/>
    </row>
    <row r="153" spans="1:4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  <c r="AB153" s="138"/>
      <c r="AC153" s="138"/>
      <c r="AD153" s="138"/>
      <c r="AE153" s="138"/>
      <c r="AF153" s="138"/>
      <c r="AG153" s="138"/>
      <c r="AH153" s="138"/>
      <c r="AI153" s="138"/>
      <c r="AJ153" s="138"/>
      <c r="AK153" s="138"/>
      <c r="AL153" s="138"/>
      <c r="AM153" s="138"/>
      <c r="AN153" s="138"/>
      <c r="AO153" s="138"/>
    </row>
    <row r="154" spans="1:4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  <c r="AE154" s="138"/>
      <c r="AF154" s="138"/>
      <c r="AG154" s="138"/>
      <c r="AH154" s="138"/>
      <c r="AI154" s="138"/>
      <c r="AJ154" s="138"/>
      <c r="AK154" s="138"/>
      <c r="AL154" s="138"/>
      <c r="AM154" s="138"/>
      <c r="AN154" s="138"/>
      <c r="AO154" s="138"/>
    </row>
    <row r="155" spans="1:4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  <c r="AB155" s="138"/>
      <c r="AC155" s="138"/>
      <c r="AD155" s="138"/>
      <c r="AE155" s="138"/>
      <c r="AF155" s="138"/>
      <c r="AG155" s="138"/>
      <c r="AH155" s="138"/>
      <c r="AI155" s="138"/>
      <c r="AJ155" s="138"/>
      <c r="AK155" s="138"/>
      <c r="AL155" s="138"/>
      <c r="AM155" s="138"/>
      <c r="AN155" s="138"/>
      <c r="AO155" s="138"/>
    </row>
    <row r="156" spans="1:4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  <c r="AB156" s="138"/>
      <c r="AC156" s="138"/>
      <c r="AD156" s="138"/>
      <c r="AE156" s="138"/>
      <c r="AF156" s="138"/>
      <c r="AG156" s="138"/>
      <c r="AH156" s="138"/>
      <c r="AI156" s="138"/>
      <c r="AJ156" s="138"/>
      <c r="AK156" s="138"/>
      <c r="AL156" s="138"/>
      <c r="AM156" s="138"/>
      <c r="AN156" s="138"/>
      <c r="AO156" s="138"/>
    </row>
    <row r="157" spans="1:4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  <c r="AB157" s="138"/>
      <c r="AC157" s="138"/>
      <c r="AD157" s="138"/>
      <c r="AE157" s="138"/>
      <c r="AF157" s="138"/>
      <c r="AG157" s="138"/>
      <c r="AH157" s="138"/>
      <c r="AI157" s="138"/>
      <c r="AJ157" s="138"/>
      <c r="AK157" s="138"/>
      <c r="AL157" s="138"/>
      <c r="AM157" s="138"/>
      <c r="AN157" s="138"/>
      <c r="AO157" s="138"/>
    </row>
    <row r="158" spans="1:4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  <c r="AC158" s="138"/>
      <c r="AD158" s="138"/>
      <c r="AE158" s="138"/>
      <c r="AF158" s="138"/>
      <c r="AG158" s="138"/>
      <c r="AH158" s="138"/>
      <c r="AI158" s="138"/>
      <c r="AJ158" s="138"/>
      <c r="AK158" s="138"/>
      <c r="AL158" s="138"/>
      <c r="AM158" s="138"/>
      <c r="AN158" s="138"/>
      <c r="AO158" s="138"/>
    </row>
    <row r="159" spans="1:4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  <c r="AB159" s="138"/>
      <c r="AC159" s="138"/>
      <c r="AD159" s="138"/>
      <c r="AE159" s="138"/>
      <c r="AF159" s="138"/>
      <c r="AG159" s="138"/>
      <c r="AH159" s="138"/>
      <c r="AI159" s="138"/>
      <c r="AJ159" s="138"/>
      <c r="AK159" s="138"/>
      <c r="AL159" s="138"/>
      <c r="AM159" s="138"/>
      <c r="AN159" s="138"/>
      <c r="AO159" s="138"/>
    </row>
    <row r="160" spans="1:4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138"/>
      <c r="AD160" s="138"/>
      <c r="AE160" s="138"/>
      <c r="AF160" s="138"/>
      <c r="AG160" s="138"/>
      <c r="AH160" s="138"/>
      <c r="AI160" s="138"/>
      <c r="AJ160" s="138"/>
      <c r="AK160" s="138"/>
      <c r="AL160" s="138"/>
      <c r="AM160" s="138"/>
      <c r="AN160" s="138"/>
      <c r="AO160" s="1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6" baseType="lpstr">
      <vt:lpstr>Dashboard</vt:lpstr>
      <vt:lpstr>Current AR</vt:lpstr>
      <vt:lpstr>Prior AR</vt:lpstr>
      <vt:lpstr>Analysis</vt:lpstr>
      <vt:lpstr>Collection Follow-up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Portfolio</dc:creator>
  <cp:lastModifiedBy>Portfolio</cp:lastModifiedBy>
  <cp:lastPrinted>2025-03-17T04:09:00Z</cp:lastPrinted>
  <dcterms:created xsi:type="dcterms:W3CDTF">2025-05-19T03:14:00Z</dcterms:created>
  <dcterms:modified xsi:type="dcterms:W3CDTF">2026-10-16T13:29:14Z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502F88AFD1DB427194119EB821134174_12</vt:lpwstr>
  </property>
  <property fmtid="{D5CDD505-2E9C-101B-9397-08002B2CF9AE}" pid="3" name="KSOProductBuildVer">
    <vt:lpwstr>1033-12.2.0.21931</vt:lpwstr>
  </property>
</Properties>
</file>