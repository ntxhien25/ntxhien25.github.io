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301caf0c07463ab/2. Areas/1. 💼Working/4. CV/portfolio_website/"/>
    </mc:Choice>
  </mc:AlternateContent>
  <xr:revisionPtr revIDLastSave="4" documentId="13_ncr:1_{CEB2A5F8-E28C-4920-8BB4-2E3F80FED41C}" xr6:coauthVersionLast="47" xr6:coauthVersionMax="47" xr10:uidLastSave="{91A6A5BE-5682-4872-95E4-59FD2CA6D408}"/>
  <bookViews>
    <workbookView xWindow="-110" yWindow="-110" windowWidth="19420" windowHeight="11500" xr2:uid="{00000000-000D-0000-FFFF-FFFF00000000}"/>
  </bookViews>
  <sheets>
    <sheet name="Dashboard" sheetId="26" r:id="rId1"/>
    <sheet name="Current AR" sheetId="22" r:id="rId2"/>
    <sheet name="Prior AR" sheetId="23" r:id="rId3"/>
    <sheet name="Analysis" sheetId="21" r:id="rId4"/>
    <sheet name="Collection Follow-up" sheetId="24" r:id="rId5"/>
    <sheet name="Checks" sheetId="18" r:id="rId6"/>
  </sheets>
  <definedNames>
    <definedName name="AR_Customers">Analysis!$V$170:$V$177</definedName>
    <definedName name="AR_Sales">Analysis!$W$170:$W$176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8" l="1"/>
  <c r="B4" i="18"/>
  <c r="BF175" i="21"/>
  <c r="L175" i="21"/>
  <c r="BF174" i="21"/>
  <c r="L174" i="21"/>
  <c r="C174" i="21"/>
  <c r="BF173" i="21"/>
  <c r="L173" i="21"/>
  <c r="BF172" i="21" s="1"/>
  <c r="I173" i="21"/>
  <c r="L73" i="26" s="1"/>
  <c r="L172" i="21"/>
  <c r="BF171" i="21" s="1"/>
  <c r="I172" i="21"/>
  <c r="L72" i="26" s="1"/>
  <c r="L171" i="21"/>
  <c r="C171" i="21"/>
  <c r="F71" i="26" s="1"/>
  <c r="L170" i="21"/>
  <c r="BF170" i="21" s="1"/>
  <c r="B112" i="21"/>
  <c r="BA112" i="21" s="1"/>
  <c r="AI105" i="21"/>
  <c r="AA105" i="21"/>
  <c r="S105" i="21"/>
  <c r="AI104" i="21"/>
  <c r="AA104" i="21"/>
  <c r="S104" i="21"/>
  <c r="AI103" i="21"/>
  <c r="AA103" i="21"/>
  <c r="S103" i="21"/>
  <c r="AI102" i="21"/>
  <c r="AA102" i="21"/>
  <c r="S102" i="21"/>
  <c r="AI101" i="21"/>
  <c r="AA101" i="21"/>
  <c r="S101" i="21"/>
  <c r="AI100" i="21"/>
  <c r="AA100" i="21"/>
  <c r="S100" i="21"/>
  <c r="AI99" i="21"/>
  <c r="AA99" i="21"/>
  <c r="S99" i="21"/>
  <c r="AI98" i="21"/>
  <c r="AA98" i="21"/>
  <c r="S98" i="21"/>
  <c r="AI97" i="21"/>
  <c r="AA97" i="21"/>
  <c r="S97" i="21"/>
  <c r="AI96" i="21"/>
  <c r="AA96" i="21"/>
  <c r="S96" i="21"/>
  <c r="AI95" i="21"/>
  <c r="AA95" i="21"/>
  <c r="S95" i="21"/>
  <c r="AI94" i="21"/>
  <c r="AA94" i="21"/>
  <c r="S94" i="21"/>
  <c r="AI93" i="21"/>
  <c r="AA93" i="21"/>
  <c r="S93" i="21"/>
  <c r="AI92" i="21"/>
  <c r="AA92" i="21"/>
  <c r="S92" i="21"/>
  <c r="AI91" i="21"/>
  <c r="AA91" i="21"/>
  <c r="S91" i="21"/>
  <c r="AI90" i="21"/>
  <c r="AA90" i="21"/>
  <c r="S90" i="21"/>
  <c r="AI89" i="21"/>
  <c r="AA89" i="21"/>
  <c r="S89" i="21"/>
  <c r="AI88" i="21"/>
  <c r="AA88" i="21"/>
  <c r="S88" i="21"/>
  <c r="AI87" i="21"/>
  <c r="AA87" i="21"/>
  <c r="S87" i="21"/>
  <c r="AI86" i="21"/>
  <c r="AA86" i="21"/>
  <c r="S86" i="21"/>
  <c r="AI85" i="21"/>
  <c r="AA85" i="21"/>
  <c r="S85" i="21"/>
  <c r="AI84" i="21"/>
  <c r="AA84" i="21"/>
  <c r="S84" i="21"/>
  <c r="AI83" i="21"/>
  <c r="AA83" i="21"/>
  <c r="S83" i="21"/>
  <c r="AI82" i="21"/>
  <c r="AA82" i="21"/>
  <c r="S82" i="21"/>
  <c r="AI81" i="21"/>
  <c r="AA81" i="21"/>
  <c r="S81" i="21"/>
  <c r="AI80" i="21"/>
  <c r="AA80" i="21"/>
  <c r="S80" i="21"/>
  <c r="AI79" i="21"/>
  <c r="AA79" i="21"/>
  <c r="S79" i="21"/>
  <c r="AI78" i="21"/>
  <c r="AA78" i="21"/>
  <c r="S78" i="21"/>
  <c r="AI77" i="21"/>
  <c r="AA77" i="21"/>
  <c r="S77" i="21"/>
  <c r="AI76" i="21"/>
  <c r="AA76" i="21"/>
  <c r="S76" i="21"/>
  <c r="AI75" i="21"/>
  <c r="AA75" i="21"/>
  <c r="S75" i="21"/>
  <c r="AI74" i="21"/>
  <c r="AA74" i="21"/>
  <c r="S74" i="21"/>
  <c r="AI73" i="21"/>
  <c r="AA73" i="21"/>
  <c r="S73" i="21"/>
  <c r="AI72" i="21"/>
  <c r="AA72" i="21"/>
  <c r="S72" i="21"/>
  <c r="AI71" i="21"/>
  <c r="AA71" i="21"/>
  <c r="S71" i="21"/>
  <c r="AI70" i="21"/>
  <c r="AA70" i="21"/>
  <c r="S70" i="21"/>
  <c r="AI69" i="21"/>
  <c r="AA69" i="21"/>
  <c r="S69" i="21"/>
  <c r="AI68" i="21"/>
  <c r="AA68" i="21"/>
  <c r="S68" i="21"/>
  <c r="AI67" i="21"/>
  <c r="AA67" i="21"/>
  <c r="S67" i="21"/>
  <c r="AI66" i="21"/>
  <c r="AA66" i="21"/>
  <c r="S66" i="21"/>
  <c r="AI65" i="21"/>
  <c r="AA65" i="21"/>
  <c r="S65" i="21"/>
  <c r="AI64" i="21"/>
  <c r="AA64" i="21"/>
  <c r="S64" i="21"/>
  <c r="AI63" i="21"/>
  <c r="AA63" i="21"/>
  <c r="S63" i="21"/>
  <c r="AI62" i="21"/>
  <c r="AA62" i="21"/>
  <c r="S62" i="21"/>
  <c r="AI61" i="21"/>
  <c r="AA61" i="21"/>
  <c r="S61" i="21"/>
  <c r="AI60" i="21"/>
  <c r="AA60" i="21"/>
  <c r="S60" i="21"/>
  <c r="AI59" i="21"/>
  <c r="AA59" i="21"/>
  <c r="S59" i="21"/>
  <c r="AI58" i="21"/>
  <c r="AA58" i="21"/>
  <c r="S58" i="21"/>
  <c r="AI57" i="21"/>
  <c r="AA57" i="21"/>
  <c r="S57" i="21"/>
  <c r="AI56" i="21"/>
  <c r="AA56" i="21"/>
  <c r="S56" i="21"/>
  <c r="AI55" i="21"/>
  <c r="AA55" i="21"/>
  <c r="S55" i="21"/>
  <c r="AI54" i="21"/>
  <c r="AA54" i="21"/>
  <c r="S54" i="21"/>
  <c r="AI53" i="21"/>
  <c r="AA53" i="21"/>
  <c r="S53" i="21"/>
  <c r="AI52" i="21"/>
  <c r="AA52" i="21"/>
  <c r="S52" i="21"/>
  <c r="AI51" i="21"/>
  <c r="AA51" i="21"/>
  <c r="S51" i="21"/>
  <c r="AI50" i="21"/>
  <c r="AA50" i="21"/>
  <c r="S50" i="21"/>
  <c r="B50" i="21"/>
  <c r="BC50" i="21" s="1"/>
  <c r="AI49" i="21"/>
  <c r="AA49" i="21"/>
  <c r="S49" i="21"/>
  <c r="AI48" i="21"/>
  <c r="AA48" i="21"/>
  <c r="S48" i="21"/>
  <c r="AI47" i="21"/>
  <c r="AA47" i="21"/>
  <c r="S47" i="21"/>
  <c r="AI46" i="21"/>
  <c r="AA46" i="21"/>
  <c r="S46" i="21"/>
  <c r="AI45" i="21"/>
  <c r="AA45" i="21"/>
  <c r="S45" i="21"/>
  <c r="AI44" i="21"/>
  <c r="AA44" i="21"/>
  <c r="S44" i="21"/>
  <c r="AI43" i="21"/>
  <c r="AA43" i="21"/>
  <c r="S43" i="21"/>
  <c r="AI42" i="21"/>
  <c r="AA42" i="21"/>
  <c r="S42" i="21"/>
  <c r="AI41" i="21"/>
  <c r="AA41" i="21"/>
  <c r="S41" i="21"/>
  <c r="AI40" i="21"/>
  <c r="AA40" i="21"/>
  <c r="S40" i="21"/>
  <c r="AI39" i="21"/>
  <c r="AA39" i="21"/>
  <c r="S39" i="21"/>
  <c r="AI38" i="21"/>
  <c r="AA38" i="21"/>
  <c r="S38" i="21"/>
  <c r="AI37" i="21"/>
  <c r="AA37" i="21"/>
  <c r="S37" i="21"/>
  <c r="BF36" i="21"/>
  <c r="AI36" i="21"/>
  <c r="AA36" i="21"/>
  <c r="S36" i="21"/>
  <c r="BF35" i="21"/>
  <c r="AI35" i="21"/>
  <c r="AA35" i="21"/>
  <c r="S35" i="21"/>
  <c r="C35" i="21"/>
  <c r="BF34" i="21"/>
  <c r="AI34" i="21"/>
  <c r="AA34" i="21"/>
  <c r="S34" i="21"/>
  <c r="C34" i="21"/>
  <c r="BF33" i="21"/>
  <c r="AI33" i="21"/>
  <c r="AA33" i="21"/>
  <c r="S33" i="21"/>
  <c r="BF32" i="21"/>
  <c r="AI32" i="21"/>
  <c r="AA32" i="21"/>
  <c r="S32" i="21"/>
  <c r="C32" i="21"/>
  <c r="BF31" i="21"/>
  <c r="AI31" i="21"/>
  <c r="AA31" i="21"/>
  <c r="S31" i="21"/>
  <c r="AI30" i="21"/>
  <c r="AA30" i="21"/>
  <c r="S30" i="21"/>
  <c r="AI29" i="21"/>
  <c r="AA29" i="21"/>
  <c r="S29" i="21"/>
  <c r="AI28" i="21"/>
  <c r="AA28" i="21"/>
  <c r="S28" i="21"/>
  <c r="AI27" i="21"/>
  <c r="AA27" i="21"/>
  <c r="S27" i="21"/>
  <c r="C27" i="21"/>
  <c r="AI26" i="21"/>
  <c r="AA26" i="21"/>
  <c r="S26" i="21"/>
  <c r="AI25" i="21"/>
  <c r="AA25" i="21"/>
  <c r="S25" i="21"/>
  <c r="AI24" i="21"/>
  <c r="AA24" i="21"/>
  <c r="S24" i="21"/>
  <c r="C24" i="21"/>
  <c r="AI23" i="21"/>
  <c r="AA23" i="21"/>
  <c r="S23" i="21"/>
  <c r="AI22" i="21"/>
  <c r="AA22" i="21"/>
  <c r="S22" i="21"/>
  <c r="AI21" i="21"/>
  <c r="AA21" i="21"/>
  <c r="S21" i="21"/>
  <c r="AI20" i="21"/>
  <c r="AA20" i="21"/>
  <c r="S20" i="21"/>
  <c r="AI19" i="21"/>
  <c r="AA19" i="21"/>
  <c r="S19" i="21"/>
  <c r="AI18" i="21"/>
  <c r="AA18" i="21"/>
  <c r="S18" i="21"/>
  <c r="AI17" i="21"/>
  <c r="AA17" i="21"/>
  <c r="S17" i="21"/>
  <c r="AI16" i="21"/>
  <c r="AA16" i="21"/>
  <c r="S16" i="21"/>
  <c r="AI15" i="21"/>
  <c r="AA15" i="21"/>
  <c r="S15" i="21"/>
  <c r="AI14" i="21"/>
  <c r="AA14" i="21"/>
  <c r="S14" i="21"/>
  <c r="AI13" i="21"/>
  <c r="AA13" i="21"/>
  <c r="S13" i="21"/>
  <c r="AI12" i="21"/>
  <c r="AA12" i="21"/>
  <c r="S12" i="21"/>
  <c r="AI11" i="21"/>
  <c r="AA11" i="21"/>
  <c r="S11" i="21"/>
  <c r="AI10" i="21"/>
  <c r="AA10" i="21"/>
  <c r="S10" i="21"/>
  <c r="AI9" i="21"/>
  <c r="AA9" i="21"/>
  <c r="S9" i="21"/>
  <c r="AI8" i="21"/>
  <c r="AA8" i="21"/>
  <c r="S8" i="21"/>
  <c r="AI7" i="21"/>
  <c r="AA7" i="21"/>
  <c r="S7" i="21"/>
  <c r="AI6" i="21"/>
  <c r="AA6" i="21"/>
  <c r="S6" i="21"/>
  <c r="AI5" i="21"/>
  <c r="AA5" i="21"/>
  <c r="S5" i="21"/>
  <c r="Y85" i="23"/>
  <c r="R85" i="23"/>
  <c r="S85" i="23" s="1"/>
  <c r="Q85" i="23"/>
  <c r="Y84" i="23"/>
  <c r="R84" i="23"/>
  <c r="S84" i="23" s="1"/>
  <c r="Q84" i="23"/>
  <c r="Y83" i="23"/>
  <c r="R83" i="23"/>
  <c r="S83" i="23" s="1"/>
  <c r="Q83" i="23"/>
  <c r="Y82" i="23"/>
  <c r="R82" i="23"/>
  <c r="S82" i="23" s="1"/>
  <c r="Q82" i="23"/>
  <c r="Y81" i="23"/>
  <c r="R81" i="23"/>
  <c r="S81" i="23" s="1"/>
  <c r="Q81" i="23"/>
  <c r="Y80" i="23"/>
  <c r="R80" i="23"/>
  <c r="S80" i="23" s="1"/>
  <c r="Q80" i="23"/>
  <c r="Y79" i="23"/>
  <c r="R79" i="23"/>
  <c r="S79" i="23" s="1"/>
  <c r="Q79" i="23"/>
  <c r="Y78" i="23"/>
  <c r="R78" i="23"/>
  <c r="S78" i="23" s="1"/>
  <c r="Q78" i="23"/>
  <c r="Y77" i="23"/>
  <c r="R77" i="23"/>
  <c r="S77" i="23" s="1"/>
  <c r="Q77" i="23"/>
  <c r="U77" i="23" s="1"/>
  <c r="Y76" i="23"/>
  <c r="R76" i="23"/>
  <c r="S76" i="23" s="1"/>
  <c r="Q76" i="23"/>
  <c r="Y75" i="23"/>
  <c r="R75" i="23"/>
  <c r="S75" i="23" s="1"/>
  <c r="Q75" i="23"/>
  <c r="Y74" i="23"/>
  <c r="R74" i="23"/>
  <c r="S74" i="23" s="1"/>
  <c r="Q74" i="23"/>
  <c r="Y73" i="23"/>
  <c r="R73" i="23"/>
  <c r="S73" i="23" s="1"/>
  <c r="Q73" i="23"/>
  <c r="Y72" i="23"/>
  <c r="R72" i="23"/>
  <c r="S72" i="23" s="1"/>
  <c r="Q72" i="23"/>
  <c r="U72" i="23" s="1"/>
  <c r="V72" i="23" s="1"/>
  <c r="Y71" i="23"/>
  <c r="R71" i="23"/>
  <c r="S71" i="23" s="1"/>
  <c r="Q71" i="23"/>
  <c r="Y70" i="23"/>
  <c r="R70" i="23"/>
  <c r="S70" i="23" s="1"/>
  <c r="Q70" i="23"/>
  <c r="Y69" i="23"/>
  <c r="R69" i="23"/>
  <c r="S69" i="23" s="1"/>
  <c r="Q69" i="23"/>
  <c r="Y68" i="23"/>
  <c r="R68" i="23"/>
  <c r="S68" i="23" s="1"/>
  <c r="Q68" i="23"/>
  <c r="Y67" i="23"/>
  <c r="R67" i="23"/>
  <c r="S67" i="23" s="1"/>
  <c r="Q67" i="23"/>
  <c r="Y66" i="23"/>
  <c r="R66" i="23"/>
  <c r="S66" i="23" s="1"/>
  <c r="Q66" i="23"/>
  <c r="Y65" i="23"/>
  <c r="R65" i="23"/>
  <c r="S65" i="23" s="1"/>
  <c r="Q65" i="23"/>
  <c r="Y64" i="23"/>
  <c r="R64" i="23"/>
  <c r="S64" i="23" s="1"/>
  <c r="Q64" i="23"/>
  <c r="Y63" i="23"/>
  <c r="R63" i="23"/>
  <c r="S63" i="23" s="1"/>
  <c r="Q63" i="23"/>
  <c r="Y62" i="23"/>
  <c r="R62" i="23"/>
  <c r="S62" i="23" s="1"/>
  <c r="Q62" i="23"/>
  <c r="Y61" i="23"/>
  <c r="R61" i="23"/>
  <c r="S61" i="23" s="1"/>
  <c r="Q61" i="23"/>
  <c r="Y60" i="23"/>
  <c r="R60" i="23"/>
  <c r="S60" i="23" s="1"/>
  <c r="Q60" i="23"/>
  <c r="Y59" i="23"/>
  <c r="R59" i="23"/>
  <c r="S59" i="23" s="1"/>
  <c r="Q59" i="23"/>
  <c r="Y58" i="23"/>
  <c r="R58" i="23"/>
  <c r="S58" i="23" s="1"/>
  <c r="Q58" i="23"/>
  <c r="Y57" i="23"/>
  <c r="R57" i="23"/>
  <c r="S57" i="23" s="1"/>
  <c r="Q57" i="23"/>
  <c r="Y56" i="23"/>
  <c r="R56" i="23"/>
  <c r="S56" i="23" s="1"/>
  <c r="Q56" i="23"/>
  <c r="Y55" i="23"/>
  <c r="R55" i="23"/>
  <c r="S55" i="23" s="1"/>
  <c r="Q55" i="23"/>
  <c r="Y54" i="23"/>
  <c r="R54" i="23"/>
  <c r="S54" i="23" s="1"/>
  <c r="Q54" i="23"/>
  <c r="Y53" i="23"/>
  <c r="R53" i="23"/>
  <c r="S53" i="23" s="1"/>
  <c r="Q53" i="23"/>
  <c r="Y52" i="23"/>
  <c r="R52" i="23"/>
  <c r="S52" i="23" s="1"/>
  <c r="Q52" i="23"/>
  <c r="Y51" i="23"/>
  <c r="R51" i="23"/>
  <c r="S51" i="23" s="1"/>
  <c r="Q51" i="23"/>
  <c r="Y50" i="23"/>
  <c r="R50" i="23"/>
  <c r="S50" i="23" s="1"/>
  <c r="Q50" i="23"/>
  <c r="Y49" i="23"/>
  <c r="R49" i="23"/>
  <c r="S49" i="23" s="1"/>
  <c r="Q49" i="23"/>
  <c r="Y48" i="23"/>
  <c r="R48" i="23"/>
  <c r="S48" i="23" s="1"/>
  <c r="Q48" i="23"/>
  <c r="Y47" i="23"/>
  <c r="R47" i="23"/>
  <c r="S47" i="23" s="1"/>
  <c r="Q47" i="23"/>
  <c r="Y46" i="23"/>
  <c r="R46" i="23"/>
  <c r="S46" i="23" s="1"/>
  <c r="Q46" i="23"/>
  <c r="Y45" i="23"/>
  <c r="R45" i="23"/>
  <c r="S45" i="23" s="1"/>
  <c r="Q45" i="23"/>
  <c r="Y44" i="23"/>
  <c r="R44" i="23"/>
  <c r="S44" i="23" s="1"/>
  <c r="Q44" i="23"/>
  <c r="Y43" i="23"/>
  <c r="R43" i="23"/>
  <c r="S43" i="23" s="1"/>
  <c r="Q43" i="23"/>
  <c r="Y42" i="23"/>
  <c r="R42" i="23"/>
  <c r="S42" i="23" s="1"/>
  <c r="Q42" i="23"/>
  <c r="Y41" i="23"/>
  <c r="R41" i="23"/>
  <c r="S41" i="23" s="1"/>
  <c r="Q41" i="23"/>
  <c r="Y40" i="23"/>
  <c r="R40" i="23"/>
  <c r="S40" i="23" s="1"/>
  <c r="Q40" i="23"/>
  <c r="Y39" i="23"/>
  <c r="R39" i="23"/>
  <c r="S39" i="23" s="1"/>
  <c r="Q39" i="23"/>
  <c r="Y38" i="23"/>
  <c r="R38" i="23"/>
  <c r="S38" i="23" s="1"/>
  <c r="Q38" i="23"/>
  <c r="Y37" i="23"/>
  <c r="R37" i="23"/>
  <c r="S37" i="23" s="1"/>
  <c r="Q37" i="23"/>
  <c r="Y36" i="23"/>
  <c r="R36" i="23"/>
  <c r="S36" i="23" s="1"/>
  <c r="Q36" i="23"/>
  <c r="Y35" i="23"/>
  <c r="R35" i="23"/>
  <c r="S35" i="23" s="1"/>
  <c r="Q35" i="23"/>
  <c r="Y34" i="23"/>
  <c r="R34" i="23"/>
  <c r="S34" i="23" s="1"/>
  <c r="Q34" i="23"/>
  <c r="Y33" i="23"/>
  <c r="R33" i="23"/>
  <c r="S33" i="23" s="1"/>
  <c r="Q33" i="23"/>
  <c r="Y32" i="23"/>
  <c r="R32" i="23"/>
  <c r="S32" i="23" s="1"/>
  <c r="Q32" i="23"/>
  <c r="Y31" i="23"/>
  <c r="R31" i="23"/>
  <c r="S31" i="23" s="1"/>
  <c r="Q31" i="23"/>
  <c r="Y30" i="23"/>
  <c r="R30" i="23"/>
  <c r="S30" i="23" s="1"/>
  <c r="Q30" i="23"/>
  <c r="Y29" i="23"/>
  <c r="R29" i="23"/>
  <c r="S29" i="23" s="1"/>
  <c r="Q29" i="23"/>
  <c r="Y28" i="23"/>
  <c r="R28" i="23"/>
  <c r="S28" i="23" s="1"/>
  <c r="Q28" i="23"/>
  <c r="Y27" i="23"/>
  <c r="R27" i="23"/>
  <c r="S27" i="23" s="1"/>
  <c r="Q27" i="23"/>
  <c r="Y26" i="23"/>
  <c r="R26" i="23"/>
  <c r="S26" i="23" s="1"/>
  <c r="Q26" i="23"/>
  <c r="Y25" i="23"/>
  <c r="R25" i="23"/>
  <c r="S25" i="23" s="1"/>
  <c r="Q25" i="23"/>
  <c r="Y24" i="23"/>
  <c r="R24" i="23"/>
  <c r="S24" i="23" s="1"/>
  <c r="Q24" i="23"/>
  <c r="Y23" i="23"/>
  <c r="R23" i="23"/>
  <c r="S23" i="23" s="1"/>
  <c r="Q23" i="23"/>
  <c r="Y22" i="23"/>
  <c r="R22" i="23"/>
  <c r="S22" i="23" s="1"/>
  <c r="Q22" i="23"/>
  <c r="Y21" i="23"/>
  <c r="R21" i="23"/>
  <c r="S21" i="23" s="1"/>
  <c r="Q21" i="23"/>
  <c r="Y20" i="23"/>
  <c r="R20" i="23"/>
  <c r="S20" i="23" s="1"/>
  <c r="Q20" i="23"/>
  <c r="Y19" i="23"/>
  <c r="R19" i="23"/>
  <c r="S19" i="23" s="1"/>
  <c r="Q19" i="23"/>
  <c r="Y18" i="23"/>
  <c r="R18" i="23"/>
  <c r="S18" i="23" s="1"/>
  <c r="Q18" i="23"/>
  <c r="Y17" i="23"/>
  <c r="R17" i="23"/>
  <c r="S17" i="23" s="1"/>
  <c r="Q17" i="23"/>
  <c r="Y16" i="23"/>
  <c r="R16" i="23"/>
  <c r="S16" i="23" s="1"/>
  <c r="Q16" i="23"/>
  <c r="Y15" i="23"/>
  <c r="R15" i="23"/>
  <c r="S15" i="23" s="1"/>
  <c r="Q15" i="23"/>
  <c r="Y14" i="23"/>
  <c r="R14" i="23"/>
  <c r="S14" i="23" s="1"/>
  <c r="Q14" i="23"/>
  <c r="Y13" i="23"/>
  <c r="R13" i="23"/>
  <c r="S13" i="23" s="1"/>
  <c r="Q13" i="23"/>
  <c r="Y12" i="23"/>
  <c r="R12" i="23"/>
  <c r="S12" i="23" s="1"/>
  <c r="Q12" i="23"/>
  <c r="Y11" i="23"/>
  <c r="R11" i="23"/>
  <c r="S11" i="23" s="1"/>
  <c r="Q11" i="23"/>
  <c r="Y10" i="23"/>
  <c r="R10" i="23"/>
  <c r="S10" i="23" s="1"/>
  <c r="Q10" i="23"/>
  <c r="Y9" i="23"/>
  <c r="R9" i="23"/>
  <c r="S9" i="23" s="1"/>
  <c r="Q9" i="23"/>
  <c r="Y8" i="23"/>
  <c r="R8" i="23"/>
  <c r="S8" i="23" s="1"/>
  <c r="Q8" i="23"/>
  <c r="Y7" i="23"/>
  <c r="R7" i="23"/>
  <c r="S7" i="23" s="1"/>
  <c r="Q7" i="23"/>
  <c r="Y6" i="23"/>
  <c r="R6" i="23"/>
  <c r="S6" i="23" s="1"/>
  <c r="Q6" i="23"/>
  <c r="Y103" i="22"/>
  <c r="R103" i="22"/>
  <c r="S103" i="22" s="1"/>
  <c r="Q103" i="22"/>
  <c r="D29" i="21" s="1"/>
  <c r="AW29" i="21" s="1"/>
  <c r="Y102" i="22"/>
  <c r="R102" i="22"/>
  <c r="S102" i="22" s="1"/>
  <c r="Q102" i="22"/>
  <c r="K174" i="21" s="1"/>
  <c r="P74" i="26" s="1"/>
  <c r="Y101" i="22"/>
  <c r="R101" i="22"/>
  <c r="S101" i="22" s="1"/>
  <c r="Q101" i="22"/>
  <c r="Y100" i="22"/>
  <c r="R100" i="22"/>
  <c r="S100" i="22" s="1"/>
  <c r="Q100" i="22"/>
  <c r="Y99" i="22"/>
  <c r="R99" i="22"/>
  <c r="S99" i="22" s="1"/>
  <c r="Q99" i="22"/>
  <c r="Y98" i="22"/>
  <c r="R98" i="22"/>
  <c r="S98" i="22" s="1"/>
  <c r="Q98" i="22"/>
  <c r="Y97" i="22"/>
  <c r="R97" i="22"/>
  <c r="S97" i="22" s="1"/>
  <c r="Q97" i="22"/>
  <c r="Y96" i="22"/>
  <c r="R96" i="22"/>
  <c r="S96" i="22" s="1"/>
  <c r="Q96" i="22"/>
  <c r="Y95" i="22"/>
  <c r="R95" i="22"/>
  <c r="S95" i="22" s="1"/>
  <c r="Q95" i="22"/>
  <c r="Y94" i="22"/>
  <c r="R94" i="22"/>
  <c r="S94" i="22" s="1"/>
  <c r="Q94" i="22"/>
  <c r="Y93" i="22"/>
  <c r="R93" i="22"/>
  <c r="S93" i="22" s="1"/>
  <c r="Q93" i="22"/>
  <c r="Y92" i="22"/>
  <c r="R92" i="22"/>
  <c r="S92" i="22" s="1"/>
  <c r="Q92" i="22"/>
  <c r="Y91" i="22"/>
  <c r="R91" i="22"/>
  <c r="S91" i="22" s="1"/>
  <c r="Q91" i="22"/>
  <c r="Y90" i="22"/>
  <c r="R90" i="22"/>
  <c r="S90" i="22" s="1"/>
  <c r="Q90" i="22"/>
  <c r="Y89" i="22"/>
  <c r="R89" i="22"/>
  <c r="S89" i="22" s="1"/>
  <c r="Q89" i="22"/>
  <c r="Y88" i="22"/>
  <c r="R88" i="22"/>
  <c r="S88" i="22" s="1"/>
  <c r="Q88" i="22"/>
  <c r="Y87" i="22"/>
  <c r="R87" i="22"/>
  <c r="S87" i="22" s="1"/>
  <c r="Q87" i="22"/>
  <c r="Y86" i="22"/>
  <c r="R86" i="22"/>
  <c r="S86" i="22" s="1"/>
  <c r="Q86" i="22"/>
  <c r="Y85" i="22"/>
  <c r="R85" i="22"/>
  <c r="S85" i="22" s="1"/>
  <c r="Q85" i="22"/>
  <c r="Y84" i="22"/>
  <c r="R84" i="22"/>
  <c r="S84" i="22" s="1"/>
  <c r="Q84" i="22"/>
  <c r="Y83" i="22"/>
  <c r="R83" i="22"/>
  <c r="S83" i="22" s="1"/>
  <c r="Q83" i="22"/>
  <c r="Y82" i="22"/>
  <c r="R82" i="22"/>
  <c r="S82" i="22" s="1"/>
  <c r="Q82" i="22"/>
  <c r="Y81" i="22"/>
  <c r="R81" i="22"/>
  <c r="S81" i="22" s="1"/>
  <c r="Q81" i="22"/>
  <c r="Y80" i="22"/>
  <c r="R80" i="22"/>
  <c r="S80" i="22" s="1"/>
  <c r="Q80" i="22"/>
  <c r="Y79" i="22"/>
  <c r="R79" i="22"/>
  <c r="S79" i="22" s="1"/>
  <c r="Q79" i="22"/>
  <c r="Y78" i="22"/>
  <c r="R78" i="22"/>
  <c r="S78" i="22" s="1"/>
  <c r="Q78" i="22"/>
  <c r="Y77" i="22"/>
  <c r="R77" i="22"/>
  <c r="S77" i="22" s="1"/>
  <c r="Q77" i="22"/>
  <c r="Y76" i="22"/>
  <c r="R76" i="22"/>
  <c r="S76" i="22" s="1"/>
  <c r="Q76" i="22"/>
  <c r="Y75" i="22"/>
  <c r="R75" i="22"/>
  <c r="S75" i="22" s="1"/>
  <c r="Q75" i="22"/>
  <c r="Y74" i="22"/>
  <c r="R74" i="22"/>
  <c r="S74" i="22" s="1"/>
  <c r="Q74" i="22"/>
  <c r="Y73" i="22"/>
  <c r="R73" i="22"/>
  <c r="S73" i="22" s="1"/>
  <c r="Q73" i="22"/>
  <c r="Y72" i="22"/>
  <c r="R72" i="22"/>
  <c r="S72" i="22" s="1"/>
  <c r="Q72" i="22"/>
  <c r="Y71" i="22"/>
  <c r="R71" i="22"/>
  <c r="S71" i="22" s="1"/>
  <c r="Q71" i="22"/>
  <c r="Y70" i="22"/>
  <c r="R70" i="22"/>
  <c r="S70" i="22" s="1"/>
  <c r="Q70" i="22"/>
  <c r="Y69" i="22"/>
  <c r="R69" i="22"/>
  <c r="S69" i="22" s="1"/>
  <c r="Q69" i="22"/>
  <c r="Y68" i="22"/>
  <c r="R68" i="22"/>
  <c r="S68" i="22" s="1"/>
  <c r="Q68" i="22"/>
  <c r="Y67" i="22"/>
  <c r="R67" i="22"/>
  <c r="S67" i="22" s="1"/>
  <c r="Q67" i="22"/>
  <c r="Y66" i="22"/>
  <c r="R66" i="22"/>
  <c r="S66" i="22" s="1"/>
  <c r="Q66" i="22"/>
  <c r="Y65" i="22"/>
  <c r="R65" i="22"/>
  <c r="S65" i="22" s="1"/>
  <c r="Q65" i="22"/>
  <c r="Y64" i="22"/>
  <c r="R64" i="22"/>
  <c r="S64" i="22" s="1"/>
  <c r="Q64" i="22"/>
  <c r="Y63" i="22"/>
  <c r="R63" i="22"/>
  <c r="S63" i="22" s="1"/>
  <c r="Q63" i="22"/>
  <c r="Y62" i="22"/>
  <c r="R62" i="22"/>
  <c r="S62" i="22" s="1"/>
  <c r="Q62" i="22"/>
  <c r="Y61" i="22"/>
  <c r="R61" i="22"/>
  <c r="S61" i="22" s="1"/>
  <c r="Q61" i="22"/>
  <c r="Y60" i="22"/>
  <c r="R60" i="22"/>
  <c r="S60" i="22" s="1"/>
  <c r="Q60" i="22"/>
  <c r="Y59" i="22"/>
  <c r="R59" i="22"/>
  <c r="S59" i="22" s="1"/>
  <c r="Q59" i="22"/>
  <c r="Y58" i="22"/>
  <c r="R58" i="22"/>
  <c r="S58" i="22" s="1"/>
  <c r="Q58" i="22"/>
  <c r="Y57" i="22"/>
  <c r="R57" i="22"/>
  <c r="S57" i="22" s="1"/>
  <c r="Q57" i="22"/>
  <c r="Y56" i="22"/>
  <c r="R56" i="22"/>
  <c r="S56" i="22" s="1"/>
  <c r="Q56" i="22"/>
  <c r="Y55" i="22"/>
  <c r="R55" i="22"/>
  <c r="S55" i="22" s="1"/>
  <c r="Q55" i="22"/>
  <c r="Y54" i="22"/>
  <c r="R54" i="22"/>
  <c r="S54" i="22" s="1"/>
  <c r="Q54" i="22"/>
  <c r="Y53" i="22"/>
  <c r="R53" i="22"/>
  <c r="S53" i="22" s="1"/>
  <c r="Q53" i="22"/>
  <c r="Y52" i="22"/>
  <c r="R52" i="22"/>
  <c r="S52" i="22" s="1"/>
  <c r="Q52" i="22"/>
  <c r="Y51" i="22"/>
  <c r="R51" i="22"/>
  <c r="S51" i="22" s="1"/>
  <c r="Q51" i="22"/>
  <c r="Y50" i="22"/>
  <c r="R50" i="22"/>
  <c r="S50" i="22" s="1"/>
  <c r="Q50" i="22"/>
  <c r="Y49" i="22"/>
  <c r="R49" i="22"/>
  <c r="S49" i="22" s="1"/>
  <c r="Q49" i="22"/>
  <c r="Y48" i="22"/>
  <c r="R48" i="22"/>
  <c r="S48" i="22" s="1"/>
  <c r="Q48" i="22"/>
  <c r="Y47" i="22"/>
  <c r="R47" i="22"/>
  <c r="S47" i="22" s="1"/>
  <c r="Q47" i="22"/>
  <c r="Y46" i="22"/>
  <c r="R46" i="22"/>
  <c r="S46" i="22" s="1"/>
  <c r="Q46" i="22"/>
  <c r="Y45" i="22"/>
  <c r="R45" i="22"/>
  <c r="S45" i="22" s="1"/>
  <c r="Q45" i="22"/>
  <c r="Y44" i="22"/>
  <c r="R44" i="22"/>
  <c r="S44" i="22" s="1"/>
  <c r="Q44" i="22"/>
  <c r="Y43" i="22"/>
  <c r="R43" i="22"/>
  <c r="S43" i="22" s="1"/>
  <c r="Q43" i="22"/>
  <c r="Y42" i="22"/>
  <c r="R42" i="22"/>
  <c r="S42" i="22" s="1"/>
  <c r="Q42" i="22"/>
  <c r="Y41" i="22"/>
  <c r="R41" i="22"/>
  <c r="S41" i="22" s="1"/>
  <c r="Q41" i="22"/>
  <c r="Y40" i="22"/>
  <c r="R40" i="22"/>
  <c r="S40" i="22" s="1"/>
  <c r="Q40" i="22"/>
  <c r="Y39" i="22"/>
  <c r="R39" i="22"/>
  <c r="S39" i="22" s="1"/>
  <c r="Q39" i="22"/>
  <c r="Y38" i="22"/>
  <c r="R38" i="22"/>
  <c r="S38" i="22" s="1"/>
  <c r="Q38" i="22"/>
  <c r="Y37" i="22"/>
  <c r="R37" i="22"/>
  <c r="S37" i="22" s="1"/>
  <c r="Q37" i="22"/>
  <c r="Y36" i="22"/>
  <c r="R36" i="22"/>
  <c r="S36" i="22" s="1"/>
  <c r="Q36" i="22"/>
  <c r="Y35" i="22"/>
  <c r="R35" i="22"/>
  <c r="S35" i="22" s="1"/>
  <c r="Q35" i="22"/>
  <c r="Y34" i="22"/>
  <c r="R34" i="22"/>
  <c r="S34" i="22" s="1"/>
  <c r="Q34" i="22"/>
  <c r="Y33" i="22"/>
  <c r="R33" i="22"/>
  <c r="S33" i="22" s="1"/>
  <c r="Q33" i="22"/>
  <c r="Y32" i="22"/>
  <c r="R32" i="22"/>
  <c r="S32" i="22" s="1"/>
  <c r="Q32" i="22"/>
  <c r="Y31" i="22"/>
  <c r="R31" i="22"/>
  <c r="S31" i="22" s="1"/>
  <c r="Q31" i="22"/>
  <c r="Y30" i="22"/>
  <c r="R30" i="22"/>
  <c r="S30" i="22" s="1"/>
  <c r="Q30" i="22"/>
  <c r="Y29" i="22"/>
  <c r="R29" i="22"/>
  <c r="S29" i="22" s="1"/>
  <c r="Q29" i="22"/>
  <c r="Y28" i="22"/>
  <c r="R28" i="22"/>
  <c r="S28" i="22" s="1"/>
  <c r="Q28" i="22"/>
  <c r="Y27" i="22"/>
  <c r="R27" i="22"/>
  <c r="S27" i="22" s="1"/>
  <c r="Q27" i="22"/>
  <c r="Y26" i="22"/>
  <c r="R26" i="22"/>
  <c r="S26" i="22" s="1"/>
  <c r="Q26" i="22"/>
  <c r="Y25" i="22"/>
  <c r="R25" i="22"/>
  <c r="S25" i="22" s="1"/>
  <c r="Q25" i="22"/>
  <c r="Y24" i="22"/>
  <c r="R24" i="22"/>
  <c r="S24" i="22" s="1"/>
  <c r="Q24" i="22"/>
  <c r="Y23" i="22"/>
  <c r="R23" i="22"/>
  <c r="S23" i="22" s="1"/>
  <c r="Q23" i="22"/>
  <c r="Y22" i="22"/>
  <c r="R22" i="22"/>
  <c r="S22" i="22" s="1"/>
  <c r="Q22" i="22"/>
  <c r="Y21" i="22"/>
  <c r="R21" i="22"/>
  <c r="S21" i="22" s="1"/>
  <c r="Q21" i="22"/>
  <c r="Y20" i="22"/>
  <c r="R20" i="22"/>
  <c r="S20" i="22" s="1"/>
  <c r="Q20" i="22"/>
  <c r="Y19" i="22"/>
  <c r="R19" i="22"/>
  <c r="S19" i="22" s="1"/>
  <c r="Q19" i="22"/>
  <c r="Y18" i="22"/>
  <c r="R18" i="22"/>
  <c r="S18" i="22" s="1"/>
  <c r="Q18" i="22"/>
  <c r="Y17" i="22"/>
  <c r="R17" i="22"/>
  <c r="S17" i="22" s="1"/>
  <c r="Q17" i="22"/>
  <c r="Y16" i="22"/>
  <c r="R16" i="22"/>
  <c r="S16" i="22" s="1"/>
  <c r="Q16" i="22"/>
  <c r="Y15" i="22"/>
  <c r="R15" i="22"/>
  <c r="S15" i="22" s="1"/>
  <c r="Q15" i="22"/>
  <c r="Y14" i="22"/>
  <c r="R14" i="22"/>
  <c r="S14" i="22" s="1"/>
  <c r="Q14" i="22"/>
  <c r="Y13" i="22"/>
  <c r="R13" i="22"/>
  <c r="S13" i="22" s="1"/>
  <c r="Q13" i="22"/>
  <c r="Y12" i="22"/>
  <c r="R12" i="22"/>
  <c r="S12" i="22" s="1"/>
  <c r="Q12" i="22"/>
  <c r="Y11" i="22"/>
  <c r="R11" i="22"/>
  <c r="S11" i="22" s="1"/>
  <c r="Q11" i="22"/>
  <c r="Y10" i="22"/>
  <c r="R10" i="22"/>
  <c r="S10" i="22" s="1"/>
  <c r="Q10" i="22"/>
  <c r="Y9" i="22"/>
  <c r="R9" i="22"/>
  <c r="S9" i="22" s="1"/>
  <c r="Q9" i="22"/>
  <c r="Y8" i="22"/>
  <c r="R8" i="22"/>
  <c r="S8" i="22" s="1"/>
  <c r="Q8" i="22"/>
  <c r="Y7" i="22"/>
  <c r="R7" i="22"/>
  <c r="S7" i="22" s="1"/>
  <c r="Q7" i="22"/>
  <c r="Y6" i="22"/>
  <c r="R6" i="22"/>
  <c r="S6" i="22" s="1"/>
  <c r="Q6" i="22"/>
  <c r="F74" i="26"/>
  <c r="E174" i="21" l="1"/>
  <c r="H74" i="26" s="1"/>
  <c r="K173" i="21"/>
  <c r="P73" i="26" s="1"/>
  <c r="E24" i="21"/>
  <c r="AX24" i="21" s="1"/>
  <c r="K172" i="21"/>
  <c r="E171" i="21"/>
  <c r="W64" i="23"/>
  <c r="U64" i="23"/>
  <c r="V64" i="23" s="1"/>
  <c r="T64" i="23"/>
  <c r="T78" i="22"/>
  <c r="W78" i="22"/>
  <c r="U78" i="22"/>
  <c r="V78" i="22" s="1"/>
  <c r="B44" i="21"/>
  <c r="BB44" i="21" s="1"/>
  <c r="B43" i="21"/>
  <c r="BB43" i="21" s="1"/>
  <c r="BU174" i="21"/>
  <c r="BW174" i="21" s="1"/>
  <c r="BY174" i="21" s="1"/>
  <c r="S174" i="21"/>
  <c r="M174" i="21"/>
  <c r="Q174" i="21"/>
  <c r="BM174" i="21"/>
  <c r="BO174" i="21" s="1"/>
  <c r="BQ174" i="21" s="1"/>
  <c r="M173" i="21"/>
  <c r="BU173" i="21"/>
  <c r="S173" i="21"/>
  <c r="BW173" i="21"/>
  <c r="BY173" i="21" s="1"/>
  <c r="BU172" i="21"/>
  <c r="BW172" i="21" s="1"/>
  <c r="BY172" i="21" s="1"/>
  <c r="S172" i="21"/>
  <c r="M172" i="21"/>
  <c r="P72" i="26"/>
  <c r="BM171" i="21"/>
  <c r="Q171" i="21"/>
  <c r="H71" i="26"/>
  <c r="BO171" i="21"/>
  <c r="BQ171" i="21" s="1"/>
  <c r="C28" i="21"/>
  <c r="C36" i="21"/>
  <c r="W85" i="23"/>
  <c r="U85" i="23"/>
  <c r="V85" i="23" s="1"/>
  <c r="T85" i="23"/>
  <c r="C29" i="21"/>
  <c r="C37" i="21"/>
  <c r="U84" i="23"/>
  <c r="V84" i="23" s="1"/>
  <c r="T84" i="23"/>
  <c r="W84" i="23" s="1"/>
  <c r="T83" i="23"/>
  <c r="W83" i="23"/>
  <c r="U83" i="23"/>
  <c r="V83" i="23" s="1"/>
  <c r="T82" i="23"/>
  <c r="W82" i="23"/>
  <c r="U82" i="23"/>
  <c r="V82" i="23" s="1"/>
  <c r="T81" i="23"/>
  <c r="W81" i="23"/>
  <c r="U81" i="23"/>
  <c r="V81" i="23" s="1"/>
  <c r="U80" i="23"/>
  <c r="V80" i="23" s="1"/>
  <c r="T80" i="23"/>
  <c r="W80" i="23"/>
  <c r="T79" i="23"/>
  <c r="W79" i="23"/>
  <c r="U79" i="23"/>
  <c r="V79" i="23" s="1"/>
  <c r="U78" i="23"/>
  <c r="V78" i="23" s="1"/>
  <c r="T78" i="23"/>
  <c r="W78" i="23" s="1"/>
  <c r="V77" i="23"/>
  <c r="C26" i="21"/>
  <c r="T77" i="23"/>
  <c r="W77" i="23" s="1"/>
  <c r="T76" i="23"/>
  <c r="U76" i="23"/>
  <c r="V76" i="23" s="1"/>
  <c r="W76" i="23"/>
  <c r="T75" i="23"/>
  <c r="W75" i="23"/>
  <c r="U75" i="23"/>
  <c r="V75" i="23" s="1"/>
  <c r="T74" i="23"/>
  <c r="U74" i="23"/>
  <c r="V74" i="23" s="1"/>
  <c r="W74" i="23"/>
  <c r="U73" i="23"/>
  <c r="V73" i="23" s="1"/>
  <c r="T73" i="23"/>
  <c r="W73" i="23"/>
  <c r="W72" i="23"/>
  <c r="T72" i="23"/>
  <c r="U71" i="23"/>
  <c r="V71" i="23" s="1"/>
  <c r="W71" i="23"/>
  <c r="T71" i="23"/>
  <c r="U70" i="23"/>
  <c r="V70" i="23" s="1"/>
  <c r="W70" i="23"/>
  <c r="T70" i="23"/>
  <c r="W69" i="23"/>
  <c r="U69" i="23"/>
  <c r="V69" i="23" s="1"/>
  <c r="T69" i="23"/>
  <c r="W68" i="23"/>
  <c r="U68" i="23"/>
  <c r="V68" i="23" s="1"/>
  <c r="T68" i="23"/>
  <c r="U67" i="23"/>
  <c r="V67" i="23" s="1"/>
  <c r="T67" i="23"/>
  <c r="W67" i="23"/>
  <c r="U66" i="23"/>
  <c r="V66" i="23" s="1"/>
  <c r="T66" i="23"/>
  <c r="W66" i="23"/>
  <c r="W65" i="23"/>
  <c r="T65" i="23"/>
  <c r="C8" i="21"/>
  <c r="U65" i="23"/>
  <c r="V65" i="23" s="1"/>
  <c r="T63" i="23"/>
  <c r="U63" i="23"/>
  <c r="V63" i="23" s="1"/>
  <c r="W63" i="23"/>
  <c r="W62" i="23"/>
  <c r="T62" i="23"/>
  <c r="U62" i="23"/>
  <c r="V62" i="23" s="1"/>
  <c r="W61" i="23"/>
  <c r="T61" i="23"/>
  <c r="U61" i="23"/>
  <c r="V61" i="23" s="1"/>
  <c r="T60" i="23"/>
  <c r="U60" i="23"/>
  <c r="V60" i="23" s="1"/>
  <c r="W60" i="23"/>
  <c r="T59" i="23"/>
  <c r="W59" i="23"/>
  <c r="U59" i="23"/>
  <c r="V59" i="23" s="1"/>
  <c r="W58" i="23"/>
  <c r="U58" i="23"/>
  <c r="V58" i="23" s="1"/>
  <c r="T58" i="23"/>
  <c r="W57" i="23"/>
  <c r="U57" i="23"/>
  <c r="V57" i="23" s="1"/>
  <c r="T57" i="23"/>
  <c r="W56" i="23"/>
  <c r="T56" i="23"/>
  <c r="U56" i="23"/>
  <c r="V56" i="23" s="1"/>
  <c r="U55" i="23"/>
  <c r="V55" i="23" s="1"/>
  <c r="W55" i="23"/>
  <c r="T55" i="23"/>
  <c r="T54" i="23"/>
  <c r="U54" i="23"/>
  <c r="V54" i="23" s="1"/>
  <c r="W54" i="23"/>
  <c r="T53" i="23"/>
  <c r="U53" i="23"/>
  <c r="V53" i="23" s="1"/>
  <c r="W53" i="23"/>
  <c r="U52" i="23"/>
  <c r="V52" i="23" s="1"/>
  <c r="T52" i="23"/>
  <c r="W52" i="23"/>
  <c r="U51" i="23"/>
  <c r="V51" i="23" s="1"/>
  <c r="W51" i="23"/>
  <c r="T51" i="23"/>
  <c r="W50" i="23"/>
  <c r="U50" i="23"/>
  <c r="V50" i="23" s="1"/>
  <c r="T50" i="23"/>
  <c r="W49" i="23"/>
  <c r="U49" i="23"/>
  <c r="V49" i="23" s="1"/>
  <c r="T49" i="23"/>
  <c r="W48" i="23"/>
  <c r="U48" i="23"/>
  <c r="V48" i="23" s="1"/>
  <c r="T48" i="23"/>
  <c r="W47" i="23"/>
  <c r="U47" i="23"/>
  <c r="V47" i="23" s="1"/>
  <c r="T47" i="23"/>
  <c r="T46" i="23"/>
  <c r="U46" i="23"/>
  <c r="V46" i="23" s="1"/>
  <c r="W46" i="23"/>
  <c r="U45" i="23"/>
  <c r="V45" i="23" s="1"/>
  <c r="W45" i="23"/>
  <c r="T45" i="23"/>
  <c r="W44" i="23"/>
  <c r="T44" i="23"/>
  <c r="U44" i="23"/>
  <c r="V44" i="23" s="1"/>
  <c r="U43" i="23"/>
  <c r="V43" i="23" s="1"/>
  <c r="W43" i="23"/>
  <c r="T43" i="23"/>
  <c r="T42" i="23"/>
  <c r="W42" i="23"/>
  <c r="U42" i="23"/>
  <c r="V42" i="23" s="1"/>
  <c r="U41" i="23"/>
  <c r="V41" i="23" s="1"/>
  <c r="W41" i="23"/>
  <c r="T41" i="23"/>
  <c r="T40" i="23"/>
  <c r="U40" i="23"/>
  <c r="V40" i="23" s="1"/>
  <c r="W40" i="23"/>
  <c r="T39" i="23"/>
  <c r="U39" i="23"/>
  <c r="V39" i="23" s="1"/>
  <c r="W39" i="23"/>
  <c r="T38" i="23"/>
  <c r="U38" i="23"/>
  <c r="V38" i="23" s="1"/>
  <c r="W38" i="23"/>
  <c r="T37" i="23"/>
  <c r="U37" i="23"/>
  <c r="V37" i="23" s="1"/>
  <c r="W37" i="23"/>
  <c r="T36" i="23"/>
  <c r="W36" i="23"/>
  <c r="U36" i="23"/>
  <c r="V36" i="23" s="1"/>
  <c r="T35" i="23"/>
  <c r="W35" i="23"/>
  <c r="U35" i="23"/>
  <c r="V35" i="23" s="1"/>
  <c r="W34" i="23"/>
  <c r="U34" i="23"/>
  <c r="V34" i="23" s="1"/>
  <c r="T34" i="23"/>
  <c r="W33" i="23"/>
  <c r="U33" i="23"/>
  <c r="V33" i="23" s="1"/>
  <c r="T33" i="23"/>
  <c r="U32" i="23"/>
  <c r="V32" i="23" s="1"/>
  <c r="T32" i="23"/>
  <c r="W32" i="23"/>
  <c r="T31" i="23"/>
  <c r="W31" i="23"/>
  <c r="U31" i="23"/>
  <c r="V31" i="23" s="1"/>
  <c r="T30" i="23"/>
  <c r="W30" i="23"/>
  <c r="U30" i="23"/>
  <c r="V30" i="23" s="1"/>
  <c r="U29" i="23"/>
  <c r="V29" i="23" s="1"/>
  <c r="T29" i="23"/>
  <c r="W29" i="23"/>
  <c r="W28" i="23"/>
  <c r="U28" i="23"/>
  <c r="V28" i="23" s="1"/>
  <c r="T28" i="23"/>
  <c r="W27" i="23"/>
  <c r="U27" i="23"/>
  <c r="V27" i="23" s="1"/>
  <c r="T27" i="23"/>
  <c r="W26" i="23"/>
  <c r="U26" i="23"/>
  <c r="V26" i="23" s="1"/>
  <c r="T26" i="23"/>
  <c r="W25" i="23"/>
  <c r="U25" i="23"/>
  <c r="V25" i="23" s="1"/>
  <c r="T25" i="23"/>
  <c r="W24" i="23"/>
  <c r="U24" i="23"/>
  <c r="V24" i="23" s="1"/>
  <c r="T24" i="23"/>
  <c r="W23" i="23"/>
  <c r="U23" i="23"/>
  <c r="V23" i="23" s="1"/>
  <c r="T23" i="23"/>
  <c r="U22" i="23"/>
  <c r="V22" i="23" s="1"/>
  <c r="T22" i="23"/>
  <c r="W22" i="23"/>
  <c r="W21" i="23"/>
  <c r="U21" i="23"/>
  <c r="V21" i="23" s="1"/>
  <c r="T21" i="23"/>
  <c r="W20" i="23"/>
  <c r="U20" i="23"/>
  <c r="V20" i="23" s="1"/>
  <c r="T20" i="23"/>
  <c r="W19" i="23"/>
  <c r="U19" i="23"/>
  <c r="V19" i="23" s="1"/>
  <c r="T19" i="23"/>
  <c r="U18" i="23"/>
  <c r="V18" i="23" s="1"/>
  <c r="T18" i="23"/>
  <c r="W18" i="23" s="1"/>
  <c r="U17" i="23"/>
  <c r="V17" i="23" s="1"/>
  <c r="T17" i="23"/>
  <c r="W17" i="23" s="1"/>
  <c r="U16" i="23"/>
  <c r="V16" i="23" s="1"/>
  <c r="T16" i="23"/>
  <c r="W16" i="23"/>
  <c r="T15" i="23"/>
  <c r="U15" i="23"/>
  <c r="V15" i="23" s="1"/>
  <c r="W15" i="23"/>
  <c r="T14" i="23"/>
  <c r="W14" i="23" s="1"/>
  <c r="U14" i="23"/>
  <c r="V14" i="23" s="1"/>
  <c r="T13" i="23"/>
  <c r="U13" i="23"/>
  <c r="V13" i="23" s="1"/>
  <c r="W13" i="23"/>
  <c r="T12" i="23"/>
  <c r="W12" i="23" s="1"/>
  <c r="U12" i="23"/>
  <c r="V12" i="23" s="1"/>
  <c r="T11" i="23"/>
  <c r="W11" i="23" s="1"/>
  <c r="U11" i="23"/>
  <c r="V11" i="23" s="1"/>
  <c r="U10" i="23"/>
  <c r="V10" i="23" s="1"/>
  <c r="T10" i="23"/>
  <c r="W10" i="23" s="1"/>
  <c r="C25" i="21"/>
  <c r="C7" i="21"/>
  <c r="C33" i="21"/>
  <c r="U9" i="23"/>
  <c r="V9" i="23" s="1"/>
  <c r="T9" i="23"/>
  <c r="W9" i="23" s="1"/>
  <c r="W8" i="23"/>
  <c r="U8" i="23"/>
  <c r="V8" i="23" s="1"/>
  <c r="T8" i="23"/>
  <c r="U7" i="23"/>
  <c r="V7" i="23" s="1"/>
  <c r="W7" i="23"/>
  <c r="T7" i="23"/>
  <c r="C6" i="21"/>
  <c r="C11" i="21"/>
  <c r="C23" i="21"/>
  <c r="C31" i="21"/>
  <c r="T6" i="23"/>
  <c r="U6" i="23"/>
  <c r="V6" i="23" s="1"/>
  <c r="W6" i="23"/>
  <c r="B8" i="21"/>
  <c r="B29" i="21"/>
  <c r="B37" i="21"/>
  <c r="T103" i="22"/>
  <c r="W103" i="22" s="1"/>
  <c r="D176" i="21"/>
  <c r="U103" i="22"/>
  <c r="V103" i="22" s="1"/>
  <c r="D37" i="21"/>
  <c r="B28" i="21"/>
  <c r="B36" i="21"/>
  <c r="E175" i="21"/>
  <c r="E36" i="21"/>
  <c r="W102" i="22"/>
  <c r="U102" i="22"/>
  <c r="V102" i="22" s="1"/>
  <c r="E28" i="21"/>
  <c r="AX28" i="21" s="1"/>
  <c r="T102" i="22"/>
  <c r="B114" i="21" s="1"/>
  <c r="BA114" i="21" s="1"/>
  <c r="B27" i="21"/>
  <c r="B35" i="21"/>
  <c r="E35" i="21"/>
  <c r="E27" i="21"/>
  <c r="AX27" i="21" s="1"/>
  <c r="W101" i="22"/>
  <c r="U101" i="22"/>
  <c r="V101" i="22" s="1"/>
  <c r="T101" i="22"/>
  <c r="B115" i="21" s="1"/>
  <c r="BA115" i="21" s="1"/>
  <c r="U100" i="22"/>
  <c r="V100" i="22" s="1"/>
  <c r="T100" i="22"/>
  <c r="W100" i="22"/>
  <c r="W99" i="22"/>
  <c r="U99" i="22"/>
  <c r="V99" i="22" s="1"/>
  <c r="T99" i="22"/>
  <c r="W98" i="22"/>
  <c r="U98" i="22"/>
  <c r="V98" i="22" s="1"/>
  <c r="T98" i="22"/>
  <c r="W97" i="22"/>
  <c r="U97" i="22"/>
  <c r="V97" i="22" s="1"/>
  <c r="T97" i="22"/>
  <c r="W96" i="22"/>
  <c r="U96" i="22"/>
  <c r="V96" i="22" s="1"/>
  <c r="T96" i="22"/>
  <c r="T95" i="22"/>
  <c r="W95" i="22"/>
  <c r="U95" i="22"/>
  <c r="V95" i="22" s="1"/>
  <c r="W94" i="22"/>
  <c r="U94" i="22"/>
  <c r="V94" i="22" s="1"/>
  <c r="T94" i="22"/>
  <c r="T93" i="22"/>
  <c r="W93" i="22" s="1"/>
  <c r="U93" i="22"/>
  <c r="V93" i="22" s="1"/>
  <c r="B26" i="21"/>
  <c r="T92" i="22"/>
  <c r="W92" i="22" s="1"/>
  <c r="U92" i="22"/>
  <c r="V92" i="22" s="1"/>
  <c r="E33" i="21" s="1"/>
  <c r="T91" i="22"/>
  <c r="U91" i="22"/>
  <c r="V91" i="22" s="1"/>
  <c r="W91" i="22"/>
  <c r="W90" i="22"/>
  <c r="U90" i="22"/>
  <c r="V90" i="22" s="1"/>
  <c r="T90" i="22"/>
  <c r="W89" i="22"/>
  <c r="U89" i="22"/>
  <c r="V89" i="22" s="1"/>
  <c r="T89" i="22"/>
  <c r="W88" i="22"/>
  <c r="U88" i="22"/>
  <c r="V88" i="22" s="1"/>
  <c r="T88" i="22"/>
  <c r="W87" i="22"/>
  <c r="U87" i="22"/>
  <c r="V87" i="22" s="1"/>
  <c r="T87" i="22"/>
  <c r="T86" i="22"/>
  <c r="W86" i="22"/>
  <c r="U86" i="22"/>
  <c r="V86" i="22" s="1"/>
  <c r="T85" i="22"/>
  <c r="U85" i="22"/>
  <c r="V85" i="22" s="1"/>
  <c r="W85" i="22"/>
  <c r="T84" i="22"/>
  <c r="U84" i="22"/>
  <c r="V84" i="22" s="1"/>
  <c r="W84" i="22"/>
  <c r="T83" i="22"/>
  <c r="W83" i="22"/>
  <c r="U83" i="22"/>
  <c r="V83" i="22" s="1"/>
  <c r="T82" i="22"/>
  <c r="W82" i="22"/>
  <c r="U82" i="22"/>
  <c r="V82" i="22" s="1"/>
  <c r="W81" i="22"/>
  <c r="U81" i="22"/>
  <c r="V81" i="22" s="1"/>
  <c r="T81" i="22"/>
  <c r="W80" i="22"/>
  <c r="U80" i="22"/>
  <c r="V80" i="22" s="1"/>
  <c r="T80" i="22"/>
  <c r="W79" i="22"/>
  <c r="U79" i="22"/>
  <c r="V79" i="22" s="1"/>
  <c r="T79" i="22"/>
  <c r="T77" i="22"/>
  <c r="U77" i="22"/>
  <c r="V77" i="22" s="1"/>
  <c r="W77" i="22"/>
  <c r="T76" i="22"/>
  <c r="U76" i="22"/>
  <c r="V76" i="22" s="1"/>
  <c r="W76" i="22"/>
  <c r="U75" i="22"/>
  <c r="V75" i="22" s="1"/>
  <c r="W75" i="22"/>
  <c r="T75" i="22"/>
  <c r="T74" i="22"/>
  <c r="U74" i="22"/>
  <c r="V74" i="22" s="1"/>
  <c r="W74" i="22"/>
  <c r="W73" i="22"/>
  <c r="T73" i="22"/>
  <c r="U73" i="22"/>
  <c r="V73" i="22" s="1"/>
  <c r="T72" i="22"/>
  <c r="U72" i="22"/>
  <c r="V72" i="22" s="1"/>
  <c r="W72" i="22"/>
  <c r="T71" i="22"/>
  <c r="U71" i="22"/>
  <c r="V71" i="22" s="1"/>
  <c r="W71" i="22"/>
  <c r="U70" i="22"/>
  <c r="V70" i="22" s="1"/>
  <c r="T70" i="22"/>
  <c r="W70" i="22"/>
  <c r="W69" i="22"/>
  <c r="U69" i="22"/>
  <c r="V69" i="22" s="1"/>
  <c r="T69" i="22"/>
  <c r="T68" i="22"/>
  <c r="U68" i="22"/>
  <c r="V68" i="22" s="1"/>
  <c r="W68" i="22"/>
  <c r="W67" i="22"/>
  <c r="U67" i="22"/>
  <c r="V67" i="22" s="1"/>
  <c r="T67" i="22"/>
  <c r="W66" i="22"/>
  <c r="U66" i="22"/>
  <c r="V66" i="22" s="1"/>
  <c r="T66" i="22"/>
  <c r="T65" i="22"/>
  <c r="U65" i="22"/>
  <c r="V65" i="22" s="1"/>
  <c r="W65" i="22"/>
  <c r="W64" i="22"/>
  <c r="U64" i="22"/>
  <c r="V64" i="22" s="1"/>
  <c r="T64" i="22"/>
  <c r="T63" i="22"/>
  <c r="U63" i="22"/>
  <c r="V63" i="22" s="1"/>
  <c r="W63" i="22"/>
  <c r="U62" i="22"/>
  <c r="V62" i="22" s="1"/>
  <c r="T62" i="22"/>
  <c r="W62" i="22"/>
  <c r="W61" i="22"/>
  <c r="U61" i="22"/>
  <c r="V61" i="22" s="1"/>
  <c r="T61" i="22"/>
  <c r="W60" i="22"/>
  <c r="T60" i="22"/>
  <c r="U60" i="22"/>
  <c r="V60" i="22" s="1"/>
  <c r="U59" i="22"/>
  <c r="V59" i="22" s="1"/>
  <c r="T59" i="22"/>
  <c r="W59" i="22"/>
  <c r="W58" i="22"/>
  <c r="T58" i="22"/>
  <c r="U58" i="22"/>
  <c r="V58" i="22" s="1"/>
  <c r="W57" i="22"/>
  <c r="U57" i="22"/>
  <c r="V57" i="22" s="1"/>
  <c r="T57" i="22"/>
  <c r="T56" i="22"/>
  <c r="W56" i="22"/>
  <c r="U56" i="22"/>
  <c r="V56" i="22" s="1"/>
  <c r="U55" i="22"/>
  <c r="V55" i="22" s="1"/>
  <c r="W55" i="22"/>
  <c r="T55" i="22"/>
  <c r="T54" i="22"/>
  <c r="U54" i="22"/>
  <c r="V54" i="22" s="1"/>
  <c r="W54" i="22"/>
  <c r="T53" i="22"/>
  <c r="U53" i="22"/>
  <c r="V53" i="22" s="1"/>
  <c r="W53" i="22"/>
  <c r="W52" i="22"/>
  <c r="U52" i="22"/>
  <c r="V52" i="22" s="1"/>
  <c r="T52" i="22"/>
  <c r="W51" i="22"/>
  <c r="U51" i="22"/>
  <c r="V51" i="22" s="1"/>
  <c r="T51" i="22"/>
  <c r="T50" i="22"/>
  <c r="U50" i="22"/>
  <c r="V50" i="22" s="1"/>
  <c r="W50" i="22"/>
  <c r="U49" i="22"/>
  <c r="V49" i="22" s="1"/>
  <c r="T49" i="22"/>
  <c r="W49" i="22"/>
  <c r="T48" i="22"/>
  <c r="U48" i="22"/>
  <c r="V48" i="22" s="1"/>
  <c r="W48" i="22"/>
  <c r="T47" i="22"/>
  <c r="U47" i="22"/>
  <c r="V47" i="22" s="1"/>
  <c r="W47" i="22"/>
  <c r="W46" i="22"/>
  <c r="U46" i="22"/>
  <c r="V46" i="22" s="1"/>
  <c r="T46" i="22"/>
  <c r="U45" i="22"/>
  <c r="V45" i="22" s="1"/>
  <c r="T45" i="22"/>
  <c r="W45" i="22"/>
  <c r="T44" i="22"/>
  <c r="W44" i="22"/>
  <c r="U44" i="22"/>
  <c r="V44" i="22" s="1"/>
  <c r="W43" i="22"/>
  <c r="U43" i="22"/>
  <c r="V43" i="22" s="1"/>
  <c r="T43" i="22"/>
  <c r="W42" i="22"/>
  <c r="T42" i="22"/>
  <c r="U42" i="22"/>
  <c r="V42" i="22" s="1"/>
  <c r="T41" i="22"/>
  <c r="U41" i="22"/>
  <c r="V41" i="22" s="1"/>
  <c r="W41" i="22"/>
  <c r="T40" i="22"/>
  <c r="U40" i="22"/>
  <c r="V40" i="22" s="1"/>
  <c r="W40" i="22"/>
  <c r="W39" i="22"/>
  <c r="U39" i="22"/>
  <c r="V39" i="22" s="1"/>
  <c r="T39" i="22"/>
  <c r="W38" i="22"/>
  <c r="U38" i="22"/>
  <c r="V38" i="22" s="1"/>
  <c r="T38" i="22"/>
  <c r="W37" i="22"/>
  <c r="U37" i="22"/>
  <c r="V37" i="22" s="1"/>
  <c r="T37" i="22"/>
  <c r="W36" i="22"/>
  <c r="U36" i="22"/>
  <c r="V36" i="22" s="1"/>
  <c r="T36" i="22"/>
  <c r="W35" i="22"/>
  <c r="U35" i="22"/>
  <c r="V35" i="22" s="1"/>
  <c r="T35" i="22"/>
  <c r="B33" i="21"/>
  <c r="W34" i="22"/>
  <c r="U34" i="22"/>
  <c r="V34" i="22" s="1"/>
  <c r="T34" i="22"/>
  <c r="W33" i="22"/>
  <c r="U33" i="22"/>
  <c r="V33" i="22" s="1"/>
  <c r="T33" i="22"/>
  <c r="W32" i="22"/>
  <c r="U32" i="22"/>
  <c r="V32" i="22" s="1"/>
  <c r="T32" i="22"/>
  <c r="W31" i="22"/>
  <c r="T31" i="22"/>
  <c r="U31" i="22"/>
  <c r="V31" i="22" s="1"/>
  <c r="U30" i="22"/>
  <c r="V30" i="22" s="1"/>
  <c r="T30" i="22"/>
  <c r="W30" i="22"/>
  <c r="U29" i="22"/>
  <c r="V29" i="22" s="1"/>
  <c r="T29" i="22"/>
  <c r="W29" i="22"/>
  <c r="T28" i="22"/>
  <c r="U28" i="22"/>
  <c r="V28" i="22" s="1"/>
  <c r="W28" i="22"/>
  <c r="W27" i="22"/>
  <c r="U27" i="22"/>
  <c r="V27" i="22" s="1"/>
  <c r="T27" i="22"/>
  <c r="W26" i="22"/>
  <c r="T26" i="22"/>
  <c r="U26" i="22"/>
  <c r="V26" i="22" s="1"/>
  <c r="W25" i="22"/>
  <c r="U25" i="22"/>
  <c r="V25" i="22" s="1"/>
  <c r="T25" i="22"/>
  <c r="B11" i="21"/>
  <c r="T24" i="22"/>
  <c r="W24" i="22"/>
  <c r="U24" i="22"/>
  <c r="V24" i="22" s="1"/>
  <c r="U23" i="22"/>
  <c r="V23" i="22" s="1"/>
  <c r="T23" i="22"/>
  <c r="W23" i="22" s="1"/>
  <c r="U22" i="22"/>
  <c r="V22" i="22" s="1"/>
  <c r="T22" i="22"/>
  <c r="W22" i="22" s="1"/>
  <c r="U21" i="22"/>
  <c r="V21" i="22" s="1"/>
  <c r="T21" i="22"/>
  <c r="W21" i="22" s="1"/>
  <c r="U20" i="22"/>
  <c r="V20" i="22" s="1"/>
  <c r="T20" i="22"/>
  <c r="W20" i="22" s="1"/>
  <c r="T19" i="22"/>
  <c r="W19" i="22" s="1"/>
  <c r="U19" i="22"/>
  <c r="V19" i="22" s="1"/>
  <c r="T18" i="22"/>
  <c r="W18" i="22" s="1"/>
  <c r="U18" i="22"/>
  <c r="V18" i="22" s="1"/>
  <c r="U17" i="22"/>
  <c r="V17" i="22" s="1"/>
  <c r="T17" i="22"/>
  <c r="W17" i="22" s="1"/>
  <c r="T16" i="22"/>
  <c r="U16" i="22"/>
  <c r="V16" i="22" s="1"/>
  <c r="W16" i="22"/>
  <c r="U15" i="22"/>
  <c r="V15" i="22" s="1"/>
  <c r="T15" i="22"/>
  <c r="W15" i="22" s="1"/>
  <c r="B25" i="21"/>
  <c r="U14" i="22"/>
  <c r="V14" i="22" s="1"/>
  <c r="T14" i="22"/>
  <c r="W14" i="22" s="1"/>
  <c r="U13" i="22"/>
  <c r="V13" i="22" s="1"/>
  <c r="T13" i="22"/>
  <c r="W13" i="22"/>
  <c r="T12" i="22"/>
  <c r="W12" i="22"/>
  <c r="U12" i="22"/>
  <c r="V12" i="22" s="1"/>
  <c r="U11" i="22"/>
  <c r="V11" i="22" s="1"/>
  <c r="W11" i="22"/>
  <c r="T11" i="22"/>
  <c r="B24" i="21"/>
  <c r="B32" i="21"/>
  <c r="B34" i="21"/>
  <c r="E32" i="21"/>
  <c r="AZ32" i="21" s="1"/>
  <c r="E34" i="21"/>
  <c r="W10" i="22"/>
  <c r="U10" i="22"/>
  <c r="V10" i="22" s="1"/>
  <c r="T10" i="22"/>
  <c r="B116" i="21" s="1"/>
  <c r="BA116" i="21" s="1"/>
  <c r="U9" i="22"/>
  <c r="V9" i="22" s="1"/>
  <c r="T9" i="22"/>
  <c r="W9" i="22"/>
  <c r="U8" i="22"/>
  <c r="V8" i="22" s="1"/>
  <c r="T8" i="22"/>
  <c r="W8" i="22" s="1"/>
  <c r="U7" i="22"/>
  <c r="V7" i="22" s="1"/>
  <c r="T7" i="22"/>
  <c r="W7" i="22" s="1"/>
  <c r="B23" i="21"/>
  <c r="B6" i="21"/>
  <c r="B7" i="21"/>
  <c r="B31" i="21"/>
  <c r="T6" i="22"/>
  <c r="W6" i="22" s="1"/>
  <c r="U6" i="22"/>
  <c r="V6" i="22" s="1"/>
  <c r="B113" i="21" l="1"/>
  <c r="BA113" i="21" s="1"/>
  <c r="D33" i="21"/>
  <c r="T174" i="21"/>
  <c r="BH173" i="21" s="1"/>
  <c r="BG173" i="21"/>
  <c r="CI173" i="21" s="1"/>
  <c r="T173" i="21"/>
  <c r="BH172" i="21" s="1"/>
  <c r="BG172" i="21"/>
  <c r="CI172" i="21" s="1"/>
  <c r="T172" i="21"/>
  <c r="BH171" i="21" s="1"/>
  <c r="BG171" i="21"/>
  <c r="CI171" i="21" s="1"/>
  <c r="X85" i="23"/>
  <c r="I174" i="21"/>
  <c r="L74" i="26" s="1"/>
  <c r="C175" i="21"/>
  <c r="X84" i="23"/>
  <c r="I175" i="21"/>
  <c r="L75" i="26" s="1"/>
  <c r="C176" i="21"/>
  <c r="F76" i="26" s="1"/>
  <c r="X77" i="23"/>
  <c r="C173" i="21"/>
  <c r="F73" i="26" s="1"/>
  <c r="AF2" i="26"/>
  <c r="X9" i="23"/>
  <c r="I171" i="21"/>
  <c r="L71" i="26" s="1"/>
  <c r="C172" i="21"/>
  <c r="F72" i="26" s="1"/>
  <c r="C9" i="21"/>
  <c r="AF1" i="26"/>
  <c r="X72" i="23"/>
  <c r="X64" i="23"/>
  <c r="X6" i="23"/>
  <c r="C170" i="21"/>
  <c r="I170" i="21"/>
  <c r="L70" i="26" s="1"/>
  <c r="C10" i="21"/>
  <c r="B9" i="26"/>
  <c r="N9" i="26"/>
  <c r="X103" i="22"/>
  <c r="E29" i="21"/>
  <c r="AX29" i="21" s="1"/>
  <c r="B42" i="21"/>
  <c r="BB42" i="21" s="1"/>
  <c r="H175" i="21"/>
  <c r="B176" i="21"/>
  <c r="D76" i="26" s="1"/>
  <c r="D8" i="21"/>
  <c r="E8" i="21" s="1"/>
  <c r="G22" i="26"/>
  <c r="AE2" i="26"/>
  <c r="P176" i="21"/>
  <c r="BL176" i="21"/>
  <c r="BN176" i="21" s="1"/>
  <c r="BP176" i="21" s="1"/>
  <c r="G76" i="26"/>
  <c r="AY37" i="21"/>
  <c r="BG36" i="21" s="1"/>
  <c r="BD36" i="21"/>
  <c r="X102" i="22"/>
  <c r="H174" i="21"/>
  <c r="B175" i="21"/>
  <c r="D75" i="26" s="1"/>
  <c r="Q175" i="21"/>
  <c r="BM175" i="21"/>
  <c r="BO175" i="21" s="1"/>
  <c r="BQ175" i="21" s="1"/>
  <c r="H75" i="26"/>
  <c r="AZ36" i="21"/>
  <c r="BH35" i="21" s="1"/>
  <c r="BE35" i="21"/>
  <c r="X101" i="22"/>
  <c r="H173" i="21"/>
  <c r="B174" i="21"/>
  <c r="D174" i="21"/>
  <c r="AZ35" i="21"/>
  <c r="BH34" i="21" s="1"/>
  <c r="BE34" i="21"/>
  <c r="D173" i="21"/>
  <c r="D26" i="21"/>
  <c r="AW26" i="21" s="1"/>
  <c r="X94" i="22"/>
  <c r="X92" i="22"/>
  <c r="E26" i="21"/>
  <c r="AX26" i="21" s="1"/>
  <c r="B173" i="21"/>
  <c r="D73" i="26" s="1"/>
  <c r="K171" i="21"/>
  <c r="E173" i="21"/>
  <c r="B52" i="21"/>
  <c r="BC52" i="21" s="1"/>
  <c r="X35" i="22"/>
  <c r="X34" i="22"/>
  <c r="H171" i="21"/>
  <c r="AZ33" i="21"/>
  <c r="BH32" i="21" s="1"/>
  <c r="BE32" i="21"/>
  <c r="B49" i="21"/>
  <c r="BC49" i="21" s="1"/>
  <c r="X25" i="22"/>
  <c r="X24" i="22"/>
  <c r="B48" i="21"/>
  <c r="BC48" i="21" s="1"/>
  <c r="D172" i="21"/>
  <c r="D11" i="21"/>
  <c r="E11" i="21" s="1"/>
  <c r="N7" i="26"/>
  <c r="X14" i="22"/>
  <c r="E172" i="21"/>
  <c r="B172" i="21"/>
  <c r="D72" i="26" s="1"/>
  <c r="X10" i="22"/>
  <c r="D24" i="21"/>
  <c r="AW24" i="21" s="1"/>
  <c r="B171" i="21"/>
  <c r="D71" i="26" s="1"/>
  <c r="H172" i="21"/>
  <c r="D171" i="21"/>
  <c r="AZ34" i="21"/>
  <c r="BH33" i="21" s="1"/>
  <c r="BE33" i="21"/>
  <c r="D170" i="21"/>
  <c r="B51" i="21"/>
  <c r="BC51" i="21" s="1"/>
  <c r="D23" i="21"/>
  <c r="AW23" i="21" s="1"/>
  <c r="X9" i="22"/>
  <c r="X78" i="22"/>
  <c r="X6" i="22"/>
  <c r="E23" i="21"/>
  <c r="AX23" i="21" s="1"/>
  <c r="E170" i="21"/>
  <c r="B170" i="21"/>
  <c r="H170" i="21"/>
  <c r="K170" i="21"/>
  <c r="D6" i="21"/>
  <c r="E6" i="21" s="1"/>
  <c r="B17" i="21"/>
  <c r="B5" i="18"/>
  <c r="B7" i="26"/>
  <c r="B16" i="21"/>
  <c r="D7" i="21"/>
  <c r="E7" i="21" s="1"/>
  <c r="B9" i="21"/>
  <c r="B10" i="21" s="1"/>
  <c r="AE1" i="26"/>
  <c r="B22" i="26"/>
  <c r="X83" i="23"/>
  <c r="X82" i="23"/>
  <c r="X81" i="23"/>
  <c r="X80" i="23"/>
  <c r="X79" i="23"/>
  <c r="X78" i="23"/>
  <c r="X76" i="23"/>
  <c r="X75" i="23"/>
  <c r="X74" i="23"/>
  <c r="X73" i="23"/>
  <c r="X71" i="23"/>
  <c r="X70" i="23"/>
  <c r="X69" i="23"/>
  <c r="X68" i="23"/>
  <c r="X67" i="23"/>
  <c r="X66" i="23"/>
  <c r="X65" i="23"/>
  <c r="X63" i="23"/>
  <c r="X62" i="23"/>
  <c r="X61" i="23"/>
  <c r="X60" i="23"/>
  <c r="X59" i="23"/>
  <c r="X58" i="23"/>
  <c r="X57" i="23"/>
  <c r="X56" i="23"/>
  <c r="X55" i="23"/>
  <c r="X54" i="23"/>
  <c r="X52" i="23"/>
  <c r="X50" i="23"/>
  <c r="X47" i="23"/>
  <c r="X44" i="23"/>
  <c r="X41" i="23"/>
  <c r="X38" i="23"/>
  <c r="X35" i="23"/>
  <c r="X31" i="23"/>
  <c r="X28" i="23"/>
  <c r="X23" i="23"/>
  <c r="X97" i="22"/>
  <c r="X93" i="22"/>
  <c r="X88" i="22"/>
  <c r="X84" i="22"/>
  <c r="X20" i="23"/>
  <c r="X19" i="23"/>
  <c r="X18" i="23"/>
  <c r="X17" i="23"/>
  <c r="X16" i="23"/>
  <c r="X15" i="23"/>
  <c r="X14" i="23"/>
  <c r="X13" i="23"/>
  <c r="X12" i="23"/>
  <c r="X11" i="23"/>
  <c r="X10" i="23"/>
  <c r="X8" i="23"/>
  <c r="X7" i="23"/>
  <c r="X100" i="22"/>
  <c r="X98" i="22"/>
  <c r="X89" i="22"/>
  <c r="X85" i="22"/>
  <c r="X83" i="22"/>
  <c r="X82" i="22"/>
  <c r="X81" i="22"/>
  <c r="X80" i="22"/>
  <c r="X79" i="22"/>
  <c r="X77" i="22"/>
  <c r="X76" i="22"/>
  <c r="X75" i="22"/>
  <c r="X74" i="22"/>
  <c r="X73" i="22"/>
  <c r="X72" i="22"/>
  <c r="X71" i="22"/>
  <c r="X70" i="22"/>
  <c r="X69" i="22"/>
  <c r="X68" i="22"/>
  <c r="X67" i="22"/>
  <c r="X66" i="22"/>
  <c r="X65" i="22"/>
  <c r="X64" i="22"/>
  <c r="X63" i="22"/>
  <c r="X62" i="22"/>
  <c r="X61" i="22"/>
  <c r="X60" i="22"/>
  <c r="X59" i="22"/>
  <c r="X58" i="22"/>
  <c r="X57" i="22"/>
  <c r="X56" i="22"/>
  <c r="X55" i="22"/>
  <c r="X33" i="22"/>
  <c r="X31" i="22"/>
  <c r="X30" i="22"/>
  <c r="X28" i="22"/>
  <c r="X26" i="22"/>
  <c r="X23" i="22"/>
  <c r="X22" i="22"/>
  <c r="X21" i="22"/>
  <c r="X20" i="22"/>
  <c r="X18" i="22"/>
  <c r="X17" i="22"/>
  <c r="X16" i="22"/>
  <c r="X12" i="22"/>
  <c r="X11" i="22"/>
  <c r="X8" i="22"/>
  <c r="X7" i="22"/>
  <c r="X99" i="22"/>
  <c r="X96" i="22"/>
  <c r="X91" i="22"/>
  <c r="X87" i="22"/>
  <c r="X54" i="22"/>
  <c r="X53" i="22"/>
  <c r="X52" i="22"/>
  <c r="X51" i="22"/>
  <c r="X50" i="22"/>
  <c r="X49" i="22"/>
  <c r="X48" i="22"/>
  <c r="X47" i="22"/>
  <c r="X46" i="22"/>
  <c r="X45" i="22"/>
  <c r="X44" i="22"/>
  <c r="X43" i="22"/>
  <c r="X42" i="22"/>
  <c r="X41" i="22"/>
  <c r="X40" i="22"/>
  <c r="X39" i="22"/>
  <c r="X38" i="22"/>
  <c r="X37" i="22"/>
  <c r="X36" i="22"/>
  <c r="B111" i="21"/>
  <c r="BA111" i="21" s="1"/>
  <c r="X32" i="22"/>
  <c r="X29" i="22"/>
  <c r="X27" i="22"/>
  <c r="X19" i="22"/>
  <c r="X15" i="22"/>
  <c r="X13" i="22"/>
  <c r="X21" i="23"/>
  <c r="X25" i="23"/>
  <c r="X29" i="23"/>
  <c r="X34" i="23"/>
  <c r="X39" i="23"/>
  <c r="X46" i="23"/>
  <c r="X22" i="23"/>
  <c r="X26" i="23"/>
  <c r="X32" i="23"/>
  <c r="X37" i="23"/>
  <c r="X43" i="23"/>
  <c r="X49" i="23"/>
  <c r="X24" i="23"/>
  <c r="X27" i="23"/>
  <c r="X30" i="23"/>
  <c r="X33" i="23"/>
  <c r="X36" i="23"/>
  <c r="X40" i="23"/>
  <c r="X42" i="23"/>
  <c r="X45" i="23"/>
  <c r="X48" i="23"/>
  <c r="X51" i="23"/>
  <c r="X53" i="23"/>
  <c r="B117" i="21"/>
  <c r="BA117" i="21" s="1"/>
  <c r="M176" i="21"/>
  <c r="E37" i="21"/>
  <c r="K175" i="21"/>
  <c r="E176" i="21"/>
  <c r="BK176" i="21" s="1"/>
  <c r="D28" i="21"/>
  <c r="AW28" i="21" s="1"/>
  <c r="D36" i="21"/>
  <c r="D175" i="21"/>
  <c r="D27" i="21"/>
  <c r="AW27" i="21" s="1"/>
  <c r="D35" i="21"/>
  <c r="B39" i="21"/>
  <c r="BB39" i="21" s="1"/>
  <c r="D31" i="21"/>
  <c r="D25" i="21"/>
  <c r="AW25" i="21" s="1"/>
  <c r="E25" i="21"/>
  <c r="AX25" i="21" s="1"/>
  <c r="B41" i="21"/>
  <c r="BB41" i="21" s="1"/>
  <c r="D34" i="21"/>
  <c r="D32" i="21"/>
  <c r="AY32" i="21" s="1"/>
  <c r="B38" i="21"/>
  <c r="E31" i="21"/>
  <c r="X86" i="22"/>
  <c r="X90" i="22"/>
  <c r="X95" i="22"/>
  <c r="B40" i="21"/>
  <c r="BB40" i="21" s="1"/>
  <c r="AY33" i="21" l="1"/>
  <c r="BG32" i="21" s="1"/>
  <c r="BD32" i="21"/>
  <c r="F75" i="26"/>
  <c r="C59" i="21"/>
  <c r="K9" i="26" s="1"/>
  <c r="C56" i="21"/>
  <c r="C57" i="21"/>
  <c r="AF3" i="26"/>
  <c r="J175" i="21"/>
  <c r="K75" i="26"/>
  <c r="AB2" i="26"/>
  <c r="AD2" i="26"/>
  <c r="AC2" i="26" s="1"/>
  <c r="AA2" i="26"/>
  <c r="J174" i="21"/>
  <c r="K74" i="26"/>
  <c r="J173" i="21"/>
  <c r="K73" i="26"/>
  <c r="P174" i="21"/>
  <c r="BK174" i="21"/>
  <c r="BL174" i="21"/>
  <c r="BN174" i="21" s="1"/>
  <c r="BP174" i="21" s="1"/>
  <c r="CC174" i="21"/>
  <c r="CE174" i="21"/>
  <c r="CG174" i="21"/>
  <c r="G74" i="26"/>
  <c r="CC173" i="21"/>
  <c r="CE173" i="21"/>
  <c r="CG173" i="21"/>
  <c r="P173" i="21"/>
  <c r="BK173" i="21"/>
  <c r="BL173" i="21"/>
  <c r="BN173" i="21" s="1"/>
  <c r="BP173" i="21" s="1"/>
  <c r="G73" i="26"/>
  <c r="M171" i="21"/>
  <c r="T171" i="21" s="1"/>
  <c r="S171" i="21"/>
  <c r="P71" i="26"/>
  <c r="BU171" i="21"/>
  <c r="BW171" i="21" s="1"/>
  <c r="BY171" i="21" s="1"/>
  <c r="Q173" i="21"/>
  <c r="BM173" i="21"/>
  <c r="BO173" i="21" s="1"/>
  <c r="BQ173" i="21" s="1"/>
  <c r="H73" i="26"/>
  <c r="CD173" i="21"/>
  <c r="CF173" i="21"/>
  <c r="CH173" i="21"/>
  <c r="J171" i="21"/>
  <c r="K71" i="26"/>
  <c r="CE172" i="21"/>
  <c r="CG172" i="21"/>
  <c r="G72" i="26"/>
  <c r="P172" i="21"/>
  <c r="BK172" i="21"/>
  <c r="BL172" i="21"/>
  <c r="BN172" i="21" s="1"/>
  <c r="BP172" i="21" s="1"/>
  <c r="CC172" i="21"/>
  <c r="N10" i="26"/>
  <c r="Z11" i="26"/>
  <c r="CD172" i="21"/>
  <c r="CF172" i="21"/>
  <c r="CH172" i="21"/>
  <c r="H72" i="26"/>
  <c r="Q172" i="21"/>
  <c r="BM172" i="21"/>
  <c r="BO172" i="21" s="1"/>
  <c r="BQ172" i="21" s="1"/>
  <c r="J172" i="21"/>
  <c r="K72" i="26"/>
  <c r="P171" i="21"/>
  <c r="G71" i="26"/>
  <c r="BK171" i="21"/>
  <c r="BL171" i="21"/>
  <c r="BN171" i="21" s="1"/>
  <c r="BP171" i="21" s="1"/>
  <c r="CC171" i="21"/>
  <c r="CE171" i="21"/>
  <c r="CG171" i="21"/>
  <c r="P170" i="21"/>
  <c r="BK170" i="21"/>
  <c r="CC170" i="21"/>
  <c r="CE170" i="21"/>
  <c r="CG170" i="21"/>
  <c r="G70" i="26"/>
  <c r="BL170" i="21"/>
  <c r="BN170" i="21" s="1"/>
  <c r="BP170" i="21" s="1"/>
  <c r="C67" i="24"/>
  <c r="H67" i="24"/>
  <c r="C68" i="24"/>
  <c r="I68" i="24"/>
  <c r="E69" i="24"/>
  <c r="C70" i="24"/>
  <c r="A71" i="24"/>
  <c r="I71" i="24"/>
  <c r="G72" i="24"/>
  <c r="D73" i="24"/>
  <c r="B74" i="24"/>
  <c r="J74" i="24"/>
  <c r="H75" i="24"/>
  <c r="E76" i="24"/>
  <c r="C77" i="24"/>
  <c r="J77" i="24"/>
  <c r="H78" i="24"/>
  <c r="F79" i="24"/>
  <c r="D80" i="24"/>
  <c r="B81" i="24"/>
  <c r="J81" i="24"/>
  <c r="I82" i="24"/>
  <c r="G83" i="24"/>
  <c r="F84" i="24"/>
  <c r="J85" i="24"/>
  <c r="H86" i="24"/>
  <c r="H87" i="24"/>
  <c r="E88" i="24"/>
  <c r="D89" i="24"/>
  <c r="B91" i="24"/>
  <c r="B92" i="24"/>
  <c r="C93" i="24"/>
  <c r="E95" i="24"/>
  <c r="G70" i="24"/>
  <c r="J70" i="24"/>
  <c r="E71" i="24"/>
  <c r="H71" i="24"/>
  <c r="B72" i="24"/>
  <c r="E72" i="24"/>
  <c r="J72" i="24"/>
  <c r="C73" i="24"/>
  <c r="G73" i="24"/>
  <c r="A74" i="24"/>
  <c r="E74" i="24"/>
  <c r="H74" i="24"/>
  <c r="C75" i="24"/>
  <c r="F75" i="24"/>
  <c r="A76" i="24"/>
  <c r="D76" i="24"/>
  <c r="H76" i="24"/>
  <c r="A77" i="24"/>
  <c r="F77" i="24"/>
  <c r="I77" i="24"/>
  <c r="C78" i="24"/>
  <c r="G78" i="24"/>
  <c r="A79" i="24"/>
  <c r="D79" i="24"/>
  <c r="H79" i="24"/>
  <c r="B80" i="24"/>
  <c r="F80" i="24"/>
  <c r="J80" i="24"/>
  <c r="E81" i="24"/>
  <c r="I81" i="24"/>
  <c r="C82" i="24"/>
  <c r="G82" i="24"/>
  <c r="A83" i="24"/>
  <c r="F83" i="24"/>
  <c r="A84" i="24"/>
  <c r="D84" i="24"/>
  <c r="J84" i="24"/>
  <c r="C85" i="24"/>
  <c r="G85" i="24"/>
  <c r="A86" i="24"/>
  <c r="F86" i="24"/>
  <c r="J86" i="24"/>
  <c r="D87" i="24"/>
  <c r="G87" i="24"/>
  <c r="B88" i="24"/>
  <c r="F88" i="24"/>
  <c r="A89" i="24"/>
  <c r="E89" i="24"/>
  <c r="I89" i="24"/>
  <c r="B90" i="24"/>
  <c r="D90" i="24"/>
  <c r="J90" i="24"/>
  <c r="G91" i="24"/>
  <c r="J91" i="24"/>
  <c r="E92" i="24"/>
  <c r="I92" i="24"/>
  <c r="B93" i="24"/>
  <c r="G93" i="24"/>
  <c r="J93" i="24"/>
  <c r="D94" i="24"/>
  <c r="F94" i="24"/>
  <c r="I94" i="24"/>
  <c r="C95" i="24"/>
  <c r="G95" i="24"/>
  <c r="B96" i="24"/>
  <c r="A67" i="24"/>
  <c r="D67" i="24"/>
  <c r="E67" i="24"/>
  <c r="G67" i="24"/>
  <c r="J67" i="24"/>
  <c r="B68" i="24"/>
  <c r="D68" i="24"/>
  <c r="F68" i="24"/>
  <c r="H68" i="24"/>
  <c r="J68" i="24"/>
  <c r="B69" i="24"/>
  <c r="D69" i="24"/>
  <c r="F69" i="24"/>
  <c r="H69" i="24"/>
  <c r="J69" i="24"/>
  <c r="B70" i="24"/>
  <c r="D70" i="24"/>
  <c r="F70" i="24"/>
  <c r="I70" i="24"/>
  <c r="B71" i="24"/>
  <c r="D71" i="24"/>
  <c r="G71" i="24"/>
  <c r="A72" i="24"/>
  <c r="C72" i="24"/>
  <c r="F72" i="24"/>
  <c r="I72" i="24"/>
  <c r="B73" i="24"/>
  <c r="E73" i="24"/>
  <c r="H73" i="24"/>
  <c r="J73" i="24"/>
  <c r="D74" i="24"/>
  <c r="F74" i="24"/>
  <c r="I74" i="24"/>
  <c r="A75" i="24"/>
  <c r="D75" i="24"/>
  <c r="G75" i="24"/>
  <c r="J75" i="24"/>
  <c r="B76" i="24"/>
  <c r="F76" i="24"/>
  <c r="I76" i="24"/>
  <c r="B77" i="24"/>
  <c r="E77" i="24"/>
  <c r="H77" i="24"/>
  <c r="A78" i="24"/>
  <c r="D78" i="24"/>
  <c r="F78" i="24"/>
  <c r="I78" i="24"/>
  <c r="B79" i="24"/>
  <c r="E79" i="24"/>
  <c r="I79" i="24"/>
  <c r="J79" i="24"/>
  <c r="C80" i="24"/>
  <c r="G80" i="24"/>
  <c r="A81" i="24"/>
  <c r="D81" i="24"/>
  <c r="H81" i="24"/>
  <c r="A82" i="24"/>
  <c r="D82" i="24"/>
  <c r="H82" i="24"/>
  <c r="B83" i="24"/>
  <c r="E83" i="24"/>
  <c r="I83" i="24"/>
  <c r="C84" i="24"/>
  <c r="E84" i="24"/>
  <c r="I84" i="24"/>
  <c r="B85" i="24"/>
  <c r="E85" i="24"/>
  <c r="I85" i="24"/>
  <c r="B86" i="24"/>
  <c r="E86" i="24"/>
  <c r="I86" i="24"/>
  <c r="C87" i="24"/>
  <c r="E87" i="24"/>
  <c r="I87" i="24"/>
  <c r="C88" i="24"/>
  <c r="G88" i="24"/>
  <c r="J88" i="24"/>
  <c r="C89" i="24"/>
  <c r="G89" i="24"/>
  <c r="J89" i="24"/>
  <c r="E90" i="24"/>
  <c r="F90" i="24"/>
  <c r="G90" i="24"/>
  <c r="H90" i="24"/>
  <c r="I90" i="24"/>
  <c r="C91" i="24"/>
  <c r="F91" i="24"/>
  <c r="H91" i="24"/>
  <c r="A92" i="24"/>
  <c r="F92" i="24"/>
  <c r="H92" i="24"/>
  <c r="A93" i="24"/>
  <c r="E93" i="24"/>
  <c r="H93" i="24"/>
  <c r="A94" i="24"/>
  <c r="C94" i="24"/>
  <c r="E94" i="24"/>
  <c r="H94" i="24"/>
  <c r="B95" i="24"/>
  <c r="I95" i="24"/>
  <c r="H80" i="24"/>
  <c r="F81" i="24"/>
  <c r="E82" i="24"/>
  <c r="C83" i="24"/>
  <c r="J83" i="24"/>
  <c r="H84" i="24"/>
  <c r="F85" i="24"/>
  <c r="D86" i="24"/>
  <c r="B87" i="24"/>
  <c r="J87" i="24"/>
  <c r="H88" i="24"/>
  <c r="F89" i="24"/>
  <c r="D91" i="24"/>
  <c r="C92" i="24"/>
  <c r="D93" i="24"/>
  <c r="A95" i="24"/>
  <c r="A6" i="24"/>
  <c r="B6" i="24"/>
  <c r="C6" i="24"/>
  <c r="D6" i="24"/>
  <c r="E6" i="24"/>
  <c r="F6" i="24"/>
  <c r="G6" i="24"/>
  <c r="H6" i="24"/>
  <c r="I6" i="24"/>
  <c r="J6" i="24"/>
  <c r="A7" i="24"/>
  <c r="B7" i="24"/>
  <c r="C7" i="24"/>
  <c r="D7" i="24"/>
  <c r="E7" i="24"/>
  <c r="F7" i="24"/>
  <c r="G7" i="24"/>
  <c r="H7" i="24"/>
  <c r="I7" i="24"/>
  <c r="J7" i="24"/>
  <c r="A8" i="24"/>
  <c r="B8" i="24"/>
  <c r="C8" i="24"/>
  <c r="D8" i="24"/>
  <c r="E8" i="24"/>
  <c r="F8" i="24"/>
  <c r="G8" i="24"/>
  <c r="H8" i="24"/>
  <c r="I8" i="24"/>
  <c r="J8" i="24"/>
  <c r="A9" i="24"/>
  <c r="B9" i="24"/>
  <c r="C9" i="24"/>
  <c r="D9" i="24"/>
  <c r="E9" i="24"/>
  <c r="F9" i="24"/>
  <c r="G9" i="24"/>
  <c r="H9" i="24"/>
  <c r="I9" i="24"/>
  <c r="J9" i="24"/>
  <c r="A10" i="24"/>
  <c r="B10" i="24"/>
  <c r="C10" i="24"/>
  <c r="D10" i="24"/>
  <c r="E10" i="24"/>
  <c r="F10" i="24"/>
  <c r="G10" i="24"/>
  <c r="H10" i="24"/>
  <c r="I10" i="24"/>
  <c r="J10" i="24"/>
  <c r="A11" i="24"/>
  <c r="B11" i="24"/>
  <c r="C11" i="24"/>
  <c r="D11" i="24"/>
  <c r="E11" i="24"/>
  <c r="F11" i="24"/>
  <c r="G11" i="24"/>
  <c r="H11" i="24"/>
  <c r="I11" i="24"/>
  <c r="J11" i="24"/>
  <c r="A12" i="24"/>
  <c r="B12" i="24"/>
  <c r="C12" i="24"/>
  <c r="D12" i="24"/>
  <c r="E12" i="24"/>
  <c r="F12" i="24"/>
  <c r="G12" i="24"/>
  <c r="H12" i="24"/>
  <c r="I12" i="24"/>
  <c r="J12" i="24"/>
  <c r="A13" i="24"/>
  <c r="B13" i="24"/>
  <c r="C13" i="24"/>
  <c r="D13" i="24"/>
  <c r="E13" i="24"/>
  <c r="F13" i="24"/>
  <c r="G13" i="24"/>
  <c r="H13" i="24"/>
  <c r="I13" i="24"/>
  <c r="J13" i="24"/>
  <c r="A14" i="24"/>
  <c r="B14" i="24"/>
  <c r="C14" i="24"/>
  <c r="D14" i="24"/>
  <c r="E14" i="24"/>
  <c r="F14" i="24"/>
  <c r="G14" i="24"/>
  <c r="H14" i="24"/>
  <c r="I14" i="24"/>
  <c r="J14" i="24"/>
  <c r="A15" i="24"/>
  <c r="B15" i="24"/>
  <c r="C15" i="24"/>
  <c r="D15" i="24"/>
  <c r="E15" i="24"/>
  <c r="F15" i="24"/>
  <c r="G15" i="24"/>
  <c r="H15" i="24"/>
  <c r="I15" i="24"/>
  <c r="J15" i="24"/>
  <c r="A16" i="24"/>
  <c r="B16" i="24"/>
  <c r="C16" i="24"/>
  <c r="D16" i="24"/>
  <c r="E16" i="24"/>
  <c r="F16" i="24"/>
  <c r="G16" i="24"/>
  <c r="H16" i="24"/>
  <c r="I16" i="24"/>
  <c r="J16" i="24"/>
  <c r="A17" i="24"/>
  <c r="B17" i="24"/>
  <c r="C17" i="24"/>
  <c r="D17" i="24"/>
  <c r="E17" i="24"/>
  <c r="F17" i="24"/>
  <c r="G17" i="24"/>
  <c r="H17" i="24"/>
  <c r="I17" i="24"/>
  <c r="J17" i="24"/>
  <c r="A18" i="24"/>
  <c r="B18" i="24"/>
  <c r="C18" i="24"/>
  <c r="D18" i="24"/>
  <c r="E18" i="24"/>
  <c r="F18" i="24"/>
  <c r="G18" i="24"/>
  <c r="H18" i="24"/>
  <c r="I18" i="24"/>
  <c r="J18" i="24"/>
  <c r="A19" i="24"/>
  <c r="B19" i="24"/>
  <c r="C19" i="24"/>
  <c r="D19" i="24"/>
  <c r="E19" i="24"/>
  <c r="F19" i="24"/>
  <c r="G19" i="24"/>
  <c r="H19" i="24"/>
  <c r="I19" i="24"/>
  <c r="J19" i="24"/>
  <c r="A20" i="24"/>
  <c r="B20" i="24"/>
  <c r="C20" i="24"/>
  <c r="D20" i="24"/>
  <c r="E20" i="24"/>
  <c r="F20" i="24"/>
  <c r="G20" i="24"/>
  <c r="H20" i="24"/>
  <c r="I20" i="24"/>
  <c r="J20" i="24"/>
  <c r="A21" i="24"/>
  <c r="B21" i="24"/>
  <c r="C21" i="24"/>
  <c r="D21" i="24"/>
  <c r="E21" i="24"/>
  <c r="F21" i="24"/>
  <c r="G21" i="24"/>
  <c r="H21" i="24"/>
  <c r="I21" i="24"/>
  <c r="J21" i="24"/>
  <c r="A22" i="24"/>
  <c r="B22" i="24"/>
  <c r="C22" i="24"/>
  <c r="D22" i="24"/>
  <c r="E22" i="24"/>
  <c r="F22" i="24"/>
  <c r="G22" i="24"/>
  <c r="H22" i="24"/>
  <c r="I22" i="24"/>
  <c r="J22" i="24"/>
  <c r="A23" i="24"/>
  <c r="B23" i="24"/>
  <c r="C23" i="24"/>
  <c r="D23" i="24"/>
  <c r="E23" i="24"/>
  <c r="F23" i="24"/>
  <c r="G23" i="24"/>
  <c r="H23" i="24"/>
  <c r="I23" i="24"/>
  <c r="J23" i="24"/>
  <c r="A24" i="24"/>
  <c r="B24" i="24"/>
  <c r="C24" i="24"/>
  <c r="D24" i="24"/>
  <c r="E24" i="24"/>
  <c r="F24" i="24"/>
  <c r="G24" i="24"/>
  <c r="H24" i="24"/>
  <c r="I24" i="24"/>
  <c r="J24" i="24"/>
  <c r="A25" i="24"/>
  <c r="B25" i="24"/>
  <c r="C25" i="24"/>
  <c r="D25" i="24"/>
  <c r="E25" i="24"/>
  <c r="F25" i="24"/>
  <c r="G25" i="24"/>
  <c r="H25" i="24"/>
  <c r="I25" i="24"/>
  <c r="J25" i="24"/>
  <c r="A26" i="24"/>
  <c r="B26" i="24"/>
  <c r="C26" i="24"/>
  <c r="D26" i="24"/>
  <c r="E26" i="24"/>
  <c r="F26" i="24"/>
  <c r="G26" i="24"/>
  <c r="H26" i="24"/>
  <c r="I26" i="24"/>
  <c r="J26" i="24"/>
  <c r="A27" i="24"/>
  <c r="B27" i="24"/>
  <c r="C27" i="24"/>
  <c r="D27" i="24"/>
  <c r="E27" i="24"/>
  <c r="F27" i="24"/>
  <c r="G27" i="24"/>
  <c r="H27" i="24"/>
  <c r="I27" i="24"/>
  <c r="J27" i="24"/>
  <c r="A28" i="24"/>
  <c r="B28" i="24"/>
  <c r="C28" i="24"/>
  <c r="D28" i="24"/>
  <c r="E28" i="24"/>
  <c r="F28" i="24"/>
  <c r="G28" i="24"/>
  <c r="H28" i="24"/>
  <c r="I28" i="24"/>
  <c r="J28" i="24"/>
  <c r="A29" i="24"/>
  <c r="B29" i="24"/>
  <c r="C29" i="24"/>
  <c r="D29" i="24"/>
  <c r="E29" i="24"/>
  <c r="F29" i="24"/>
  <c r="G29" i="24"/>
  <c r="H29" i="24"/>
  <c r="I29" i="24"/>
  <c r="J29" i="24"/>
  <c r="A30" i="24"/>
  <c r="B30" i="24"/>
  <c r="C30" i="24"/>
  <c r="D30" i="24"/>
  <c r="E30" i="24"/>
  <c r="F30" i="24"/>
  <c r="G30" i="24"/>
  <c r="H30" i="24"/>
  <c r="I30" i="24"/>
  <c r="J30" i="24"/>
  <c r="A31" i="24"/>
  <c r="B31" i="24"/>
  <c r="C31" i="24"/>
  <c r="D31" i="24"/>
  <c r="E31" i="24"/>
  <c r="F31" i="24"/>
  <c r="G31" i="24"/>
  <c r="H31" i="24"/>
  <c r="I31" i="24"/>
  <c r="J31" i="24"/>
  <c r="A32" i="24"/>
  <c r="B32" i="24"/>
  <c r="C32" i="24"/>
  <c r="D32" i="24"/>
  <c r="E32" i="24"/>
  <c r="F32" i="24"/>
  <c r="G32" i="24"/>
  <c r="H32" i="24"/>
  <c r="I32" i="24"/>
  <c r="J32" i="24"/>
  <c r="A33" i="24"/>
  <c r="B33" i="24"/>
  <c r="C33" i="24"/>
  <c r="D33" i="24"/>
  <c r="E33" i="24"/>
  <c r="F33" i="24"/>
  <c r="G33" i="24"/>
  <c r="H33" i="24"/>
  <c r="I33" i="24"/>
  <c r="J33" i="24"/>
  <c r="A34" i="24"/>
  <c r="B34" i="24"/>
  <c r="C34" i="24"/>
  <c r="D34" i="24"/>
  <c r="E34" i="24"/>
  <c r="F34" i="24"/>
  <c r="G34" i="24"/>
  <c r="H34" i="24"/>
  <c r="I34" i="24"/>
  <c r="J34" i="24"/>
  <c r="A35" i="24"/>
  <c r="B35" i="24"/>
  <c r="C35" i="24"/>
  <c r="D35" i="24"/>
  <c r="E35" i="24"/>
  <c r="F35" i="24"/>
  <c r="G35" i="24"/>
  <c r="H35" i="24"/>
  <c r="I35" i="24"/>
  <c r="J35" i="24"/>
  <c r="A36" i="24"/>
  <c r="B36" i="24"/>
  <c r="C36" i="24"/>
  <c r="D36" i="24"/>
  <c r="E36" i="24"/>
  <c r="F36" i="24"/>
  <c r="G36" i="24"/>
  <c r="H36" i="24"/>
  <c r="I36" i="24"/>
  <c r="J36" i="24"/>
  <c r="A37" i="24"/>
  <c r="B37" i="24"/>
  <c r="C37" i="24"/>
  <c r="D37" i="24"/>
  <c r="E37" i="24"/>
  <c r="F37" i="24"/>
  <c r="G37" i="24"/>
  <c r="H37" i="24"/>
  <c r="I37" i="24"/>
  <c r="J37" i="24"/>
  <c r="A38" i="24"/>
  <c r="B38" i="24"/>
  <c r="C38" i="24"/>
  <c r="D38" i="24"/>
  <c r="E38" i="24"/>
  <c r="F38" i="24"/>
  <c r="G38" i="24"/>
  <c r="H38" i="24"/>
  <c r="I38" i="24"/>
  <c r="J38" i="24"/>
  <c r="A39" i="24"/>
  <c r="B39" i="24"/>
  <c r="C39" i="24"/>
  <c r="D39" i="24"/>
  <c r="E39" i="24"/>
  <c r="F39" i="24"/>
  <c r="G39" i="24"/>
  <c r="H39" i="24"/>
  <c r="I39" i="24"/>
  <c r="J39" i="24"/>
  <c r="A40" i="24"/>
  <c r="B40" i="24"/>
  <c r="C40" i="24"/>
  <c r="D40" i="24"/>
  <c r="E40" i="24"/>
  <c r="F40" i="24"/>
  <c r="G40" i="24"/>
  <c r="H40" i="24"/>
  <c r="I40" i="24"/>
  <c r="J40" i="24"/>
  <c r="A41" i="24"/>
  <c r="B41" i="24"/>
  <c r="C41" i="24"/>
  <c r="D41" i="24"/>
  <c r="E41" i="24"/>
  <c r="F41" i="24"/>
  <c r="G41" i="24"/>
  <c r="H41" i="24"/>
  <c r="I41" i="24"/>
  <c r="J41" i="24"/>
  <c r="A42" i="24"/>
  <c r="B42" i="24"/>
  <c r="C42" i="24"/>
  <c r="D42" i="24"/>
  <c r="E42" i="24"/>
  <c r="F42" i="24"/>
  <c r="G42" i="24"/>
  <c r="H42" i="24"/>
  <c r="I42" i="24"/>
  <c r="J42" i="24"/>
  <c r="A43" i="24"/>
  <c r="B43" i="24"/>
  <c r="C43" i="24"/>
  <c r="D43" i="24"/>
  <c r="E43" i="24"/>
  <c r="F43" i="24"/>
  <c r="G43" i="24"/>
  <c r="H43" i="24"/>
  <c r="I43" i="24"/>
  <c r="J43" i="24"/>
  <c r="A44" i="24"/>
  <c r="B44" i="24"/>
  <c r="C44" i="24"/>
  <c r="D44" i="24"/>
  <c r="E44" i="24"/>
  <c r="F44" i="24"/>
  <c r="G44" i="24"/>
  <c r="H44" i="24"/>
  <c r="I44" i="24"/>
  <c r="J44" i="24"/>
  <c r="A45" i="24"/>
  <c r="B45" i="24"/>
  <c r="C45" i="24"/>
  <c r="D45" i="24"/>
  <c r="E45" i="24"/>
  <c r="F45" i="24"/>
  <c r="G45" i="24"/>
  <c r="H45" i="24"/>
  <c r="I45" i="24"/>
  <c r="J45" i="24"/>
  <c r="A46" i="24"/>
  <c r="B46" i="24"/>
  <c r="C46" i="24"/>
  <c r="D46" i="24"/>
  <c r="E46" i="24"/>
  <c r="F46" i="24"/>
  <c r="G46" i="24"/>
  <c r="H46" i="24"/>
  <c r="I46" i="24"/>
  <c r="J46" i="24"/>
  <c r="A47" i="24"/>
  <c r="B47" i="24"/>
  <c r="C47" i="24"/>
  <c r="D47" i="24"/>
  <c r="E47" i="24"/>
  <c r="F47" i="24"/>
  <c r="G47" i="24"/>
  <c r="H47" i="24"/>
  <c r="I47" i="24"/>
  <c r="J47" i="24"/>
  <c r="A48" i="24"/>
  <c r="B48" i="24"/>
  <c r="C48" i="24"/>
  <c r="D48" i="24"/>
  <c r="E48" i="24"/>
  <c r="F48" i="24"/>
  <c r="G48" i="24"/>
  <c r="H48" i="24"/>
  <c r="I48" i="24"/>
  <c r="J48" i="24"/>
  <c r="A49" i="24"/>
  <c r="B49" i="24"/>
  <c r="C49" i="24"/>
  <c r="D49" i="24"/>
  <c r="E49" i="24"/>
  <c r="F49" i="24"/>
  <c r="G49" i="24"/>
  <c r="H49" i="24"/>
  <c r="I49" i="24"/>
  <c r="J49" i="24"/>
  <c r="A50" i="24"/>
  <c r="B50" i="24"/>
  <c r="C50" i="24"/>
  <c r="D50" i="24"/>
  <c r="E50" i="24"/>
  <c r="F50" i="24"/>
  <c r="G50" i="24"/>
  <c r="H50" i="24"/>
  <c r="I50" i="24"/>
  <c r="J50" i="24"/>
  <c r="A51" i="24"/>
  <c r="B51" i="24"/>
  <c r="C51" i="24"/>
  <c r="D51" i="24"/>
  <c r="E51" i="24"/>
  <c r="F51" i="24"/>
  <c r="G51" i="24"/>
  <c r="H51" i="24"/>
  <c r="I51" i="24"/>
  <c r="J51" i="24"/>
  <c r="A52" i="24"/>
  <c r="B52" i="24"/>
  <c r="C52" i="24"/>
  <c r="D52" i="24"/>
  <c r="E52" i="24"/>
  <c r="F52" i="24"/>
  <c r="G52" i="24"/>
  <c r="H52" i="24"/>
  <c r="I52" i="24"/>
  <c r="J52" i="24"/>
  <c r="A53" i="24"/>
  <c r="B53" i="24"/>
  <c r="C53" i="24"/>
  <c r="D53" i="24"/>
  <c r="E53" i="24"/>
  <c r="F53" i="24"/>
  <c r="G53" i="24"/>
  <c r="H53" i="24"/>
  <c r="I53" i="24"/>
  <c r="J53" i="24"/>
  <c r="A54" i="24"/>
  <c r="B54" i="24"/>
  <c r="C54" i="24"/>
  <c r="D54" i="24"/>
  <c r="E54" i="24"/>
  <c r="F54" i="24"/>
  <c r="G54" i="24"/>
  <c r="H54" i="24"/>
  <c r="I54" i="24"/>
  <c r="J54" i="24"/>
  <c r="A55" i="24"/>
  <c r="B55" i="24"/>
  <c r="C55" i="24"/>
  <c r="D55" i="24"/>
  <c r="E55" i="24"/>
  <c r="F55" i="24"/>
  <c r="G55" i="24"/>
  <c r="H55" i="24"/>
  <c r="I55" i="24"/>
  <c r="J55" i="24"/>
  <c r="A56" i="24"/>
  <c r="B56" i="24"/>
  <c r="C56" i="24"/>
  <c r="D56" i="24"/>
  <c r="E56" i="24"/>
  <c r="F56" i="24"/>
  <c r="G56" i="24"/>
  <c r="H56" i="24"/>
  <c r="I56" i="24"/>
  <c r="J56" i="24"/>
  <c r="A57" i="24"/>
  <c r="B57" i="24"/>
  <c r="C57" i="24"/>
  <c r="D57" i="24"/>
  <c r="E57" i="24"/>
  <c r="F57" i="24"/>
  <c r="G57" i="24"/>
  <c r="H57" i="24"/>
  <c r="I57" i="24"/>
  <c r="J57" i="24"/>
  <c r="A58" i="24"/>
  <c r="B58" i="24"/>
  <c r="C58" i="24"/>
  <c r="D58" i="24"/>
  <c r="E58" i="24"/>
  <c r="F58" i="24"/>
  <c r="G58" i="24"/>
  <c r="H58" i="24"/>
  <c r="I58" i="24"/>
  <c r="J58" i="24"/>
  <c r="A59" i="24"/>
  <c r="B59" i="24"/>
  <c r="C59" i="24"/>
  <c r="D59" i="24"/>
  <c r="E59" i="24"/>
  <c r="F59" i="24"/>
  <c r="G59" i="24"/>
  <c r="H59" i="24"/>
  <c r="I59" i="24"/>
  <c r="J59" i="24"/>
  <c r="A60" i="24"/>
  <c r="B60" i="24"/>
  <c r="C60" i="24"/>
  <c r="D60" i="24"/>
  <c r="E60" i="24"/>
  <c r="F60" i="24"/>
  <c r="G60" i="24"/>
  <c r="H60" i="24"/>
  <c r="I60" i="24"/>
  <c r="J60" i="24"/>
  <c r="A61" i="24"/>
  <c r="B61" i="24"/>
  <c r="C61" i="24"/>
  <c r="D61" i="24"/>
  <c r="E61" i="24"/>
  <c r="F61" i="24"/>
  <c r="G61" i="24"/>
  <c r="H61" i="24"/>
  <c r="I61" i="24"/>
  <c r="J61" i="24"/>
  <c r="A62" i="24"/>
  <c r="B62" i="24"/>
  <c r="C62" i="24"/>
  <c r="D62" i="24"/>
  <c r="E62" i="24"/>
  <c r="F62" i="24"/>
  <c r="G62" i="24"/>
  <c r="H62" i="24"/>
  <c r="I62" i="24"/>
  <c r="J62" i="24"/>
  <c r="A63" i="24"/>
  <c r="B63" i="24"/>
  <c r="C63" i="24"/>
  <c r="D63" i="24"/>
  <c r="E63" i="24"/>
  <c r="F63" i="24"/>
  <c r="G63" i="24"/>
  <c r="H63" i="24"/>
  <c r="I63" i="24"/>
  <c r="J63" i="24"/>
  <c r="A64" i="24"/>
  <c r="B64" i="24"/>
  <c r="C64" i="24"/>
  <c r="D64" i="24"/>
  <c r="E64" i="24"/>
  <c r="F64" i="24"/>
  <c r="G64" i="24"/>
  <c r="H64" i="24"/>
  <c r="I64" i="24"/>
  <c r="J64" i="24"/>
  <c r="A65" i="24"/>
  <c r="B65" i="24"/>
  <c r="C65" i="24"/>
  <c r="D65" i="24"/>
  <c r="E65" i="24"/>
  <c r="F65" i="24"/>
  <c r="G65" i="24"/>
  <c r="H65" i="24"/>
  <c r="I65" i="24"/>
  <c r="J65" i="24"/>
  <c r="A66" i="24"/>
  <c r="B66" i="24"/>
  <c r="C66" i="24"/>
  <c r="D66" i="24"/>
  <c r="E66" i="24"/>
  <c r="F66" i="24"/>
  <c r="G66" i="24"/>
  <c r="H66" i="24"/>
  <c r="I66" i="24"/>
  <c r="J66" i="24"/>
  <c r="B67" i="24"/>
  <c r="F67" i="24"/>
  <c r="I67" i="24"/>
  <c r="A68" i="24"/>
  <c r="E68" i="24"/>
  <c r="G68" i="24"/>
  <c r="A69" i="24"/>
  <c r="C69" i="24"/>
  <c r="G69" i="24"/>
  <c r="I69" i="24"/>
  <c r="A70" i="24"/>
  <c r="E70" i="24"/>
  <c r="H70" i="24"/>
  <c r="C71" i="24"/>
  <c r="F71" i="24"/>
  <c r="J71" i="24"/>
  <c r="D72" i="24"/>
  <c r="H72" i="24"/>
  <c r="A73" i="24"/>
  <c r="F73" i="24"/>
  <c r="I73" i="24"/>
  <c r="C74" i="24"/>
  <c r="G74" i="24"/>
  <c r="B75" i="24"/>
  <c r="E75" i="24"/>
  <c r="I75" i="24"/>
  <c r="C76" i="24"/>
  <c r="G76" i="24"/>
  <c r="J76" i="24"/>
  <c r="D77" i="24"/>
  <c r="G77" i="24"/>
  <c r="B78" i="24"/>
  <c r="E78" i="24"/>
  <c r="J78" i="24"/>
  <c r="C79" i="24"/>
  <c r="G79" i="24"/>
  <c r="A80" i="24"/>
  <c r="E80" i="24"/>
  <c r="I80" i="24"/>
  <c r="C81" i="24"/>
  <c r="G81" i="24"/>
  <c r="B82" i="24"/>
  <c r="F82" i="24"/>
  <c r="J82" i="24"/>
  <c r="D83" i="24"/>
  <c r="H83" i="24"/>
  <c r="B84" i="24"/>
  <c r="G84" i="24"/>
  <c r="A85" i="24"/>
  <c r="D85" i="24"/>
  <c r="H85" i="24"/>
  <c r="C86" i="24"/>
  <c r="G86" i="24"/>
  <c r="A87" i="24"/>
  <c r="F87" i="24"/>
  <c r="A88" i="24"/>
  <c r="D88" i="24"/>
  <c r="I88" i="24"/>
  <c r="B89" i="24"/>
  <c r="H89" i="24"/>
  <c r="A90" i="24"/>
  <c r="C90" i="24"/>
  <c r="A91" i="24"/>
  <c r="E91" i="24"/>
  <c r="I91" i="24"/>
  <c r="D92" i="24"/>
  <c r="G92" i="24"/>
  <c r="J92" i="24"/>
  <c r="F93" i="24"/>
  <c r="I93" i="24"/>
  <c r="B94" i="24"/>
  <c r="G94" i="24"/>
  <c r="J94" i="24"/>
  <c r="D95" i="24"/>
  <c r="F95" i="24"/>
  <c r="H95" i="24"/>
  <c r="J95" i="24"/>
  <c r="A96" i="24"/>
  <c r="C96" i="24"/>
  <c r="D96" i="24"/>
  <c r="E96" i="24"/>
  <c r="F96" i="24"/>
  <c r="G96" i="24"/>
  <c r="H96" i="24"/>
  <c r="I96" i="24"/>
  <c r="J96" i="24"/>
  <c r="A97" i="24"/>
  <c r="B97" i="24"/>
  <c r="C97" i="24"/>
  <c r="D97" i="24"/>
  <c r="E97" i="24"/>
  <c r="F97" i="24"/>
  <c r="G97" i="24"/>
  <c r="H97" i="24"/>
  <c r="I97" i="24"/>
  <c r="J97" i="24"/>
  <c r="A98" i="24"/>
  <c r="B98" i="24"/>
  <c r="C98" i="24"/>
  <c r="D98" i="24"/>
  <c r="E98" i="24"/>
  <c r="F98" i="24"/>
  <c r="G98" i="24"/>
  <c r="H98" i="24"/>
  <c r="I98" i="24"/>
  <c r="J98" i="24"/>
  <c r="A99" i="24"/>
  <c r="B99" i="24"/>
  <c r="C99" i="24"/>
  <c r="D99" i="24"/>
  <c r="E99" i="24"/>
  <c r="F99" i="24"/>
  <c r="G99" i="24"/>
  <c r="H99" i="24"/>
  <c r="I99" i="24"/>
  <c r="J99" i="24"/>
  <c r="A100" i="24"/>
  <c r="B100" i="24"/>
  <c r="C100" i="24"/>
  <c r="D100" i="24"/>
  <c r="E100" i="24"/>
  <c r="F100" i="24"/>
  <c r="G100" i="24"/>
  <c r="H100" i="24"/>
  <c r="I100" i="24"/>
  <c r="J100" i="24"/>
  <c r="A101" i="24"/>
  <c r="B101" i="24"/>
  <c r="C101" i="24"/>
  <c r="D101" i="24"/>
  <c r="E101" i="24"/>
  <c r="F101" i="24"/>
  <c r="G101" i="24"/>
  <c r="H101" i="24"/>
  <c r="I101" i="24"/>
  <c r="J101" i="24"/>
  <c r="A102" i="24"/>
  <c r="B102" i="24"/>
  <c r="C102" i="24"/>
  <c r="D102" i="24"/>
  <c r="E102" i="24"/>
  <c r="F102" i="24"/>
  <c r="G102" i="24"/>
  <c r="H102" i="24"/>
  <c r="I102" i="24"/>
  <c r="J102" i="24"/>
  <c r="A103" i="24"/>
  <c r="B103" i="24"/>
  <c r="C103" i="24"/>
  <c r="D103" i="24"/>
  <c r="E103" i="24"/>
  <c r="F103" i="24"/>
  <c r="G103" i="24"/>
  <c r="H103" i="24"/>
  <c r="I103" i="24"/>
  <c r="J103" i="24"/>
  <c r="Q170" i="21"/>
  <c r="BM170" i="21"/>
  <c r="BO170" i="21" s="1"/>
  <c r="BQ170" i="21" s="1"/>
  <c r="CD170" i="21"/>
  <c r="CF170" i="21"/>
  <c r="CH170" i="21"/>
  <c r="H70" i="26"/>
  <c r="CD171" i="21"/>
  <c r="CF171" i="21"/>
  <c r="CH171" i="21"/>
  <c r="CH174" i="21"/>
  <c r="CD174" i="21"/>
  <c r="CF174" i="21"/>
  <c r="D70" i="26"/>
  <c r="B6" i="18"/>
  <c r="B150" i="21"/>
  <c r="A150" i="21" s="1"/>
  <c r="B152" i="21"/>
  <c r="A152" i="21" s="1"/>
  <c r="B151" i="21"/>
  <c r="A151" i="21" s="1"/>
  <c r="B7" i="18"/>
  <c r="K70" i="26"/>
  <c r="J170" i="21"/>
  <c r="M170" i="21"/>
  <c r="S170" i="21"/>
  <c r="BU170" i="21"/>
  <c r="BW170" i="21" s="1"/>
  <c r="BY170" i="21" s="1"/>
  <c r="P70" i="26"/>
  <c r="Z6" i="26"/>
  <c r="B10" i="26"/>
  <c r="D10" i="21"/>
  <c r="E10" i="21" s="1"/>
  <c r="B18" i="21"/>
  <c r="AH2" i="26"/>
  <c r="G21" i="26"/>
  <c r="Z2" i="21"/>
  <c r="AG6" i="21"/>
  <c r="C17" i="21"/>
  <c r="AC18" i="21"/>
  <c r="AE18" i="21"/>
  <c r="AF18" i="21"/>
  <c r="AA2" i="21"/>
  <c r="S2" i="21"/>
  <c r="C16" i="21"/>
  <c r="B21" i="26"/>
  <c r="AH1" i="26"/>
  <c r="R2" i="21"/>
  <c r="AD1" i="26"/>
  <c r="AA1" i="26"/>
  <c r="B56" i="21"/>
  <c r="B57" i="21"/>
  <c r="AE3" i="26"/>
  <c r="K22" i="26"/>
  <c r="D9" i="21"/>
  <c r="E9" i="21" s="1"/>
  <c r="BG175" i="21"/>
  <c r="CI175" i="21" s="1"/>
  <c r="T176" i="21"/>
  <c r="BH175" i="21" s="1"/>
  <c r="BE36" i="21"/>
  <c r="AZ37" i="21"/>
  <c r="BH36" i="21" s="1"/>
  <c r="P75" i="26"/>
  <c r="BU175" i="21"/>
  <c r="BW175" i="21" s="1"/>
  <c r="BY175" i="21" s="1"/>
  <c r="S175" i="21"/>
  <c r="M175" i="21"/>
  <c r="H76" i="26"/>
  <c r="CH176" i="21"/>
  <c r="CF176" i="21"/>
  <c r="CD176" i="21"/>
  <c r="BM176" i="21"/>
  <c r="BO176" i="21" s="1"/>
  <c r="BQ176" i="21" s="1"/>
  <c r="Q176" i="21"/>
  <c r="BD35" i="21"/>
  <c r="AY36" i="21"/>
  <c r="BG35" i="21" s="1"/>
  <c r="G75" i="26"/>
  <c r="CG175" i="21"/>
  <c r="CE175" i="21"/>
  <c r="CC175" i="21"/>
  <c r="BL175" i="21"/>
  <c r="BN175" i="21" s="1"/>
  <c r="BP175" i="21" s="1"/>
  <c r="BK175" i="21"/>
  <c r="P175" i="21"/>
  <c r="BD34" i="21"/>
  <c r="AY35" i="21"/>
  <c r="BG34" i="21" s="1"/>
  <c r="BD31" i="21"/>
  <c r="AY31" i="21"/>
  <c r="BG31" i="21" s="1"/>
  <c r="BD33" i="21"/>
  <c r="AY34" i="21"/>
  <c r="BG33" i="21" s="1"/>
  <c r="B8" i="18"/>
  <c r="BB38" i="21"/>
  <c r="BE31" i="21"/>
  <c r="AZ31" i="21"/>
  <c r="BH31" i="21" s="1"/>
  <c r="F70" i="26"/>
  <c r="C58" i="21"/>
  <c r="D74" i="26"/>
  <c r="B58" i="21"/>
  <c r="B59" i="21"/>
  <c r="CE176" i="21"/>
  <c r="CD175" i="21"/>
  <c r="CF175" i="21"/>
  <c r="CH175" i="21"/>
  <c r="CC176" i="21"/>
  <c r="CG176" i="21"/>
  <c r="AB19" i="21" l="1"/>
  <c r="AD19" i="21"/>
  <c r="AF19" i="21"/>
  <c r="AD20" i="21"/>
  <c r="AF20" i="21"/>
  <c r="AB23" i="21"/>
  <c r="AC23" i="21"/>
  <c r="AD23" i="21"/>
  <c r="AE23" i="21"/>
  <c r="AF23" i="21"/>
  <c r="AD24" i="21"/>
  <c r="AB25" i="21"/>
  <c r="AC25" i="21"/>
  <c r="AD25" i="21"/>
  <c r="AG27" i="21"/>
  <c r="AE25" i="21"/>
  <c r="AF25" i="21"/>
  <c r="AB26" i="21"/>
  <c r="AC26" i="21"/>
  <c r="AD26" i="21"/>
  <c r="AE26" i="21"/>
  <c r="AF26" i="21"/>
  <c r="AB27" i="21"/>
  <c r="AC27" i="21"/>
  <c r="AD27" i="21"/>
  <c r="AE27" i="21"/>
  <c r="AF27" i="21"/>
  <c r="AB5" i="21"/>
  <c r="AC1" i="26"/>
  <c r="AB1" i="26"/>
  <c r="V16" i="21"/>
  <c r="W16" i="21"/>
  <c r="X16" i="21"/>
  <c r="T17" i="21"/>
  <c r="V17" i="21"/>
  <c r="W17" i="21"/>
  <c r="T18" i="21"/>
  <c r="V18" i="21"/>
  <c r="W18" i="21"/>
  <c r="U19" i="21"/>
  <c r="V19" i="21"/>
  <c r="X19" i="21"/>
  <c r="U20" i="21"/>
  <c r="V20" i="21"/>
  <c r="U21" i="21"/>
  <c r="V21" i="21"/>
  <c r="X21" i="21"/>
  <c r="T22" i="21"/>
  <c r="Y27" i="21"/>
  <c r="Y6" i="21"/>
  <c r="Y7" i="21"/>
  <c r="Y10" i="21"/>
  <c r="Y11" i="21"/>
  <c r="Y12" i="21"/>
  <c r="Y13" i="21"/>
  <c r="Y14" i="21"/>
  <c r="Y16" i="21"/>
  <c r="Y21" i="21"/>
  <c r="U22" i="21"/>
  <c r="V22" i="21"/>
  <c r="W22" i="21"/>
  <c r="X22" i="21"/>
  <c r="T24" i="21"/>
  <c r="U24" i="21"/>
  <c r="V24" i="21"/>
  <c r="W24" i="21"/>
  <c r="X24" i="21"/>
  <c r="W28" i="21"/>
  <c r="X28" i="21"/>
  <c r="T29" i="21"/>
  <c r="U29" i="21"/>
  <c r="V29" i="21"/>
  <c r="W29" i="21"/>
  <c r="X29" i="21"/>
  <c r="Y22" i="21"/>
  <c r="Y24" i="21"/>
  <c r="Y28" i="21"/>
  <c r="Y29" i="21"/>
  <c r="AG10" i="21"/>
  <c r="AG7" i="21"/>
  <c r="AG13" i="21"/>
  <c r="AG9" i="21"/>
  <c r="AB17" i="21"/>
  <c r="AD17" i="21"/>
  <c r="AD5" i="21"/>
  <c r="AE5" i="21"/>
  <c r="AF5" i="21"/>
  <c r="AB6" i="21"/>
  <c r="AC6" i="21"/>
  <c r="AC9" i="21"/>
  <c r="AC7" i="21"/>
  <c r="AD7" i="21"/>
  <c r="AE7" i="21"/>
  <c r="AF7" i="21"/>
  <c r="AB8" i="21"/>
  <c r="AD8" i="21"/>
  <c r="AF8" i="21"/>
  <c r="AE9" i="21"/>
  <c r="AF9" i="21"/>
  <c r="AB10" i="21"/>
  <c r="AC10" i="21"/>
  <c r="AD10" i="21"/>
  <c r="AE10" i="21"/>
  <c r="AF10" i="21"/>
  <c r="AB11" i="21"/>
  <c r="AC11" i="21"/>
  <c r="AD11" i="21"/>
  <c r="AE11" i="21"/>
  <c r="AB12" i="21"/>
  <c r="AC12" i="21"/>
  <c r="AE12" i="21"/>
  <c r="AB13" i="21"/>
  <c r="AC13" i="21"/>
  <c r="AD13" i="21"/>
  <c r="AE13" i="21"/>
  <c r="AF13" i="21"/>
  <c r="AB14" i="21"/>
  <c r="AC14" i="21"/>
  <c r="AD14" i="21"/>
  <c r="AE14" i="21"/>
  <c r="AC15" i="21"/>
  <c r="AD15" i="21"/>
  <c r="AF15" i="21"/>
  <c r="AB16" i="21"/>
  <c r="AD16" i="21"/>
  <c r="AB7" i="21"/>
  <c r="T30" i="21"/>
  <c r="U30" i="21"/>
  <c r="V30" i="21"/>
  <c r="W30" i="21"/>
  <c r="X30" i="21"/>
  <c r="T31" i="21"/>
  <c r="U31" i="21"/>
  <c r="V31" i="21"/>
  <c r="W31" i="21"/>
  <c r="X31" i="21"/>
  <c r="T32" i="21"/>
  <c r="U32" i="21"/>
  <c r="V32" i="21"/>
  <c r="W32" i="21"/>
  <c r="X32" i="21"/>
  <c r="T33" i="21"/>
  <c r="U33" i="21"/>
  <c r="V33" i="21"/>
  <c r="W33" i="21"/>
  <c r="X33" i="21"/>
  <c r="T34" i="21"/>
  <c r="U34" i="21"/>
  <c r="Y30" i="21"/>
  <c r="Y31" i="21"/>
  <c r="Y32" i="21"/>
  <c r="Y33" i="21"/>
  <c r="E9" i="26"/>
  <c r="G9" i="26"/>
  <c r="R175" i="21"/>
  <c r="BS175" i="21"/>
  <c r="BT175" i="21"/>
  <c r="BV175" i="21" s="1"/>
  <c r="BX175" i="21" s="1"/>
  <c r="N75" i="26"/>
  <c r="R174" i="21"/>
  <c r="BS174" i="21"/>
  <c r="BT174" i="21"/>
  <c r="BV174" i="21" s="1"/>
  <c r="BX174" i="21" s="1"/>
  <c r="N74" i="26"/>
  <c r="BS173" i="21"/>
  <c r="BT173" i="21"/>
  <c r="BV173" i="21" s="1"/>
  <c r="BX173" i="21" s="1"/>
  <c r="R173" i="21"/>
  <c r="N73" i="26"/>
  <c r="BS171" i="21"/>
  <c r="R171" i="21"/>
  <c r="BT171" i="21"/>
  <c r="BV171" i="21" s="1"/>
  <c r="BX171" i="21" s="1"/>
  <c r="N71" i="26"/>
  <c r="N72" i="26"/>
  <c r="R172" i="21"/>
  <c r="BS172" i="21"/>
  <c r="BT172" i="21"/>
  <c r="BV172" i="21" s="1"/>
  <c r="BX172" i="21" s="1"/>
  <c r="BT170" i="21"/>
  <c r="BV170" i="21" s="1"/>
  <c r="BX170" i="21" s="1"/>
  <c r="R170" i="21"/>
  <c r="BS170" i="21"/>
  <c r="N70" i="26"/>
  <c r="T170" i="21"/>
  <c r="BH170" i="21" s="1"/>
  <c r="BG170" i="21"/>
  <c r="CI170" i="21" s="1"/>
  <c r="C18" i="21"/>
  <c r="AL18" i="21" s="1"/>
  <c r="AM18" i="21"/>
  <c r="AH2" i="21"/>
  <c r="K21" i="26"/>
  <c r="AH3" i="26"/>
  <c r="AI2" i="21"/>
  <c r="D56" i="21"/>
  <c r="E56" i="21" s="1"/>
  <c r="E7" i="26"/>
  <c r="D57" i="21"/>
  <c r="E57" i="21" s="1"/>
  <c r="G7" i="26"/>
  <c r="AD3" i="26"/>
  <c r="AA3" i="26"/>
  <c r="T175" i="21"/>
  <c r="BH174" i="21" s="1"/>
  <c r="BG174" i="21"/>
  <c r="CI174" i="21" s="1"/>
  <c r="I9" i="26"/>
  <c r="I7" i="26"/>
  <c r="D58" i="21"/>
  <c r="E58" i="21" s="1"/>
  <c r="K7" i="26"/>
  <c r="D59" i="21"/>
  <c r="AG22" i="21"/>
  <c r="AG64" i="21"/>
  <c r="AG82" i="21"/>
  <c r="AG39" i="21"/>
  <c r="AG49" i="21"/>
  <c r="AG24" i="21"/>
  <c r="AG70" i="21"/>
  <c r="AG89" i="21"/>
  <c r="AG75" i="21"/>
  <c r="AG58" i="21"/>
  <c r="AG40" i="21"/>
  <c r="AG28" i="21"/>
  <c r="AG79" i="21"/>
  <c r="AG50" i="21"/>
  <c r="AG65" i="21"/>
  <c r="AG85" i="21"/>
  <c r="AG92" i="21"/>
  <c r="AG29" i="21"/>
  <c r="AG41" i="21"/>
  <c r="AG71" i="21"/>
  <c r="AG5" i="21"/>
  <c r="AG59" i="21"/>
  <c r="AG51" i="21"/>
  <c r="AG30" i="21"/>
  <c r="AG94" i="21"/>
  <c r="AG91" i="21"/>
  <c r="AG66" i="21"/>
  <c r="AG42" i="21"/>
  <c r="AG76" i="21"/>
  <c r="AG31" i="21"/>
  <c r="AG83" i="21"/>
  <c r="AG52" i="21"/>
  <c r="AG60" i="21"/>
  <c r="AG80" i="21"/>
  <c r="AG43" i="21"/>
  <c r="AG32" i="21"/>
  <c r="AG72" i="21"/>
  <c r="AG96" i="21"/>
  <c r="AG67" i="21"/>
  <c r="AG53" i="21"/>
  <c r="AG88" i="21"/>
  <c r="AG33" i="21"/>
  <c r="AG44" i="21"/>
  <c r="AG61" i="21"/>
  <c r="AG86" i="21"/>
  <c r="AG77" i="21"/>
  <c r="AG95" i="21"/>
  <c r="AG34" i="21"/>
  <c r="AG54" i="21"/>
  <c r="AG45" i="21"/>
  <c r="AG99" i="21"/>
  <c r="AG73" i="21"/>
  <c r="AG68" i="21"/>
  <c r="AG35" i="21"/>
  <c r="AG62" i="21"/>
  <c r="AG97" i="21"/>
  <c r="AG21" i="21"/>
  <c r="AG48" i="21"/>
  <c r="AG38" i="21"/>
  <c r="AG93" i="21"/>
  <c r="AG87" i="21"/>
  <c r="AG105" i="21"/>
  <c r="AG104" i="21"/>
  <c r="AG103" i="21"/>
  <c r="AG102" i="21"/>
  <c r="AG101" i="21"/>
  <c r="AG100" i="21"/>
  <c r="AG57" i="21"/>
  <c r="AG90" i="21"/>
  <c r="AG46" i="21"/>
  <c r="AG55" i="21"/>
  <c r="AG81" i="21"/>
  <c r="AG36" i="21"/>
  <c r="AG84" i="21"/>
  <c r="AG98" i="21"/>
  <c r="AG78" i="21"/>
  <c r="AG47" i="21"/>
  <c r="AG63" i="21"/>
  <c r="AG37" i="21"/>
  <c r="AG56" i="21"/>
  <c r="AG69" i="21"/>
  <c r="AG74" i="21"/>
  <c r="AC33" i="21"/>
  <c r="AB97" i="21"/>
  <c r="AC97" i="21"/>
  <c r="AD97" i="21"/>
  <c r="AE97" i="21"/>
  <c r="AF97" i="21"/>
  <c r="AB98" i="21"/>
  <c r="AC98" i="21"/>
  <c r="AD98" i="21"/>
  <c r="AE98" i="21"/>
  <c r="AF98" i="21"/>
  <c r="AB99" i="21"/>
  <c r="AC99" i="21"/>
  <c r="AD99" i="21"/>
  <c r="AE99" i="21"/>
  <c r="AF99" i="21"/>
  <c r="AB100" i="21"/>
  <c r="AC100" i="21"/>
  <c r="AD100" i="21"/>
  <c r="AE100" i="21"/>
  <c r="AF100" i="21"/>
  <c r="AB101" i="21"/>
  <c r="AC101" i="21"/>
  <c r="AD101" i="21"/>
  <c r="AE101" i="21"/>
  <c r="AF101" i="21"/>
  <c r="AB102" i="21"/>
  <c r="AC102" i="21"/>
  <c r="AD102" i="21"/>
  <c r="AE102" i="21"/>
  <c r="AF102" i="21"/>
  <c r="AB103" i="21"/>
  <c r="AC103" i="21"/>
  <c r="AD103" i="21"/>
  <c r="AE103" i="21"/>
  <c r="AF103" i="21"/>
  <c r="AB104" i="21"/>
  <c r="AC104" i="21"/>
  <c r="AD104" i="21"/>
  <c r="AE104" i="21"/>
  <c r="AF104" i="21"/>
  <c r="AB105" i="21"/>
  <c r="AC105" i="21"/>
  <c r="AD105" i="21"/>
  <c r="AE105" i="21"/>
  <c r="AF105" i="21"/>
  <c r="AD6" i="21"/>
  <c r="AE6" i="21"/>
  <c r="AF6" i="21"/>
  <c r="AC8" i="21"/>
  <c r="AE8" i="21"/>
  <c r="AB9" i="21"/>
  <c r="AD9" i="21"/>
  <c r="AF11" i="21"/>
  <c r="AD12" i="21"/>
  <c r="AF12" i="21"/>
  <c r="AF14" i="21"/>
  <c r="AB15" i="21"/>
  <c r="AE15" i="21"/>
  <c r="AC16" i="21"/>
  <c r="AE16" i="21"/>
  <c r="AF16" i="21"/>
  <c r="AC17" i="21"/>
  <c r="AE17" i="21"/>
  <c r="AF17" i="21"/>
  <c r="AB18" i="21"/>
  <c r="AD18" i="21"/>
  <c r="AC19" i="21"/>
  <c r="AE19" i="21"/>
  <c r="AB20" i="21"/>
  <c r="AC20" i="21"/>
  <c r="AE20" i="21"/>
  <c r="AB21" i="21"/>
  <c r="AC21" i="21"/>
  <c r="AD21" i="21"/>
  <c r="AE21" i="21"/>
  <c r="AF21" i="21"/>
  <c r="AB22" i="21"/>
  <c r="AC22" i="21"/>
  <c r="AD22" i="21"/>
  <c r="AE22" i="21"/>
  <c r="AF22" i="21"/>
  <c r="AB24" i="21"/>
  <c r="AC24" i="21"/>
  <c r="AE24" i="21"/>
  <c r="AF24" i="21"/>
  <c r="AB28" i="21"/>
  <c r="AC28" i="21"/>
  <c r="AD28" i="21"/>
  <c r="AE28" i="21"/>
  <c r="AF28" i="21"/>
  <c r="AB29" i="21"/>
  <c r="AC29" i="21"/>
  <c r="AD29" i="21"/>
  <c r="AE29" i="21"/>
  <c r="AF29" i="21"/>
  <c r="AB30" i="21"/>
  <c r="AC30" i="21"/>
  <c r="AD30" i="21"/>
  <c r="AE30" i="21"/>
  <c r="AF30" i="21"/>
  <c r="AB31" i="21"/>
  <c r="AC31" i="21"/>
  <c r="AD31" i="21"/>
  <c r="AE31" i="21"/>
  <c r="AF31" i="21"/>
  <c r="AB32" i="21"/>
  <c r="AC32" i="21"/>
  <c r="AD32" i="21"/>
  <c r="AE32" i="21"/>
  <c r="AF32" i="21"/>
  <c r="AB33" i="21"/>
  <c r="AB55" i="21"/>
  <c r="AD33" i="21"/>
  <c r="AE33" i="21"/>
  <c r="AF33" i="21"/>
  <c r="AB34" i="21"/>
  <c r="AC34" i="21"/>
  <c r="AD34" i="21"/>
  <c r="AE34" i="21"/>
  <c r="AF34" i="21"/>
  <c r="AB35" i="21"/>
  <c r="AC35" i="21"/>
  <c r="AD35" i="21"/>
  <c r="AE35" i="21"/>
  <c r="AF35" i="21"/>
  <c r="AB36" i="21"/>
  <c r="AC36" i="21"/>
  <c r="AD36" i="21"/>
  <c r="AE36" i="21"/>
  <c r="AF36" i="21"/>
  <c r="AB37" i="21"/>
  <c r="AC37" i="21"/>
  <c r="AD37" i="21"/>
  <c r="AE37" i="21"/>
  <c r="AF37" i="21"/>
  <c r="AB38" i="21"/>
  <c r="AC38" i="21"/>
  <c r="AD38" i="21"/>
  <c r="AE38" i="21"/>
  <c r="AF38" i="21"/>
  <c r="AB39" i="21"/>
  <c r="AC39" i="21"/>
  <c r="AD39" i="21"/>
  <c r="AE39" i="21"/>
  <c r="AF39" i="21"/>
  <c r="AB40" i="21"/>
  <c r="AC40" i="21"/>
  <c r="AD40" i="21"/>
  <c r="AE40" i="21"/>
  <c r="AF40" i="21"/>
  <c r="AB41" i="21"/>
  <c r="AC41" i="21"/>
  <c r="AD41" i="21"/>
  <c r="AE41" i="21"/>
  <c r="AF41" i="21"/>
  <c r="AC5" i="21"/>
  <c r="AB42" i="21"/>
  <c r="AC42" i="21"/>
  <c r="AD42" i="21"/>
  <c r="AE42" i="21"/>
  <c r="AF42" i="21"/>
  <c r="AB43" i="21"/>
  <c r="AC43" i="21"/>
  <c r="AD43" i="21"/>
  <c r="AE43" i="21"/>
  <c r="AF43" i="21"/>
  <c r="AB44" i="21"/>
  <c r="AC44" i="21"/>
  <c r="AD44" i="21"/>
  <c r="AE44" i="21"/>
  <c r="AF44" i="21"/>
  <c r="AB45" i="21"/>
  <c r="AC45" i="21"/>
  <c r="AD45" i="21"/>
  <c r="AE45" i="21"/>
  <c r="AF45" i="21"/>
  <c r="AB46" i="21"/>
  <c r="AC46" i="21"/>
  <c r="AD46" i="21"/>
  <c r="AE46" i="21"/>
  <c r="AF46" i="21"/>
  <c r="AB47" i="21"/>
  <c r="AC47" i="21"/>
  <c r="AD47" i="21"/>
  <c r="AE47" i="21"/>
  <c r="AF47" i="21"/>
  <c r="AB48" i="21"/>
  <c r="AC48" i="21"/>
  <c r="AD48" i="21"/>
  <c r="AE48" i="21"/>
  <c r="AF48" i="21"/>
  <c r="AB49" i="21"/>
  <c r="AC49" i="21"/>
  <c r="AD49" i="21"/>
  <c r="AE49" i="21"/>
  <c r="AF49" i="21"/>
  <c r="AB50" i="21"/>
  <c r="AC50" i="21"/>
  <c r="AD50" i="21"/>
  <c r="AE50" i="21"/>
  <c r="AF50" i="21"/>
  <c r="AB51" i="21"/>
  <c r="AC51" i="21"/>
  <c r="AD51" i="21"/>
  <c r="AE51" i="21"/>
  <c r="AF51" i="21"/>
  <c r="AB52" i="21"/>
  <c r="AC52" i="21"/>
  <c r="AD52" i="21"/>
  <c r="AE52" i="21"/>
  <c r="AF52" i="21"/>
  <c r="AB53" i="21"/>
  <c r="AC53" i="21"/>
  <c r="AD53" i="21"/>
  <c r="AE53" i="21"/>
  <c r="AF53" i="21"/>
  <c r="AB54" i="21"/>
  <c r="AC54" i="21"/>
  <c r="AD54" i="21"/>
  <c r="AE54" i="21"/>
  <c r="AF54" i="21"/>
  <c r="AC55" i="21"/>
  <c r="AD55" i="21"/>
  <c r="AE55" i="21"/>
  <c r="AF55" i="21"/>
  <c r="AB56" i="21"/>
  <c r="AC56" i="21"/>
  <c r="AD56" i="21"/>
  <c r="AE56" i="21"/>
  <c r="AF56" i="21"/>
  <c r="AB57" i="21"/>
  <c r="AC57" i="21"/>
  <c r="AD57" i="21"/>
  <c r="AE57" i="21"/>
  <c r="AF57" i="21"/>
  <c r="AB58" i="21"/>
  <c r="AC58" i="21"/>
  <c r="AD58" i="21"/>
  <c r="AE58" i="21"/>
  <c r="AF58" i="21"/>
  <c r="AB59" i="21"/>
  <c r="AC59" i="21"/>
  <c r="AD59" i="21"/>
  <c r="AE59" i="21"/>
  <c r="AF59" i="21"/>
  <c r="AB60" i="21"/>
  <c r="AC60" i="21"/>
  <c r="AD60" i="21"/>
  <c r="AE60" i="21"/>
  <c r="AF60" i="21"/>
  <c r="AB61" i="21"/>
  <c r="AC61" i="21"/>
  <c r="AD61" i="21"/>
  <c r="AE61" i="21"/>
  <c r="AF61" i="21"/>
  <c r="AB62" i="21"/>
  <c r="AC62" i="21"/>
  <c r="AD62" i="21"/>
  <c r="AE62" i="21"/>
  <c r="AF62" i="21"/>
  <c r="AB63" i="21"/>
  <c r="AC63" i="21"/>
  <c r="AD63" i="21"/>
  <c r="AE63" i="21"/>
  <c r="AF63" i="21"/>
  <c r="AB64" i="21"/>
  <c r="AC64" i="21"/>
  <c r="AD64" i="21"/>
  <c r="AE64" i="21"/>
  <c r="AF64" i="21"/>
  <c r="AB65" i="21"/>
  <c r="AC65" i="21"/>
  <c r="AD65" i="21"/>
  <c r="AE65" i="21"/>
  <c r="AF65" i="21"/>
  <c r="AB66" i="21"/>
  <c r="AC66" i="21"/>
  <c r="AD66" i="21"/>
  <c r="AE66" i="21"/>
  <c r="AF66" i="21"/>
  <c r="AB67" i="21"/>
  <c r="AC67" i="21"/>
  <c r="AD67" i="21"/>
  <c r="AE67" i="21"/>
  <c r="AF67" i="21"/>
  <c r="AB68" i="21"/>
  <c r="AC68" i="21"/>
  <c r="AD68" i="21"/>
  <c r="AE68" i="21"/>
  <c r="AF68" i="21"/>
  <c r="AB69" i="21"/>
  <c r="AC69" i="21"/>
  <c r="AD69" i="21"/>
  <c r="AE69" i="21"/>
  <c r="AF69" i="21"/>
  <c r="AB70" i="21"/>
  <c r="AC70" i="21"/>
  <c r="AD70" i="21"/>
  <c r="AE70" i="21"/>
  <c r="AF70" i="21"/>
  <c r="AB71" i="21"/>
  <c r="AC71" i="21"/>
  <c r="AD71" i="21"/>
  <c r="AE71" i="21"/>
  <c r="AF71" i="21"/>
  <c r="AB72" i="21"/>
  <c r="AC72" i="21"/>
  <c r="AD72" i="21"/>
  <c r="AE72" i="21"/>
  <c r="AF72" i="21"/>
  <c r="AB73" i="21"/>
  <c r="AC73" i="21"/>
  <c r="AD73" i="21"/>
  <c r="AE73" i="21"/>
  <c r="AF73" i="21"/>
  <c r="AB74" i="21"/>
  <c r="AC74" i="21"/>
  <c r="AD74" i="21"/>
  <c r="AE74" i="21"/>
  <c r="AF74" i="21"/>
  <c r="AB75" i="21"/>
  <c r="AC75" i="21"/>
  <c r="AD75" i="21"/>
  <c r="AE75" i="21"/>
  <c r="AF75" i="21"/>
  <c r="AB76" i="21"/>
  <c r="AC76" i="21"/>
  <c r="AD76" i="21"/>
  <c r="AE76" i="21"/>
  <c r="AF76" i="21"/>
  <c r="AB77" i="21"/>
  <c r="AC77" i="21"/>
  <c r="AD77" i="21"/>
  <c r="AE77" i="21"/>
  <c r="AF77" i="21"/>
  <c r="AB78" i="21"/>
  <c r="AC78" i="21"/>
  <c r="AD78" i="21"/>
  <c r="AE78" i="21"/>
  <c r="AF78" i="21"/>
  <c r="AB79" i="21"/>
  <c r="AC79" i="21"/>
  <c r="AD79" i="21"/>
  <c r="AE79" i="21"/>
  <c r="AF79" i="21"/>
  <c r="AB80" i="21"/>
  <c r="AC80" i="21"/>
  <c r="AD80" i="21"/>
  <c r="AE80" i="21"/>
  <c r="AF80" i="21"/>
  <c r="AB81" i="21"/>
  <c r="AC81" i="21"/>
  <c r="AD81" i="21"/>
  <c r="AE81" i="21"/>
  <c r="AF81" i="21"/>
  <c r="AB82" i="21"/>
  <c r="AC82" i="21"/>
  <c r="AD82" i="21"/>
  <c r="AE82" i="21"/>
  <c r="AF82" i="21"/>
  <c r="AB83" i="21"/>
  <c r="AC83" i="21"/>
  <c r="AD83" i="21"/>
  <c r="AE83" i="21"/>
  <c r="AF83" i="21"/>
  <c r="AB84" i="21"/>
  <c r="AC84" i="21"/>
  <c r="AD84" i="21"/>
  <c r="AE84" i="21"/>
  <c r="AF84" i="21"/>
  <c r="AB85" i="21"/>
  <c r="AC85" i="21"/>
  <c r="AD85" i="21"/>
  <c r="AE85" i="21"/>
  <c r="AF85" i="21"/>
  <c r="AB86" i="21"/>
  <c r="AC86" i="21"/>
  <c r="AD86" i="21"/>
  <c r="AE86" i="21"/>
  <c r="AF86" i="21"/>
  <c r="AB87" i="21"/>
  <c r="AC87" i="21"/>
  <c r="AD87" i="21"/>
  <c r="AE87" i="21"/>
  <c r="AF87" i="21"/>
  <c r="AB88" i="21"/>
  <c r="AC88" i="21"/>
  <c r="AD88" i="21"/>
  <c r="AE88" i="21"/>
  <c r="AF88" i="21"/>
  <c r="AB89" i="21"/>
  <c r="AC89" i="21"/>
  <c r="AD89" i="21"/>
  <c r="AE89" i="21"/>
  <c r="AF89" i="21"/>
  <c r="AB90" i="21"/>
  <c r="AC90" i="21"/>
  <c r="AD90" i="21"/>
  <c r="AE90" i="21"/>
  <c r="AF90" i="21"/>
  <c r="AB91" i="21"/>
  <c r="AC91" i="21"/>
  <c r="AD91" i="21"/>
  <c r="AE91" i="21"/>
  <c r="AF91" i="21"/>
  <c r="AB92" i="21"/>
  <c r="AC92" i="21"/>
  <c r="AD92" i="21"/>
  <c r="AE92" i="21"/>
  <c r="AF92" i="21"/>
  <c r="AB93" i="21"/>
  <c r="AC93" i="21"/>
  <c r="AD93" i="21"/>
  <c r="AE93" i="21"/>
  <c r="AF93" i="21"/>
  <c r="AB94" i="21"/>
  <c r="AC94" i="21"/>
  <c r="AD94" i="21"/>
  <c r="AE94" i="21"/>
  <c r="AF94" i="21"/>
  <c r="AB95" i="21"/>
  <c r="AC95" i="21"/>
  <c r="AD95" i="21"/>
  <c r="AE95" i="21"/>
  <c r="AF95" i="21"/>
  <c r="AB96" i="21"/>
  <c r="AC96" i="21"/>
  <c r="AD96" i="21"/>
  <c r="AE96" i="21"/>
  <c r="AF96" i="21"/>
  <c r="AG8" i="21"/>
  <c r="AG20" i="21"/>
  <c r="AG11" i="21"/>
  <c r="AG23" i="21"/>
  <c r="AG25" i="21"/>
  <c r="AG12" i="21"/>
  <c r="AG26" i="21"/>
  <c r="AG14" i="21"/>
  <c r="AG15" i="21"/>
  <c r="AG16" i="21"/>
  <c r="AG17" i="21"/>
  <c r="AG18" i="21"/>
  <c r="AG19" i="21"/>
  <c r="Y23" i="21"/>
  <c r="Y26" i="21"/>
  <c r="Y19" i="21"/>
  <c r="Y17" i="21"/>
  <c r="Y20" i="21"/>
  <c r="Y18" i="21"/>
  <c r="Y15" i="21"/>
  <c r="Y25" i="21"/>
  <c r="U26" i="21"/>
  <c r="X26" i="21"/>
  <c r="U27" i="21"/>
  <c r="X27" i="21"/>
  <c r="V28" i="21"/>
  <c r="U5" i="21"/>
  <c r="U6" i="21"/>
  <c r="X6" i="21"/>
  <c r="U7" i="21"/>
  <c r="W7" i="21"/>
  <c r="X10" i="21"/>
  <c r="U11" i="21"/>
  <c r="W11" i="21"/>
  <c r="W13" i="21"/>
  <c r="V15" i="21"/>
  <c r="U17" i="21"/>
  <c r="T19" i="21"/>
  <c r="T20" i="21"/>
  <c r="T21" i="21"/>
  <c r="W21" i="21"/>
  <c r="U23" i="21"/>
  <c r="W23" i="21"/>
  <c r="T27" i="21"/>
  <c r="W27" i="21"/>
  <c r="T28" i="21"/>
  <c r="X5" i="21"/>
  <c r="T6" i="21"/>
  <c r="V6" i="21"/>
  <c r="T7" i="21"/>
  <c r="V7" i="21"/>
  <c r="X7" i="21"/>
  <c r="U8" i="21"/>
  <c r="W8" i="21"/>
  <c r="V9" i="21"/>
  <c r="T10" i="21"/>
  <c r="V10" i="21"/>
  <c r="X12" i="21"/>
  <c r="T13" i="21"/>
  <c r="V13" i="21"/>
  <c r="X13" i="21"/>
  <c r="T14" i="21"/>
  <c r="U14" i="21"/>
  <c r="V14" i="21"/>
  <c r="X14" i="21"/>
  <c r="T15" i="21"/>
  <c r="W15" i="21"/>
  <c r="T16" i="21"/>
  <c r="U16" i="21"/>
  <c r="X20" i="21"/>
  <c r="T23" i="21"/>
  <c r="V23" i="21"/>
  <c r="U25" i="21"/>
  <c r="W25" i="21"/>
  <c r="V27" i="21"/>
  <c r="U28" i="21"/>
  <c r="W6" i="21"/>
  <c r="V8" i="21"/>
  <c r="W14" i="21"/>
  <c r="X18" i="21"/>
  <c r="V12" i="21"/>
  <c r="W12" i="21"/>
  <c r="U12" i="21"/>
  <c r="X11" i="21"/>
  <c r="T12" i="21"/>
  <c r="X17" i="21"/>
  <c r="U18" i="21"/>
  <c r="W19" i="21"/>
  <c r="W20" i="21"/>
  <c r="X23" i="21"/>
  <c r="T25" i="21"/>
  <c r="V25" i="21"/>
  <c r="X25" i="21"/>
  <c r="T26" i="21"/>
  <c r="V26" i="21"/>
  <c r="W26" i="21"/>
  <c r="V34" i="21"/>
  <c r="W34" i="21"/>
  <c r="X34" i="21"/>
  <c r="X100" i="21"/>
  <c r="T35" i="21"/>
  <c r="U35" i="21"/>
  <c r="V35" i="21"/>
  <c r="W35" i="21"/>
  <c r="X35" i="21"/>
  <c r="T101" i="21"/>
  <c r="T36" i="21"/>
  <c r="U36" i="21"/>
  <c r="V36" i="21"/>
  <c r="W36" i="21"/>
  <c r="X36" i="21"/>
  <c r="U101" i="21"/>
  <c r="T37" i="21"/>
  <c r="U37" i="21"/>
  <c r="V37" i="21"/>
  <c r="W37" i="21"/>
  <c r="X37" i="21"/>
  <c r="V101" i="21"/>
  <c r="T38" i="21"/>
  <c r="U38" i="21"/>
  <c r="V38" i="21"/>
  <c r="W38" i="21"/>
  <c r="X38" i="21"/>
  <c r="W101" i="21"/>
  <c r="T39" i="21"/>
  <c r="U39" i="21"/>
  <c r="V39" i="21"/>
  <c r="W39" i="21"/>
  <c r="X39" i="21"/>
  <c r="X101" i="21"/>
  <c r="T40" i="21"/>
  <c r="U40" i="21"/>
  <c r="V40" i="21"/>
  <c r="W40" i="21"/>
  <c r="X40" i="21"/>
  <c r="T102" i="21"/>
  <c r="T41" i="21"/>
  <c r="U41" i="21"/>
  <c r="V41" i="21"/>
  <c r="W41" i="21"/>
  <c r="X41" i="21"/>
  <c r="U102" i="21"/>
  <c r="T5" i="21"/>
  <c r="W5" i="21"/>
  <c r="V102" i="21"/>
  <c r="T42" i="21"/>
  <c r="U42" i="21"/>
  <c r="V42" i="21"/>
  <c r="W42" i="21"/>
  <c r="X42" i="21"/>
  <c r="W102" i="21"/>
  <c r="T43" i="21"/>
  <c r="U43" i="21"/>
  <c r="V43" i="21"/>
  <c r="W43" i="21"/>
  <c r="X43" i="21"/>
  <c r="X102" i="21"/>
  <c r="T44" i="21"/>
  <c r="U44" i="21"/>
  <c r="V44" i="21"/>
  <c r="W44" i="21"/>
  <c r="X44" i="21"/>
  <c r="T103" i="21"/>
  <c r="T45" i="21"/>
  <c r="U45" i="21"/>
  <c r="V45" i="21"/>
  <c r="W45" i="21"/>
  <c r="X45" i="21"/>
  <c r="U103" i="21"/>
  <c r="T46" i="21"/>
  <c r="U46" i="21"/>
  <c r="V46" i="21"/>
  <c r="W46" i="21"/>
  <c r="X46" i="21"/>
  <c r="V103" i="21"/>
  <c r="T47" i="21"/>
  <c r="U47" i="21"/>
  <c r="V47" i="21"/>
  <c r="W47" i="21"/>
  <c r="X47" i="21"/>
  <c r="W103" i="21"/>
  <c r="T48" i="21"/>
  <c r="U48" i="21"/>
  <c r="V48" i="21"/>
  <c r="W48" i="21"/>
  <c r="X48" i="21"/>
  <c r="X103" i="21"/>
  <c r="T49" i="21"/>
  <c r="U49" i="21"/>
  <c r="V49" i="21"/>
  <c r="W49" i="21"/>
  <c r="X49" i="21"/>
  <c r="T104" i="21"/>
  <c r="T50" i="21"/>
  <c r="U50" i="21"/>
  <c r="V50" i="21"/>
  <c r="W50" i="21"/>
  <c r="X50" i="21"/>
  <c r="U104" i="21"/>
  <c r="T51" i="21"/>
  <c r="U51" i="21"/>
  <c r="V51" i="21"/>
  <c r="W51" i="21"/>
  <c r="X51" i="21"/>
  <c r="V104" i="21"/>
  <c r="T52" i="21"/>
  <c r="U52" i="21"/>
  <c r="V52" i="21"/>
  <c r="W52" i="21"/>
  <c r="X52" i="21"/>
  <c r="W104" i="21"/>
  <c r="T53" i="21"/>
  <c r="U53" i="21"/>
  <c r="V53" i="21"/>
  <c r="W53" i="21"/>
  <c r="X53" i="21"/>
  <c r="X104" i="21"/>
  <c r="T54" i="21"/>
  <c r="U54" i="21"/>
  <c r="V54" i="21"/>
  <c r="W54" i="21"/>
  <c r="X54" i="21"/>
  <c r="T105" i="21"/>
  <c r="T55" i="21"/>
  <c r="U55" i="21"/>
  <c r="V55" i="21"/>
  <c r="W55" i="21"/>
  <c r="X55" i="21"/>
  <c r="U105" i="21"/>
  <c r="T56" i="21"/>
  <c r="U56" i="21"/>
  <c r="V56" i="21"/>
  <c r="W56" i="21"/>
  <c r="X56" i="21"/>
  <c r="V105" i="21"/>
  <c r="T57" i="21"/>
  <c r="U57" i="21"/>
  <c r="V57" i="21"/>
  <c r="W57" i="21"/>
  <c r="X57" i="21"/>
  <c r="W105" i="21"/>
  <c r="T58" i="21"/>
  <c r="U58" i="21"/>
  <c r="V58" i="21"/>
  <c r="W58" i="21"/>
  <c r="X58" i="21"/>
  <c r="X105" i="21"/>
  <c r="T59" i="21"/>
  <c r="U59" i="21"/>
  <c r="V59" i="21"/>
  <c r="W59" i="21"/>
  <c r="X59" i="21"/>
  <c r="U9" i="21"/>
  <c r="T60" i="21"/>
  <c r="U60" i="21"/>
  <c r="V60" i="21"/>
  <c r="W60" i="21"/>
  <c r="X60" i="21"/>
  <c r="U13" i="21"/>
  <c r="T61" i="21"/>
  <c r="U61" i="21"/>
  <c r="V61" i="21"/>
  <c r="W61" i="21"/>
  <c r="X61" i="21"/>
  <c r="X15" i="21"/>
  <c r="T62" i="21"/>
  <c r="U62" i="21"/>
  <c r="W9" i="21"/>
  <c r="T9" i="21"/>
  <c r="T79" i="21"/>
  <c r="W79" i="21"/>
  <c r="T80" i="21"/>
  <c r="V80" i="21"/>
  <c r="T82" i="21"/>
  <c r="V82" i="21"/>
  <c r="T84" i="21"/>
  <c r="V84" i="21"/>
  <c r="T86" i="21"/>
  <c r="X86" i="21"/>
  <c r="T87" i="21"/>
  <c r="V11" i="21"/>
  <c r="T88" i="21"/>
  <c r="V88" i="21"/>
  <c r="X88" i="21"/>
  <c r="T89" i="21"/>
  <c r="V89" i="21"/>
  <c r="X89" i="21"/>
  <c r="V62" i="21"/>
  <c r="W62" i="21"/>
  <c r="X62" i="21"/>
  <c r="T63" i="21"/>
  <c r="U63" i="21"/>
  <c r="V63" i="21"/>
  <c r="W63" i="21"/>
  <c r="X63" i="21"/>
  <c r="T64" i="21"/>
  <c r="U64" i="21"/>
  <c r="V64" i="21"/>
  <c r="W64" i="21"/>
  <c r="X64" i="21"/>
  <c r="T65" i="21"/>
  <c r="U65" i="21"/>
  <c r="V65" i="21"/>
  <c r="W65" i="21"/>
  <c r="X65" i="21"/>
  <c r="T66" i="21"/>
  <c r="U66" i="21"/>
  <c r="V66" i="21"/>
  <c r="W66" i="21"/>
  <c r="X66" i="21"/>
  <c r="T67" i="21"/>
  <c r="U67" i="21"/>
  <c r="V67" i="21"/>
  <c r="W67" i="21"/>
  <c r="X67" i="21"/>
  <c r="T68" i="21"/>
  <c r="U68" i="21"/>
  <c r="V68" i="21"/>
  <c r="W68" i="21"/>
  <c r="X68" i="21"/>
  <c r="T69" i="21"/>
  <c r="U69" i="21"/>
  <c r="V69" i="21"/>
  <c r="W69" i="21"/>
  <c r="X69" i="21"/>
  <c r="T70" i="21"/>
  <c r="U70" i="21"/>
  <c r="V70" i="21"/>
  <c r="W70" i="21"/>
  <c r="X70" i="21"/>
  <c r="T71" i="21"/>
  <c r="U71" i="21"/>
  <c r="V71" i="21"/>
  <c r="W71" i="21"/>
  <c r="X71" i="21"/>
  <c r="T72" i="21"/>
  <c r="U72" i="21"/>
  <c r="V72" i="21"/>
  <c r="W72" i="21"/>
  <c r="X72" i="21"/>
  <c r="T73" i="21"/>
  <c r="U73" i="21"/>
  <c r="V73" i="21"/>
  <c r="W73" i="21"/>
  <c r="X73" i="21"/>
  <c r="T74" i="21"/>
  <c r="U74" i="21"/>
  <c r="V74" i="21"/>
  <c r="W74" i="21"/>
  <c r="X74" i="21"/>
  <c r="T75" i="21"/>
  <c r="U75" i="21"/>
  <c r="V75" i="21"/>
  <c r="W75" i="21"/>
  <c r="X75" i="21"/>
  <c r="T76" i="21"/>
  <c r="U76" i="21"/>
  <c r="V76" i="21"/>
  <c r="W76" i="21"/>
  <c r="X76" i="21"/>
  <c r="T94" i="21"/>
  <c r="U94" i="21"/>
  <c r="V94" i="21"/>
  <c r="W94" i="21"/>
  <c r="X94" i="21"/>
  <c r="T77" i="21"/>
  <c r="U77" i="21"/>
  <c r="V77" i="21"/>
  <c r="W77" i="21"/>
  <c r="X77" i="21"/>
  <c r="T78" i="21"/>
  <c r="U78" i="21"/>
  <c r="V78" i="21"/>
  <c r="W78" i="21"/>
  <c r="X78" i="21"/>
  <c r="U79" i="21"/>
  <c r="V79" i="21"/>
  <c r="X79" i="21"/>
  <c r="U80" i="21"/>
  <c r="W80" i="21"/>
  <c r="X80" i="21"/>
  <c r="T81" i="21"/>
  <c r="U81" i="21"/>
  <c r="V81" i="21"/>
  <c r="W81" i="21"/>
  <c r="X81" i="21"/>
  <c r="U82" i="21"/>
  <c r="W82" i="21"/>
  <c r="X82" i="21"/>
  <c r="T83" i="21"/>
  <c r="U83" i="21"/>
  <c r="V83" i="21"/>
  <c r="W83" i="21"/>
  <c r="X83" i="21"/>
  <c r="U84" i="21"/>
  <c r="V87" i="21"/>
  <c r="X84" i="21"/>
  <c r="T85" i="21"/>
  <c r="U85" i="21"/>
  <c r="V85" i="21"/>
  <c r="W85" i="21"/>
  <c r="X85" i="21"/>
  <c r="U86" i="21"/>
  <c r="V86" i="21"/>
  <c r="W86" i="21"/>
  <c r="U87" i="21"/>
  <c r="W87" i="21"/>
  <c r="X87" i="21"/>
  <c r="U88" i="21"/>
  <c r="W88" i="21"/>
  <c r="U89" i="21"/>
  <c r="W89" i="21"/>
  <c r="V5" i="21"/>
  <c r="T8" i="21"/>
  <c r="X8" i="21"/>
  <c r="X9" i="21"/>
  <c r="U15" i="21"/>
  <c r="T11" i="21"/>
  <c r="W10" i="21"/>
  <c r="U10" i="21"/>
  <c r="T90" i="21"/>
  <c r="U90" i="21"/>
  <c r="V90" i="21"/>
  <c r="W90" i="21"/>
  <c r="X90" i="21"/>
  <c r="T91" i="21"/>
  <c r="U91" i="21"/>
  <c r="V91" i="21"/>
  <c r="W91" i="21"/>
  <c r="X91" i="21"/>
  <c r="T92" i="21"/>
  <c r="U92" i="21"/>
  <c r="V92" i="21"/>
  <c r="W92" i="21"/>
  <c r="X92" i="21"/>
  <c r="T93" i="21"/>
  <c r="U93" i="21"/>
  <c r="V93" i="21"/>
  <c r="W93" i="21"/>
  <c r="X93" i="21"/>
  <c r="T95" i="21"/>
  <c r="U95" i="21"/>
  <c r="V95" i="21"/>
  <c r="W95" i="21"/>
  <c r="X95" i="21"/>
  <c r="W84" i="21"/>
  <c r="T96" i="21"/>
  <c r="U96" i="21"/>
  <c r="V96" i="21"/>
  <c r="W96" i="21"/>
  <c r="X96" i="21"/>
  <c r="T97" i="21"/>
  <c r="U97" i="21"/>
  <c r="V97" i="21"/>
  <c r="W97" i="21"/>
  <c r="X97" i="21"/>
  <c r="T98" i="21"/>
  <c r="U98" i="21"/>
  <c r="V98" i="21"/>
  <c r="W98" i="21"/>
  <c r="X98" i="21"/>
  <c r="T99" i="21"/>
  <c r="U99" i="21"/>
  <c r="V99" i="21"/>
  <c r="W99" i="21"/>
  <c r="X99" i="21"/>
  <c r="T100" i="21"/>
  <c r="U100" i="21"/>
  <c r="V100" i="21"/>
  <c r="W100" i="21"/>
  <c r="Y34" i="21"/>
  <c r="Y35" i="21"/>
  <c r="Y36" i="21"/>
  <c r="Y37" i="21"/>
  <c r="Y38" i="21"/>
  <c r="Y39" i="21"/>
  <c r="Y40" i="21"/>
  <c r="Y41" i="21"/>
  <c r="Y5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76" i="21"/>
  <c r="Y77" i="21"/>
  <c r="Y66" i="21"/>
  <c r="Y73" i="21"/>
  <c r="Y88" i="21"/>
  <c r="Y99" i="21"/>
  <c r="Y78" i="21"/>
  <c r="Y92" i="21"/>
  <c r="Y69" i="21"/>
  <c r="Y89" i="21"/>
  <c r="Y71" i="21"/>
  <c r="Y100" i="21"/>
  <c r="Y83" i="21"/>
  <c r="Y65" i="21"/>
  <c r="Y93" i="21"/>
  <c r="Y94" i="21"/>
  <c r="Y8" i="21"/>
  <c r="Y101" i="21"/>
  <c r="Y79" i="21"/>
  <c r="Y9" i="21"/>
  <c r="Y84" i="21"/>
  <c r="Y102" i="21"/>
  <c r="Y82" i="21"/>
  <c r="Y74" i="21"/>
  <c r="Y68" i="21"/>
  <c r="Y63" i="21"/>
  <c r="Y103" i="21"/>
  <c r="Y96" i="21"/>
  <c r="Y72" i="21"/>
  <c r="Y85" i="21"/>
  <c r="Y70" i="21"/>
  <c r="Y62" i="21"/>
  <c r="Y104" i="21"/>
  <c r="Y90" i="21"/>
  <c r="Y97" i="21"/>
  <c r="Y81" i="21"/>
  <c r="Y86" i="21"/>
  <c r="Y75" i="21"/>
  <c r="Y105" i="21"/>
  <c r="Y67" i="21"/>
  <c r="Y64" i="21"/>
  <c r="Y98" i="21"/>
  <c r="Y80" i="21"/>
  <c r="Y91" i="21"/>
  <c r="Y87" i="21"/>
  <c r="Y95" i="21"/>
  <c r="AN18" i="21" l="1"/>
  <c r="AJ19" i="21"/>
  <c r="AL19" i="21"/>
  <c r="AM19" i="21"/>
  <c r="AN20" i="21"/>
  <c r="AJ21" i="21"/>
  <c r="AL21" i="21"/>
  <c r="AJ22" i="21"/>
  <c r="AK22" i="21"/>
  <c r="AL22" i="21"/>
  <c r="AM22" i="21"/>
  <c r="AN22" i="21"/>
  <c r="AJ28" i="21"/>
  <c r="AK28" i="21"/>
  <c r="AO56" i="21"/>
  <c r="AO57" i="21"/>
  <c r="AC3" i="26"/>
  <c r="AB3" i="26"/>
  <c r="AL28" i="21"/>
  <c r="AM28" i="21"/>
  <c r="AN28" i="21"/>
  <c r="AJ29" i="21"/>
  <c r="AK29" i="21"/>
  <c r="AL29" i="21"/>
  <c r="AM29" i="21"/>
  <c r="AN29" i="21"/>
  <c r="AJ30" i="21"/>
  <c r="AK30" i="21"/>
  <c r="AL30" i="21"/>
  <c r="AM30" i="21"/>
  <c r="AN30" i="21"/>
  <c r="AJ31" i="21"/>
  <c r="AK31" i="21"/>
  <c r="AL31" i="21"/>
  <c r="AM31" i="21"/>
  <c r="AN31" i="21"/>
  <c r="AJ32" i="21"/>
  <c r="AK32" i="21"/>
  <c r="AL32" i="21"/>
  <c r="AM32" i="21"/>
  <c r="AN32" i="21"/>
  <c r="AJ33" i="21"/>
  <c r="AK33" i="21"/>
  <c r="AL33" i="21"/>
  <c r="AM33" i="21"/>
  <c r="AN33" i="21"/>
  <c r="AJ34" i="21"/>
  <c r="AK34" i="21"/>
  <c r="AL34" i="21"/>
  <c r="AM34" i="21"/>
  <c r="AN34" i="21"/>
  <c r="AJ35" i="21"/>
  <c r="AK35" i="21"/>
  <c r="AL35" i="21"/>
  <c r="AM35" i="21"/>
  <c r="AN35" i="21"/>
  <c r="AJ36" i="21"/>
  <c r="AK36" i="21"/>
  <c r="AL36" i="21"/>
  <c r="AM36" i="21"/>
  <c r="AN36" i="21"/>
  <c r="AJ37" i="21"/>
  <c r="AK37" i="21"/>
  <c r="AL37" i="21"/>
  <c r="AM37" i="21"/>
  <c r="AN37" i="21"/>
  <c r="AJ38" i="21"/>
  <c r="AK38" i="21"/>
  <c r="AL38" i="21"/>
  <c r="AM38" i="21"/>
  <c r="AN38" i="21"/>
  <c r="AJ39" i="21"/>
  <c r="AK39" i="21"/>
  <c r="AL39" i="21"/>
  <c r="AM39" i="21"/>
  <c r="AN39" i="21"/>
  <c r="AJ40" i="21"/>
  <c r="AK40" i="21"/>
  <c r="AL40" i="21"/>
  <c r="AM40" i="21"/>
  <c r="AN40" i="21"/>
  <c r="AO53" i="21"/>
  <c r="AO55" i="21"/>
  <c r="AO54" i="21"/>
  <c r="AO52" i="21"/>
  <c r="AO51" i="21"/>
  <c r="AJ41" i="21"/>
  <c r="AK41" i="21"/>
  <c r="AL41" i="21"/>
  <c r="AM41" i="21"/>
  <c r="AN41" i="21"/>
  <c r="AJ42" i="21"/>
  <c r="AK42" i="21"/>
  <c r="AL42" i="21"/>
  <c r="AM42" i="21"/>
  <c r="AN42" i="21"/>
  <c r="AJ18" i="21"/>
  <c r="AJ43" i="21"/>
  <c r="AK43" i="21"/>
  <c r="AL43" i="21"/>
  <c r="AM43" i="21"/>
  <c r="AN43" i="21"/>
  <c r="AK57" i="21"/>
  <c r="AJ44" i="21"/>
  <c r="AK44" i="21"/>
  <c r="AL44" i="21"/>
  <c r="AM44" i="21"/>
  <c r="AN44" i="21"/>
  <c r="AJ45" i="21"/>
  <c r="AK45" i="21"/>
  <c r="AL45" i="21"/>
  <c r="AM45" i="21"/>
  <c r="AN45" i="21"/>
  <c r="AJ46" i="21"/>
  <c r="AK46" i="21"/>
  <c r="AL46" i="21"/>
  <c r="AM46" i="21"/>
  <c r="AN46" i="21"/>
  <c r="AJ47" i="21"/>
  <c r="AK47" i="21"/>
  <c r="AL47" i="21"/>
  <c r="AM47" i="21"/>
  <c r="AN47" i="21"/>
  <c r="AJ48" i="21"/>
  <c r="AK48" i="21"/>
  <c r="AL48" i="21"/>
  <c r="AM48" i="21"/>
  <c r="AN48" i="21"/>
  <c r="AJ49" i="21"/>
  <c r="AK49" i="21"/>
  <c r="AL49" i="21"/>
  <c r="AM49" i="21"/>
  <c r="AN49" i="21"/>
  <c r="AK52" i="21"/>
  <c r="AJ50" i="21"/>
  <c r="AK50" i="21"/>
  <c r="AL50" i="21"/>
  <c r="AM50" i="21"/>
  <c r="AN50" i="21"/>
  <c r="AJ51" i="21"/>
  <c r="AK51" i="21"/>
  <c r="AL51" i="21"/>
  <c r="AM51" i="21"/>
  <c r="AN51" i="21"/>
  <c r="AJ52" i="21"/>
  <c r="AL52" i="21"/>
  <c r="AM52" i="21"/>
  <c r="AN52" i="21"/>
  <c r="AJ53" i="21"/>
  <c r="AK53" i="21"/>
  <c r="AL53" i="21"/>
  <c r="AM53" i="21"/>
  <c r="AN53" i="21"/>
  <c r="AJ54" i="21"/>
  <c r="AK54" i="21"/>
  <c r="AL54" i="21"/>
  <c r="AN54" i="21"/>
  <c r="AJ55" i="21"/>
  <c r="AK55" i="21"/>
  <c r="AL55" i="21"/>
  <c r="AM55" i="21"/>
  <c r="AN55" i="21"/>
  <c r="AJ56" i="21"/>
  <c r="AK56" i="21"/>
  <c r="AL56" i="21"/>
  <c r="AM56" i="21"/>
  <c r="AN56" i="21"/>
  <c r="AJ57" i="21"/>
  <c r="AM54" i="21"/>
  <c r="AL57" i="21"/>
  <c r="AM57" i="21"/>
  <c r="AN57" i="21"/>
  <c r="AJ58" i="21"/>
  <c r="AK58" i="21"/>
  <c r="AL58" i="21"/>
  <c r="AM58" i="21"/>
  <c r="AO42" i="21"/>
  <c r="AO43" i="21"/>
  <c r="AO50" i="21"/>
  <c r="AO47" i="21"/>
  <c r="AO46" i="21"/>
  <c r="AO48" i="21"/>
  <c r="AO45" i="21"/>
  <c r="AO44" i="21"/>
  <c r="AO49" i="21"/>
  <c r="E10" i="26"/>
  <c r="Z56" i="26"/>
  <c r="G10" i="26"/>
  <c r="Z57" i="26"/>
  <c r="I10" i="26"/>
  <c r="Z58" i="26"/>
  <c r="E59" i="21"/>
  <c r="K10" i="26"/>
  <c r="Z59" i="26"/>
  <c r="AN64" i="21"/>
  <c r="AN27" i="21"/>
  <c r="AJ5" i="21"/>
  <c r="AK5" i="21"/>
  <c r="AL5" i="21"/>
  <c r="AM5" i="21"/>
  <c r="AN5" i="21"/>
  <c r="AJ6" i="21"/>
  <c r="AK6" i="21"/>
  <c r="AL6" i="21"/>
  <c r="AN6" i="21"/>
  <c r="AJ7" i="21"/>
  <c r="AK7" i="21"/>
  <c r="AL7" i="21"/>
  <c r="AM7" i="21"/>
  <c r="AN7" i="21"/>
  <c r="AN58" i="21"/>
  <c r="AK8" i="21"/>
  <c r="AJ59" i="21"/>
  <c r="AK59" i="21"/>
  <c r="AL59" i="21"/>
  <c r="AM59" i="21"/>
  <c r="AN59" i="21"/>
  <c r="AM8" i="21"/>
  <c r="AJ60" i="21"/>
  <c r="AK60" i="21"/>
  <c r="AL60" i="21"/>
  <c r="AM60" i="21"/>
  <c r="AN60" i="21"/>
  <c r="AN8" i="21"/>
  <c r="AJ61" i="21"/>
  <c r="AK61" i="21"/>
  <c r="AL61" i="21"/>
  <c r="AM61" i="21"/>
  <c r="AN61" i="21"/>
  <c r="AJ9" i="21"/>
  <c r="AJ62" i="21"/>
  <c r="AK62" i="21"/>
  <c r="AL62" i="21"/>
  <c r="AM62" i="21"/>
  <c r="AN62" i="21"/>
  <c r="AK9" i="21"/>
  <c r="AJ63" i="21"/>
  <c r="AK63" i="21"/>
  <c r="AL63" i="21"/>
  <c r="AM63" i="21"/>
  <c r="AN63" i="21"/>
  <c r="AL9" i="21"/>
  <c r="AJ64" i="21"/>
  <c r="AK64" i="21"/>
  <c r="AL64" i="21"/>
  <c r="AM64" i="21"/>
  <c r="AM73" i="21"/>
  <c r="AM9" i="21"/>
  <c r="AJ65" i="21"/>
  <c r="AK65" i="21"/>
  <c r="AL65" i="21"/>
  <c r="AM65" i="21"/>
  <c r="AN65" i="21"/>
  <c r="AN9" i="21"/>
  <c r="AJ66" i="21"/>
  <c r="AK66" i="21"/>
  <c r="AL66" i="21"/>
  <c r="AM66" i="21"/>
  <c r="AN66" i="21"/>
  <c r="AJ10" i="21"/>
  <c r="AJ67" i="21"/>
  <c r="AK67" i="21"/>
  <c r="AL67" i="21"/>
  <c r="AM67" i="21"/>
  <c r="AN67" i="21"/>
  <c r="AK10" i="21"/>
  <c r="AJ68" i="21"/>
  <c r="AK68" i="21"/>
  <c r="AL68" i="21"/>
  <c r="AM68" i="21"/>
  <c r="AN68" i="21"/>
  <c r="AL10" i="21"/>
  <c r="AJ69" i="21"/>
  <c r="AK69" i="21"/>
  <c r="AL69" i="21"/>
  <c r="AM69" i="21"/>
  <c r="AN69" i="21"/>
  <c r="AM10" i="21"/>
  <c r="AJ70" i="21"/>
  <c r="AK70" i="21"/>
  <c r="AL70" i="21"/>
  <c r="AM70" i="21"/>
  <c r="AN70" i="21"/>
  <c r="AN10" i="21"/>
  <c r="AJ71" i="21"/>
  <c r="AK71" i="21"/>
  <c r="AL71" i="21"/>
  <c r="AM71" i="21"/>
  <c r="AN71" i="21"/>
  <c r="AK11" i="21"/>
  <c r="AJ72" i="21"/>
  <c r="AK72" i="21"/>
  <c r="AL72" i="21"/>
  <c r="AM72" i="21"/>
  <c r="AN72" i="21"/>
  <c r="AL11" i="21"/>
  <c r="AJ73" i="21"/>
  <c r="AK73" i="21"/>
  <c r="AL73" i="21"/>
  <c r="AN11" i="21"/>
  <c r="AN73" i="21"/>
  <c r="AL12" i="21"/>
  <c r="AJ74" i="21"/>
  <c r="AK74" i="21"/>
  <c r="AL74" i="21"/>
  <c r="AM74" i="21"/>
  <c r="AN74" i="21"/>
  <c r="AM12" i="21"/>
  <c r="AJ75" i="21"/>
  <c r="AK75" i="21"/>
  <c r="AL75" i="21"/>
  <c r="AM75" i="21"/>
  <c r="AN75" i="21"/>
  <c r="AN12" i="21"/>
  <c r="AJ76" i="21"/>
  <c r="AK76" i="21"/>
  <c r="AL76" i="21"/>
  <c r="AM76" i="21"/>
  <c r="AN76" i="21"/>
  <c r="AJ13" i="21"/>
  <c r="AJ77" i="21"/>
  <c r="AK77" i="21"/>
  <c r="AL77" i="21"/>
  <c r="AM77" i="21"/>
  <c r="AN77" i="21"/>
  <c r="AK13" i="21"/>
  <c r="AJ78" i="21"/>
  <c r="AK78" i="21"/>
  <c r="AL78" i="21"/>
  <c r="AM78" i="21"/>
  <c r="AN78" i="21"/>
  <c r="AM13" i="21"/>
  <c r="AJ79" i="21"/>
  <c r="AJ89" i="21"/>
  <c r="AK89" i="21"/>
  <c r="AL89" i="21"/>
  <c r="AM89" i="21"/>
  <c r="AN89" i="21"/>
  <c r="AN13" i="21"/>
  <c r="AK90" i="21"/>
  <c r="AM90" i="21"/>
  <c r="AN90" i="21"/>
  <c r="AJ91" i="21"/>
  <c r="AK91" i="21"/>
  <c r="AL91" i="21"/>
  <c r="AM91" i="21"/>
  <c r="AN91" i="21"/>
  <c r="AK14" i="21"/>
  <c r="AL92" i="21"/>
  <c r="AM92" i="21"/>
  <c r="AM14" i="21"/>
  <c r="AM93" i="21"/>
  <c r="AK15" i="21"/>
  <c r="AM94" i="21"/>
  <c r="AJ95" i="21"/>
  <c r="AK95" i="21"/>
  <c r="AL95" i="21"/>
  <c r="AM95" i="21"/>
  <c r="AN95" i="21"/>
  <c r="AJ96" i="21"/>
  <c r="AK96" i="21"/>
  <c r="AL96" i="21"/>
  <c r="AM96" i="21"/>
  <c r="AL15" i="21"/>
  <c r="AM97" i="21"/>
  <c r="AN15" i="21"/>
  <c r="AN98" i="21"/>
  <c r="AJ99" i="21"/>
  <c r="AK99" i="21"/>
  <c r="AL99" i="21"/>
  <c r="AM99" i="21"/>
  <c r="AJ16" i="21"/>
  <c r="AK17" i="21"/>
  <c r="AK16" i="21"/>
  <c r="AK79" i="21"/>
  <c r="AL79" i="21"/>
  <c r="AM79" i="21"/>
  <c r="AN79" i="21"/>
  <c r="AL16" i="21"/>
  <c r="AJ80" i="21"/>
  <c r="AK80" i="21"/>
  <c r="AL80" i="21"/>
  <c r="AM80" i="21"/>
  <c r="AN80" i="21"/>
  <c r="AM16" i="21"/>
  <c r="AJ81" i="21"/>
  <c r="AK81" i="21"/>
  <c r="AL81" i="21"/>
  <c r="AM81" i="21"/>
  <c r="AN81" i="21"/>
  <c r="AJ17" i="21"/>
  <c r="AJ82" i="21"/>
  <c r="AK82" i="21"/>
  <c r="AL82" i="21"/>
  <c r="AM82" i="21"/>
  <c r="AN82" i="21"/>
  <c r="AM17" i="21"/>
  <c r="AJ83" i="21"/>
  <c r="AK83" i="21"/>
  <c r="AL83" i="21"/>
  <c r="AM83" i="21"/>
  <c r="AN83" i="21"/>
  <c r="AN17" i="21"/>
  <c r="AJ84" i="21"/>
  <c r="AK84" i="21"/>
  <c r="AL84" i="21"/>
  <c r="AM84" i="21"/>
  <c r="AN84" i="21"/>
  <c r="AJ85" i="21"/>
  <c r="AK85" i="21"/>
  <c r="AL85" i="21"/>
  <c r="AM85" i="21"/>
  <c r="AN85" i="21"/>
  <c r="AJ86" i="21"/>
  <c r="AK86" i="21"/>
  <c r="AL86" i="21"/>
  <c r="AM86" i="21"/>
  <c r="AN86" i="21"/>
  <c r="AJ87" i="21"/>
  <c r="AK87" i="21"/>
  <c r="AL87" i="21"/>
  <c r="AM87" i="21"/>
  <c r="AN87" i="21"/>
  <c r="AJ88" i="21"/>
  <c r="AK88" i="21"/>
  <c r="AL88" i="21"/>
  <c r="AM88" i="21"/>
  <c r="AN88" i="21"/>
  <c r="AJ90" i="21"/>
  <c r="AL90" i="21"/>
  <c r="AJ92" i="21"/>
  <c r="AK92" i="21"/>
  <c r="AN92" i="21"/>
  <c r="AJ93" i="21"/>
  <c r="AK93" i="21"/>
  <c r="AL93" i="21"/>
  <c r="AN93" i="21"/>
  <c r="AJ94" i="21"/>
  <c r="AK94" i="21"/>
  <c r="AL94" i="21"/>
  <c r="AN94" i="21"/>
  <c r="AN96" i="21"/>
  <c r="AJ97" i="21"/>
  <c r="AK97" i="21"/>
  <c r="AL97" i="21"/>
  <c r="AN97" i="21"/>
  <c r="AJ98" i="21"/>
  <c r="AK98" i="21"/>
  <c r="AL98" i="21"/>
  <c r="AM98" i="21"/>
  <c r="AN99" i="21"/>
  <c r="AJ100" i="21"/>
  <c r="AK100" i="21"/>
  <c r="AL100" i="21"/>
  <c r="AM100" i="21"/>
  <c r="AN100" i="21"/>
  <c r="AJ101" i="21"/>
  <c r="AK101" i="21"/>
  <c r="AL101" i="21"/>
  <c r="AM101" i="21"/>
  <c r="AN101" i="21"/>
  <c r="AJ102" i="21"/>
  <c r="AK102" i="21"/>
  <c r="AL102" i="21"/>
  <c r="AM102" i="21"/>
  <c r="AN102" i="21"/>
  <c r="AJ103" i="21"/>
  <c r="AK103" i="21"/>
  <c r="AL103" i="21"/>
  <c r="AM103" i="21"/>
  <c r="AN103" i="21"/>
  <c r="AJ104" i="21"/>
  <c r="AK104" i="21"/>
  <c r="AL104" i="21"/>
  <c r="AM104" i="21"/>
  <c r="AN104" i="21"/>
  <c r="AJ105" i="21"/>
  <c r="AK105" i="21"/>
  <c r="AL105" i="21"/>
  <c r="AM105" i="21"/>
  <c r="AN105" i="21"/>
  <c r="AM6" i="21"/>
  <c r="AJ8" i="21"/>
  <c r="AL8" i="21"/>
  <c r="AJ11" i="21"/>
  <c r="AM11" i="21"/>
  <c r="AJ12" i="21"/>
  <c r="AK12" i="21"/>
  <c r="AL13" i="21"/>
  <c r="AJ14" i="21"/>
  <c r="AL14" i="21"/>
  <c r="AN14" i="21"/>
  <c r="AJ15" i="21"/>
  <c r="AM15" i="21"/>
  <c r="AN16" i="21"/>
  <c r="AL17" i="21"/>
  <c r="AK18" i="21"/>
  <c r="AK19" i="21"/>
  <c r="AN19" i="21"/>
  <c r="AJ20" i="21"/>
  <c r="AK20" i="21"/>
  <c r="AL20" i="21"/>
  <c r="AM20" i="21"/>
  <c r="AK21" i="21"/>
  <c r="AM21" i="21"/>
  <c r="AN21" i="21"/>
  <c r="AJ23" i="21"/>
  <c r="AK23" i="21"/>
  <c r="AL23" i="21"/>
  <c r="AM23" i="21"/>
  <c r="AN23" i="21"/>
  <c r="AJ24" i="21"/>
  <c r="AK24" i="21"/>
  <c r="AL24" i="21"/>
  <c r="AM24" i="21"/>
  <c r="AN24" i="21"/>
  <c r="AJ25" i="21"/>
  <c r="AK25" i="21"/>
  <c r="AL25" i="21"/>
  <c r="AM25" i="21"/>
  <c r="AN25" i="21"/>
  <c r="AJ26" i="21"/>
  <c r="AK26" i="21"/>
  <c r="AL26" i="21"/>
  <c r="AM26" i="21"/>
  <c r="AN26" i="21"/>
  <c r="AJ27" i="21"/>
  <c r="AK27" i="21"/>
  <c r="AL27" i="21"/>
  <c r="AM27" i="21"/>
  <c r="AO36" i="21"/>
  <c r="AO22" i="21"/>
  <c r="AO23" i="21"/>
  <c r="AO28" i="21"/>
  <c r="AO29" i="21"/>
  <c r="AO30" i="21"/>
  <c r="AO31" i="21"/>
  <c r="AO32" i="21"/>
  <c r="AO33" i="21"/>
  <c r="AO34" i="21"/>
  <c r="AO35" i="21"/>
  <c r="AO65" i="21"/>
  <c r="AO37" i="21"/>
  <c r="AO38" i="21"/>
  <c r="AO41" i="21"/>
  <c r="AO58" i="21"/>
  <c r="AO59" i="21"/>
  <c r="AO60" i="21"/>
  <c r="AO61" i="21"/>
  <c r="AO62" i="21"/>
  <c r="AO63" i="21"/>
  <c r="AO64" i="21"/>
  <c r="AO40" i="21"/>
  <c r="AO66" i="21"/>
  <c r="AO67" i="21"/>
  <c r="AO68" i="21"/>
  <c r="AO69" i="21"/>
  <c r="AO70" i="21"/>
  <c r="AO71" i="21"/>
  <c r="AO72" i="21"/>
  <c r="AO39" i="21"/>
  <c r="AO73" i="21"/>
  <c r="AO74" i="21"/>
  <c r="AO75" i="21"/>
  <c r="AO76" i="21"/>
  <c r="AO77" i="21"/>
  <c r="AO78" i="21"/>
  <c r="AO89" i="21"/>
  <c r="AO91" i="21"/>
  <c r="AO92" i="21"/>
  <c r="AO93" i="21"/>
  <c r="AO96" i="21"/>
  <c r="AO97" i="21"/>
  <c r="AO16" i="21"/>
  <c r="AO17" i="21"/>
  <c r="AO79" i="21"/>
  <c r="AO80" i="21"/>
  <c r="AO81" i="21"/>
  <c r="AO82" i="21"/>
  <c r="AO83" i="21"/>
  <c r="AO25" i="21"/>
  <c r="AO100" i="21"/>
  <c r="AO19" i="21"/>
  <c r="AO6" i="21"/>
  <c r="AO95" i="21"/>
  <c r="AO9" i="21"/>
  <c r="AO90" i="21"/>
  <c r="AO26" i="21"/>
  <c r="AO8" i="21"/>
  <c r="AO20" i="21"/>
  <c r="AO98" i="21"/>
  <c r="AO10" i="21"/>
  <c r="AO103" i="21"/>
  <c r="AO11" i="21"/>
  <c r="AO27" i="21"/>
  <c r="AO21" i="21"/>
  <c r="AO87" i="21"/>
  <c r="AO12" i="21"/>
  <c r="AO101" i="21"/>
  <c r="AO5" i="21"/>
  <c r="AO99" i="21"/>
  <c r="AO13" i="21"/>
  <c r="AO86" i="21"/>
  <c r="AO104" i="21"/>
  <c r="AO14" i="21"/>
  <c r="AO88" i="21"/>
  <c r="AO85" i="21"/>
  <c r="AO15" i="21"/>
  <c r="AO24" i="21"/>
  <c r="AO84" i="21"/>
  <c r="AO102" i="21"/>
  <c r="AO7" i="21"/>
  <c r="AO94" i="21"/>
  <c r="AO18" i="21"/>
  <c r="AO105" i="21"/>
</calcChain>
</file>

<file path=xl/sharedStrings.xml><?xml version="1.0" encoding="utf-8"?>
<sst xmlns="http://schemas.openxmlformats.org/spreadsheetml/2006/main" count="1830" uniqueCount="403">
  <si>
    <t>ACCOUNTS RECEIVABLE DASHBOARD</t>
  </si>
  <si>
    <t>Client Filter</t>
  </si>
  <si>
    <t>All</t>
  </si>
  <si>
    <t>Overdue Ratio (1–60 Days)</t>
  </si>
  <si>
    <t>Report Date:</t>
  </si>
  <si>
    <t>Sales Rep Filter</t>
  </si>
  <si>
    <t>Receivables Ratio (&gt;60 Days)</t>
  </si>
  <si>
    <t>Fictional details; retained aggregate presentation | Illustrative 20% threshold</t>
  </si>
  <si>
    <t>Status Filter</t>
  </si>
  <si>
    <t>Total Overdue Ratio</t>
  </si>
  <si>
    <t>Total Outstanding AR</t>
  </si>
  <si>
    <t>Avg Overdue Days</t>
  </si>
  <si>
    <t>&gt;60d / Total Overdue</t>
  </si>
  <si>
    <t>Top Client Share</t>
  </si>
  <si>
    <t>Top 3 Clients Share</t>
  </si>
  <si>
    <t>Due in Next 10 Days</t>
  </si>
  <si>
    <t>Customer/staff filters apply to the overview. Status also filters the charts and collection list.</t>
  </si>
  <si>
    <t>98 current invoices. All customer and staff groups reconcile to the current ledger total.</t>
  </si>
  <si>
    <t>Client Account</t>
  </si>
  <si>
    <t>Current Balance</t>
  </si>
  <si>
    <t>Prior Balance</t>
  </si>
  <si>
    <t>In-Term Debt</t>
  </si>
  <si>
    <t>Overdue Debt</t>
  </si>
  <si>
    <t>Sales Representative</t>
  </si>
  <si>
    <t>Customer 01</t>
  </si>
  <si>
    <t>Staff 01</t>
  </si>
  <si>
    <t>Customer 02</t>
  </si>
  <si>
    <t>Staff 02</t>
  </si>
  <si>
    <t>Customer 03</t>
  </si>
  <si>
    <t>Staff 03</t>
  </si>
  <si>
    <t>Customer 04</t>
  </si>
  <si>
    <t>Staff 04</t>
  </si>
  <si>
    <t>Customer 05</t>
  </si>
  <si>
    <t>Staff 05</t>
  </si>
  <si>
    <t>Customer 06</t>
  </si>
  <si>
    <t>Staff 06</t>
  </si>
  <si>
    <t>Customer 07</t>
  </si>
  <si>
    <t>Fictional invoice details calibrated to retained public aggregate balances and chart proportions. Illustrative dates.</t>
  </si>
  <si>
    <t>Customer</t>
  </si>
  <si>
    <t>Legal Name</t>
  </si>
  <si>
    <t>Document Number</t>
  </si>
  <si>
    <t>Invoice Number</t>
  </si>
  <si>
    <t>Invoice Date</t>
  </si>
  <si>
    <t>Due Date</t>
  </si>
  <si>
    <t>Invoice Gross Amount</t>
  </si>
  <si>
    <t>Receipts Applied</t>
  </si>
  <si>
    <t>Outstanding Balance</t>
  </si>
  <si>
    <t>Business Type</t>
  </si>
  <si>
    <t>Project</t>
  </si>
  <si>
    <t>Description</t>
  </si>
  <si>
    <t>Promised Payment Date</t>
  </si>
  <si>
    <t>Last Contact</t>
  </si>
  <si>
    <t>Next Action</t>
  </si>
  <si>
    <t>Days Overdue</t>
  </si>
  <si>
    <t>Customer / Staff Match</t>
  </si>
  <si>
    <t>Selected Balance</t>
  </si>
  <si>
    <t>Selected Overdue</t>
  </si>
  <si>
    <t>Status Match</t>
  </si>
  <si>
    <t>Filtered Balance</t>
  </si>
  <si>
    <t>Overdue Days × Balance</t>
  </si>
  <si>
    <t>Stable Document Key</t>
  </si>
  <si>
    <t>Fictional Customer 01</t>
  </si>
  <si>
    <t>CAL-current-001</t>
  </si>
  <si>
    <t>000001</t>
  </si>
  <si>
    <t>Illustrative business</t>
  </si>
  <si>
    <t>Demo project 2</t>
  </si>
  <si>
    <t>Fictional receivable</t>
  </si>
  <si>
    <t>Review assigned fictional balance</t>
  </si>
  <si>
    <t>CAL-current-002</t>
  </si>
  <si>
    <t>000002</t>
  </si>
  <si>
    <t>Demo project 3</t>
  </si>
  <si>
    <t>CAL-current-003</t>
  </si>
  <si>
    <t>000003</t>
  </si>
  <si>
    <t>Demo project 4</t>
  </si>
  <si>
    <t>CAL-current-004</t>
  </si>
  <si>
    <t>000004</t>
  </si>
  <si>
    <t>Demo project 1</t>
  </si>
  <si>
    <t>Fictional Customer 02</t>
  </si>
  <si>
    <t>CAL-current-005</t>
  </si>
  <si>
    <t>000005</t>
  </si>
  <si>
    <t>CAL-current-006</t>
  </si>
  <si>
    <t>000006</t>
  </si>
  <si>
    <t>CAL-current-007</t>
  </si>
  <si>
    <t>000007</t>
  </si>
  <si>
    <t>CAL-current-008</t>
  </si>
  <si>
    <t>000008</t>
  </si>
  <si>
    <t>Fictional Customer 03</t>
  </si>
  <si>
    <t>CAL-current-009</t>
  </si>
  <si>
    <t>000009</t>
  </si>
  <si>
    <t>CAL-current-010</t>
  </si>
  <si>
    <t>000010</t>
  </si>
  <si>
    <t>CAL-current-011</t>
  </si>
  <si>
    <t>000011</t>
  </si>
  <si>
    <t>CAL-current-012</t>
  </si>
  <si>
    <t>000012</t>
  </si>
  <si>
    <t>CAL-current-013</t>
  </si>
  <si>
    <t>000013</t>
  </si>
  <si>
    <t>CAL-current-014</t>
  </si>
  <si>
    <t>000014</t>
  </si>
  <si>
    <t>CAL-current-015</t>
  </si>
  <si>
    <t>000015</t>
  </si>
  <si>
    <t>CAL-current-016</t>
  </si>
  <si>
    <t>000016</t>
  </si>
  <si>
    <t>CAL-current-017</t>
  </si>
  <si>
    <t>000017</t>
  </si>
  <si>
    <t>CAL-current-018</t>
  </si>
  <si>
    <t>000018</t>
  </si>
  <si>
    <t>CAL-current-019</t>
  </si>
  <si>
    <t>000019</t>
  </si>
  <si>
    <t>CAL-current-020</t>
  </si>
  <si>
    <t>000020</t>
  </si>
  <si>
    <t>CAL-current-021</t>
  </si>
  <si>
    <t>000021</t>
  </si>
  <si>
    <t>CAL-current-022</t>
  </si>
  <si>
    <t>000022</t>
  </si>
  <si>
    <t>CAL-current-023</t>
  </si>
  <si>
    <t>000023</t>
  </si>
  <si>
    <t>CAL-current-024</t>
  </si>
  <si>
    <t>000024</t>
  </si>
  <si>
    <t>CAL-current-025</t>
  </si>
  <si>
    <t>000025</t>
  </si>
  <si>
    <t>CAL-current-026</t>
  </si>
  <si>
    <t>000026</t>
  </si>
  <si>
    <t>CAL-current-027</t>
  </si>
  <si>
    <t>000027</t>
  </si>
  <si>
    <t>CAL-current-028</t>
  </si>
  <si>
    <t>000028</t>
  </si>
  <si>
    <t>CAL-current-029</t>
  </si>
  <si>
    <t>000029</t>
  </si>
  <si>
    <t>CAL-current-030</t>
  </si>
  <si>
    <t>000030</t>
  </si>
  <si>
    <t>CAL-current-031</t>
  </si>
  <si>
    <t>000031</t>
  </si>
  <si>
    <t>CAL-current-032</t>
  </si>
  <si>
    <t>000032</t>
  </si>
  <si>
    <t>CAL-current-033</t>
  </si>
  <si>
    <t>000033</t>
  </si>
  <si>
    <t>CAL-current-034</t>
  </si>
  <si>
    <t>000034</t>
  </si>
  <si>
    <t>CAL-current-035</t>
  </si>
  <si>
    <t>000035</t>
  </si>
  <si>
    <t>CAL-current-036</t>
  </si>
  <si>
    <t>000036</t>
  </si>
  <si>
    <t>CAL-current-037</t>
  </si>
  <si>
    <t>000037</t>
  </si>
  <si>
    <t>CAL-current-038</t>
  </si>
  <si>
    <t>000038</t>
  </si>
  <si>
    <t>CAL-current-039</t>
  </si>
  <si>
    <t>000039</t>
  </si>
  <si>
    <t>CAL-current-040</t>
  </si>
  <si>
    <t>000040</t>
  </si>
  <si>
    <t>CAL-current-041</t>
  </si>
  <si>
    <t>000041</t>
  </si>
  <si>
    <t>CAL-current-042</t>
  </si>
  <si>
    <t>000042</t>
  </si>
  <si>
    <t>CAL-current-043</t>
  </si>
  <si>
    <t>000043</t>
  </si>
  <si>
    <t>CAL-current-044</t>
  </si>
  <si>
    <t>000044</t>
  </si>
  <si>
    <t>CAL-current-045</t>
  </si>
  <si>
    <t>000045</t>
  </si>
  <si>
    <t>CAL-current-046</t>
  </si>
  <si>
    <t>000046</t>
  </si>
  <si>
    <t>CAL-current-047</t>
  </si>
  <si>
    <t>000047</t>
  </si>
  <si>
    <t>CAL-current-048</t>
  </si>
  <si>
    <t>000048</t>
  </si>
  <si>
    <t>CAL-current-049</t>
  </si>
  <si>
    <t>000049</t>
  </si>
  <si>
    <t>CAL-current-050</t>
  </si>
  <si>
    <t>000050</t>
  </si>
  <si>
    <t>CAL-current-051</t>
  </si>
  <si>
    <t>000051</t>
  </si>
  <si>
    <t>CAL-current-052</t>
  </si>
  <si>
    <t>000052</t>
  </si>
  <si>
    <t>CAL-current-053</t>
  </si>
  <si>
    <t>000053</t>
  </si>
  <si>
    <t>CAL-current-054</t>
  </si>
  <si>
    <t>000054</t>
  </si>
  <si>
    <t>CAL-current-055</t>
  </si>
  <si>
    <t>000055</t>
  </si>
  <si>
    <t>CAL-current-056</t>
  </si>
  <si>
    <t>000056</t>
  </si>
  <si>
    <t>CAL-current-057</t>
  </si>
  <si>
    <t>000057</t>
  </si>
  <si>
    <t>CAL-current-058</t>
  </si>
  <si>
    <t>000058</t>
  </si>
  <si>
    <t>CAL-current-059</t>
  </si>
  <si>
    <t>000059</t>
  </si>
  <si>
    <t>CAL-current-060</t>
  </si>
  <si>
    <t>000060</t>
  </si>
  <si>
    <t>CAL-current-061</t>
  </si>
  <si>
    <t>000061</t>
  </si>
  <si>
    <t>CAL-current-062</t>
  </si>
  <si>
    <t>000062</t>
  </si>
  <si>
    <t>CAL-current-063</t>
  </si>
  <si>
    <t>000063</t>
  </si>
  <si>
    <t>CAL-current-064</t>
  </si>
  <si>
    <t>000064</t>
  </si>
  <si>
    <t>CAL-current-065</t>
  </si>
  <si>
    <t>000065</t>
  </si>
  <si>
    <t>CAL-current-066</t>
  </si>
  <si>
    <t>000066</t>
  </si>
  <si>
    <t>CAL-current-067</t>
  </si>
  <si>
    <t>000067</t>
  </si>
  <si>
    <t>CAL-current-068</t>
  </si>
  <si>
    <t>000068</t>
  </si>
  <si>
    <t>CAL-current-069</t>
  </si>
  <si>
    <t>000069</t>
  </si>
  <si>
    <t>CAL-current-070</t>
  </si>
  <si>
    <t>000070</t>
  </si>
  <si>
    <t>CAL-current-071</t>
  </si>
  <si>
    <t>000071</t>
  </si>
  <si>
    <t>CAL-current-072</t>
  </si>
  <si>
    <t>000072</t>
  </si>
  <si>
    <t>CAL-current-073</t>
  </si>
  <si>
    <t>000073</t>
  </si>
  <si>
    <t>CAL-current-074</t>
  </si>
  <si>
    <t>000074</t>
  </si>
  <si>
    <t>CAL-current-075</t>
  </si>
  <si>
    <t>000075</t>
  </si>
  <si>
    <t>CAL-current-076</t>
  </si>
  <si>
    <t>000076</t>
  </si>
  <si>
    <t>CAL-current-077</t>
  </si>
  <si>
    <t>000077</t>
  </si>
  <si>
    <t>CAL-current-078</t>
  </si>
  <si>
    <t>000078</t>
  </si>
  <si>
    <t>CAL-current-079</t>
  </si>
  <si>
    <t>000079</t>
  </si>
  <si>
    <t>CAL-current-080</t>
  </si>
  <si>
    <t>000080</t>
  </si>
  <si>
    <t>CAL-current-081</t>
  </si>
  <si>
    <t>000081</t>
  </si>
  <si>
    <t>CAL-current-082</t>
  </si>
  <si>
    <t>000082</t>
  </si>
  <si>
    <t>CAL-current-083</t>
  </si>
  <si>
    <t>000083</t>
  </si>
  <si>
    <t>CAL-current-084</t>
  </si>
  <si>
    <t>000084</t>
  </si>
  <si>
    <t>CAL-current-085</t>
  </si>
  <si>
    <t>000085</t>
  </si>
  <si>
    <t>CAL-current-086</t>
  </si>
  <si>
    <t>000086</t>
  </si>
  <si>
    <t>Fictional Customer 04</t>
  </si>
  <si>
    <t>CAL-current-087</t>
  </si>
  <si>
    <t>000087</t>
  </si>
  <si>
    <t>CAL-current-088</t>
  </si>
  <si>
    <t>000088</t>
  </si>
  <si>
    <t>CAL-current-089</t>
  </si>
  <si>
    <t>000089</t>
  </si>
  <si>
    <t>CAL-current-090</t>
  </si>
  <si>
    <t>000090</t>
  </si>
  <si>
    <t>CAL-current-091</t>
  </si>
  <si>
    <t>000091</t>
  </si>
  <si>
    <t>CAL-current-092</t>
  </si>
  <si>
    <t>000092</t>
  </si>
  <si>
    <t>CAL-current-093</t>
  </si>
  <si>
    <t>000093</t>
  </si>
  <si>
    <t>CAL-current-094</t>
  </si>
  <si>
    <t>000094</t>
  </si>
  <si>
    <t>CAL-current-095</t>
  </si>
  <si>
    <t>000095</t>
  </si>
  <si>
    <t>Fictional Customer 05</t>
  </si>
  <si>
    <t>CAL-current-096</t>
  </si>
  <si>
    <t>000096</t>
  </si>
  <si>
    <t>Fictional Customer 06</t>
  </si>
  <si>
    <t>CAL-current-097</t>
  </si>
  <si>
    <t>000097</t>
  </si>
  <si>
    <t>Fictional Customer 07</t>
  </si>
  <si>
    <t>CAL-current-098</t>
  </si>
  <si>
    <t>000098</t>
  </si>
  <si>
    <t>CAL-prior-001</t>
  </si>
  <si>
    <t>CAL-prior-002</t>
  </si>
  <si>
    <t>CAL-prior-003</t>
  </si>
  <si>
    <t>CAL-prior-004</t>
  </si>
  <si>
    <t>CAL-prior-005</t>
  </si>
  <si>
    <t>CAL-prior-006</t>
  </si>
  <si>
    <t>CAL-prior-007</t>
  </si>
  <si>
    <t>CAL-prior-008</t>
  </si>
  <si>
    <t>CAL-prior-009</t>
  </si>
  <si>
    <t>CAL-prior-010</t>
  </si>
  <si>
    <t>CAL-prior-011</t>
  </si>
  <si>
    <t>CAL-prior-012</t>
  </si>
  <si>
    <t>CAL-prior-013</t>
  </si>
  <si>
    <t>CAL-prior-014</t>
  </si>
  <si>
    <t>CAL-prior-015</t>
  </si>
  <si>
    <t>CAL-prior-016</t>
  </si>
  <si>
    <t>CAL-prior-017</t>
  </si>
  <si>
    <t>CAL-prior-018</t>
  </si>
  <si>
    <t>CAL-prior-019</t>
  </si>
  <si>
    <t>CAL-prior-020</t>
  </si>
  <si>
    <t>CAL-prior-021</t>
  </si>
  <si>
    <t>CAL-prior-022</t>
  </si>
  <si>
    <t>CAL-prior-023</t>
  </si>
  <si>
    <t>CAL-prior-024</t>
  </si>
  <si>
    <t>CAL-prior-025</t>
  </si>
  <si>
    <t>CAL-prior-026</t>
  </si>
  <si>
    <t>CAL-prior-027</t>
  </si>
  <si>
    <t>CAL-prior-028</t>
  </si>
  <si>
    <t>CAL-prior-029</t>
  </si>
  <si>
    <t>CAL-prior-030</t>
  </si>
  <si>
    <t>CAL-prior-031</t>
  </si>
  <si>
    <t>CAL-prior-032</t>
  </si>
  <si>
    <t>CAL-prior-033</t>
  </si>
  <si>
    <t>CAL-prior-034</t>
  </si>
  <si>
    <t>CAL-prior-035</t>
  </si>
  <si>
    <t>CAL-prior-036</t>
  </si>
  <si>
    <t>CAL-prior-037</t>
  </si>
  <si>
    <t>CAL-prior-038</t>
  </si>
  <si>
    <t>CAL-prior-039</t>
  </si>
  <si>
    <t>CAL-prior-040</t>
  </si>
  <si>
    <t>CAL-prior-041</t>
  </si>
  <si>
    <t>CAL-prior-042</t>
  </si>
  <si>
    <t>CAL-prior-043</t>
  </si>
  <si>
    <t>CAL-prior-044</t>
  </si>
  <si>
    <t>CAL-prior-045</t>
  </si>
  <si>
    <t>CAL-prior-046</t>
  </si>
  <si>
    <t>CAL-prior-047</t>
  </si>
  <si>
    <t>CAL-prior-048</t>
  </si>
  <si>
    <t>CAL-prior-049</t>
  </si>
  <si>
    <t>CAL-prior-050</t>
  </si>
  <si>
    <t>CAL-prior-051</t>
  </si>
  <si>
    <t>CAL-prior-052</t>
  </si>
  <si>
    <t>CAL-prior-053</t>
  </si>
  <si>
    <t>CAL-prior-054</t>
  </si>
  <si>
    <t>CAL-prior-055</t>
  </si>
  <si>
    <t>CAL-prior-056</t>
  </si>
  <si>
    <t>CAL-prior-057</t>
  </si>
  <si>
    <t>CAL-prior-058</t>
  </si>
  <si>
    <t>CAL-prior-059</t>
  </si>
  <si>
    <t>CAL-prior-060</t>
  </si>
  <si>
    <t>CAL-prior-061</t>
  </si>
  <si>
    <t>CAL-prior-062</t>
  </si>
  <si>
    <t>CAL-prior-063</t>
  </si>
  <si>
    <t>CAL-prior-064</t>
  </si>
  <si>
    <t>CAL-prior-065</t>
  </si>
  <si>
    <t>CAL-prior-066</t>
  </si>
  <si>
    <t>CAL-prior-067</t>
  </si>
  <si>
    <t>CAL-prior-068</t>
  </si>
  <si>
    <t>CAL-prior-069</t>
  </si>
  <si>
    <t>CAL-prior-070</t>
  </si>
  <si>
    <t>CAL-prior-071</t>
  </si>
  <si>
    <t>CAL-prior-072</t>
  </si>
  <si>
    <t>CAL-prior-073</t>
  </si>
  <si>
    <t>CAL-prior-074</t>
  </si>
  <si>
    <t>CAL-prior-075</t>
  </si>
  <si>
    <t>CAL-prior-076</t>
  </si>
  <si>
    <t>CAL-prior-077</t>
  </si>
  <si>
    <t>CAL-prior-078</t>
  </si>
  <si>
    <t>CAL-prior-079</t>
  </si>
  <si>
    <t>CAL-prior-080</t>
  </si>
  <si>
    <t>ACCOUNTS RECEIVABLE RECONCILIATION &amp; RISK ANALYSIS</t>
  </si>
  <si>
    <t>KPI Metric</t>
  </si>
  <si>
    <t>Current Cycle</t>
  </si>
  <si>
    <t>Prior Cycle</t>
  </si>
  <si>
    <t>Variance</t>
  </si>
  <si>
    <t>Change (%)</t>
  </si>
  <si>
    <t>Overdue Debt (1–60 Days)</t>
  </si>
  <si>
    <t>Doubtful Debt (&gt;60 Days)</t>
  </si>
  <si>
    <t>Total Overdue &amp; Doubtful</t>
  </si>
  <si>
    <t>Due within 10 Days</t>
  </si>
  <si>
    <t>Overdue Ratio</t>
  </si>
  <si>
    <t>&gt;60-Day Ratio</t>
  </si>
  <si>
    <t>Current / In-Term</t>
  </si>
  <si>
    <t>Current
(not due)</t>
  </si>
  <si>
    <t>Due Today</t>
  </si>
  <si>
    <t>Due
today</t>
  </si>
  <si>
    <t>1–30d Overdue</t>
  </si>
  <si>
    <t>1–30d
overdue</t>
  </si>
  <si>
    <t>31–60d Overdue</t>
  </si>
  <si>
    <t>31–60d
overdue</t>
  </si>
  <si>
    <t>61–90d Doubtful</t>
  </si>
  <si>
    <t>61–90d
&gt;60 days</t>
  </si>
  <si>
    <t>91–180d Doubtful</t>
  </si>
  <si>
    <t>91–180d
&gt;60 days</t>
  </si>
  <si>
    <t>&gt;180d Doubtful</t>
  </si>
  <si>
    <t>&gt;180d
&gt;60 days</t>
  </si>
  <si>
    <t>Days 0–6</t>
  </si>
  <si>
    <t>Days 7–13</t>
  </si>
  <si>
    <t>Days 14–20</t>
  </si>
  <si>
    <t>Days 21–27</t>
  </si>
  <si>
    <t>Days 28–30</t>
  </si>
  <si>
    <t>Metric</t>
  </si>
  <si>
    <t>Current</t>
  </si>
  <si>
    <t>Prior</t>
  </si>
  <si>
    <t>Difference</t>
  </si>
  <si>
    <t>Average Overdue Days</t>
  </si>
  <si>
    <t>Unassigned</t>
  </si>
  <si>
    <t>Collection follow-up for the selected customer, staff member and receivables status.</t>
  </si>
  <si>
    <t>KH</t>
  </si>
  <si>
    <t>Invoice</t>
  </si>
  <si>
    <t>Document</t>
  </si>
  <si>
    <t>Sales</t>
  </si>
  <si>
    <t>Reconciliation checks</t>
  </si>
  <si>
    <t>Check</t>
  </si>
  <si>
    <t>Result</t>
  </si>
  <si>
    <t>Expected</t>
  </si>
  <si>
    <t>Invoice gross less receipts less balance</t>
  </si>
  <si>
    <t>Dashboard total to selected ledger</t>
  </si>
  <si>
    <t>Customer groups to filtered invoices</t>
  </si>
  <si>
    <t>Staff groups to filtered invoices</t>
  </si>
  <si>
    <t>Ageing buckets to filtered invoices</t>
  </si>
  <si>
    <t>Current invoice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</si>
</sst>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&quot; days&quot;"/>
    <numFmt numFmtId="166" formatCode="#,##0;\-#,##0;&quot;-&quot;"/>
    <numFmt numFmtId="167" formatCode="0.00,,,&quot; tỷ&quot;"/>
  </numFmts>
  <fonts count="50">
    <font>
      <sz val="11"/>
      <color theme="1"/>
      <name val="Times New Roman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name val="Carlito"/>
    </font>
    <font>
      <sz val="11"/>
      <color rgb="FF30343B"/>
      <name val="Arial"/>
      <family val="2"/>
    </font>
    <font>
      <b/>
      <sz val="11"/>
      <color rgb="FFFFFFFF"/>
      <name val="Arial"/>
      <family val="2"/>
    </font>
    <font>
      <sz val="11"/>
      <color rgb="FF30343B"/>
      <name val="Carlito"/>
    </font>
    <font>
      <sz val="10"/>
      <color rgb="FF17365D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6"/>
      <color rgb="FF223D79"/>
      <name val="Arial"/>
      <family val="2"/>
    </font>
    <font>
      <sz val="11"/>
      <color theme="1"/>
      <name val="Times New Roman"/>
      <family val="1"/>
      <scheme val="minor"/>
    </font>
    <font>
      <sz val="10"/>
      <color rgb="FF30343B"/>
      <name val="Arial"/>
      <family val="2"/>
    </font>
    <font>
      <sz val="11"/>
      <color rgb="FF30343B"/>
      <name val="Carlito"/>
    </font>
    <font>
      <sz val="9"/>
      <color rgb="FF64748B"/>
      <name val="Arial"/>
      <family val="2"/>
    </font>
    <font>
      <sz val="10"/>
      <color rgb="FF17365D"/>
      <name val="Arial"/>
      <family val="2"/>
    </font>
    <font>
      <b/>
      <sz val="10"/>
      <color rgb="FF17365D"/>
      <name val="Arial"/>
      <family val="2"/>
    </font>
    <font>
      <sz val="10"/>
      <color theme="1"/>
      <name val="Times New Roman"/>
      <family val="1"/>
      <scheme val="minor"/>
    </font>
    <font>
      <b/>
      <sz val="10"/>
      <color theme="1" tint="0.499984740745262"/>
      <name val="Arial"/>
      <family val="2"/>
    </font>
    <font>
      <sz val="10"/>
      <color rgb="FF6B7280"/>
      <name val="Arial"/>
      <family val="2"/>
    </font>
    <font>
      <sz val="10"/>
      <color rgb="FF223D79"/>
      <name val="Times New Roman"/>
      <family val="1"/>
      <scheme val="minor"/>
    </font>
    <font>
      <b/>
      <sz val="9"/>
      <color rgb="FF17365D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10"/>
      <color rgb="FFFFFFFF"/>
      <name val="Arial"/>
      <family val="2"/>
    </font>
    <font>
      <sz val="9"/>
      <color rgb="FF223D79"/>
      <name val="Arial"/>
      <family val="2"/>
    </font>
    <font>
      <b/>
      <sz val="8"/>
      <color rgb="FF17365D"/>
      <name val="Arial"/>
      <family val="2"/>
    </font>
    <font>
      <sz val="22"/>
      <color rgb="FFC00000"/>
      <name val="Arial"/>
      <family val="2"/>
    </font>
    <font>
      <sz val="12"/>
      <color rgb="FF0F172A"/>
      <name val="Arial"/>
      <family val="2"/>
    </font>
    <font>
      <b/>
      <sz val="21"/>
      <color rgb="FF0F172A"/>
      <name val="Arial"/>
      <family val="2"/>
    </font>
    <font>
      <b/>
      <sz val="21"/>
      <color rgb="FF0F172A"/>
      <name val="Arial"/>
      <family val="2"/>
    </font>
    <font>
      <b/>
      <sz val="21"/>
      <color rgb="FF0F172A"/>
      <name val="Arial"/>
      <family val="2"/>
    </font>
    <font>
      <sz val="10.5"/>
      <color rgb="FF64748B"/>
      <name val="Arial"/>
      <family val="2"/>
    </font>
    <font>
      <sz val="10.5"/>
      <color rgb="FF64748B"/>
      <name val="Arial"/>
      <family val="2"/>
    </font>
    <font>
      <sz val="10.5"/>
      <color rgb="FF64748B"/>
      <name val="Arial"/>
      <family val="2"/>
    </font>
    <font>
      <b/>
      <sz val="11.5"/>
      <color rgb="FF0F172A"/>
      <name val="Arial"/>
      <family val="2"/>
    </font>
    <font>
      <b/>
      <sz val="19"/>
      <color rgb="FF0F172A"/>
      <name val="Arial"/>
      <family val="2"/>
    </font>
    <font>
      <sz val="11.5"/>
      <color rgb="FF52637D"/>
      <name val="Arial"/>
      <family val="2"/>
    </font>
    <font>
      <sz val="11"/>
      <color rgb="FFDC2626"/>
      <name val="Arial"/>
      <family val="2"/>
    </font>
    <font>
      <b/>
      <sz val="19"/>
      <color rgb="FF0F172A"/>
      <name val="Arial"/>
      <family val="2"/>
    </font>
    <font>
      <sz val="11"/>
      <color rgb="FF009B91"/>
      <name val="Arial"/>
      <family val="2"/>
    </font>
    <font>
      <b/>
      <sz val="19"/>
      <color rgb="FF0F172A"/>
      <name val="Arial"/>
      <family val="2"/>
    </font>
    <font>
      <sz val="11"/>
      <color rgb="FF009B91"/>
      <name val="Arial"/>
      <family val="2"/>
    </font>
    <font>
      <sz val="11"/>
      <color rgb="FFDC2626"/>
      <name val="Arial"/>
      <family val="2"/>
    </font>
    <font>
      <sz val="11"/>
      <color rgb="FF009B91"/>
      <name val="Arial"/>
      <family val="2"/>
    </font>
    <font>
      <sz val="11"/>
      <color rgb="FFDC2626"/>
      <name val="Arial"/>
      <family val="2"/>
    </font>
    <font>
      <b/>
      <sz val="11"/>
      <color rgb="FF0F172A"/>
      <name val="Arial"/>
      <family val="2"/>
    </font>
    <font>
      <sz val="11"/>
      <color rgb="FF0F172A"/>
      <name val="Times New Roman"/>
      <charset val="134"/>
      <scheme val="minor"/>
    </font>
    <font>
      <b/>
      <sz val="14"/>
      <color rgb="FF0F172A"/>
      <name val="Times New Roman"/>
      <charset val="134"/>
      <scheme val="minor"/>
    </font>
    <font>
      <b/>
      <sz val="11"/>
      <color rgb="FF0F172A"/>
      <name val="Times New Roman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none"/>
    </fill>
    <fill>
      <patternFill patternType="solid">
        <fgColor rgb="FFB00000"/>
      </patternFill>
    </fill>
    <fill>
      <patternFill patternType="solid">
        <fgColor rgb="FFFFF1CC"/>
      </patternFill>
    </fill>
    <fill>
      <patternFill patternType="solid">
        <fgColor rgb="FF17365D"/>
      </patternFill>
    </fill>
    <fill>
      <patternFill patternType="solid">
        <fgColor rgb="FF223D79"/>
        <bgColor indexed="64"/>
      </patternFill>
    </fill>
    <fill>
      <patternFill patternType="none"/>
    </fill>
    <fill>
      <patternFill patternType="none"/>
    </fill>
    <fill>
      <patternFill patternType="solid">
        <fgColor rgb="FFFFF1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23D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9FC5E8"/>
      </patternFill>
    </fill>
    <fill>
      <patternFill patternType="solid">
        <fgColor rgb="FFF7F9FC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3" borderId="2"/>
  </cellStyleXfs>
  <cellXfs count="82">
    <xf numFmtId="0" fontId="0" fillId="0" borderId="0" xfId="0"/>
    <xf numFmtId="0" fontId="4" fillId="3" borderId="2" xfId="0" applyFont="1" applyFill="1" applyBorder="1"/>
    <xf numFmtId="0" fontId="5" fillId="4" borderId="2" xfId="0" applyFont="1" applyFill="1" applyBorder="1"/>
    <xf numFmtId="0" fontId="5" fillId="4" borderId="2" xfId="0" applyFont="1" applyFill="1" applyBorder="1" applyAlignment="1">
      <alignment wrapText="1"/>
    </xf>
    <xf numFmtId="14" fontId="4" fillId="3" borderId="2" xfId="0" applyNumberFormat="1" applyFont="1" applyFill="1" applyBorder="1"/>
    <xf numFmtId="3" fontId="4" fillId="3" borderId="2" xfId="0" applyNumberFormat="1" applyFont="1" applyFill="1" applyBorder="1"/>
    <xf numFmtId="14" fontId="4" fillId="5" borderId="2" xfId="0" applyNumberFormat="1" applyFont="1" applyFill="1" applyBorder="1"/>
    <xf numFmtId="0" fontId="4" fillId="5" borderId="2" xfId="0" applyFont="1" applyFill="1" applyBorder="1"/>
    <xf numFmtId="0" fontId="6" fillId="3" borderId="2" xfId="2" applyFont="1"/>
    <xf numFmtId="4" fontId="0" fillId="0" borderId="0" xfId="0" applyNumberFormat="1"/>
    <xf numFmtId="0" fontId="6" fillId="3" borderId="2" xfId="2" applyFont="1" applyAlignment="1">
      <alignment vertical="top"/>
    </xf>
    <xf numFmtId="0" fontId="7" fillId="0" borderId="0" xfId="0" applyFont="1" applyAlignment="1">
      <alignment vertical="center"/>
    </xf>
    <xf numFmtId="0" fontId="8" fillId="6" borderId="0" xfId="0" applyFont="1" applyFill="1" applyAlignment="1">
      <alignment vertical="center" wrapText="1"/>
    </xf>
    <xf numFmtId="164" fontId="7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3" fontId="8" fillId="6" borderId="0" xfId="0" applyNumberFormat="1" applyFont="1" applyFill="1" applyAlignment="1">
      <alignment vertical="center" wrapText="1"/>
    </xf>
    <xf numFmtId="49" fontId="4" fillId="3" borderId="2" xfId="0" applyNumberFormat="1" applyFont="1" applyFill="1" applyBorder="1"/>
    <xf numFmtId="49" fontId="0" fillId="0" borderId="0" xfId="0" applyNumberFormat="1"/>
    <xf numFmtId="3" fontId="9" fillId="0" borderId="0" xfId="0" applyNumberFormat="1" applyFont="1"/>
    <xf numFmtId="3" fontId="8" fillId="7" borderId="0" xfId="0" applyNumberFormat="1" applyFont="1" applyFill="1" applyAlignment="1">
      <alignment wrapText="1"/>
    </xf>
    <xf numFmtId="0" fontId="10" fillId="0" borderId="0" xfId="0" applyFont="1" applyAlignment="1">
      <alignment vertical="center"/>
    </xf>
    <xf numFmtId="0" fontId="8" fillId="7" borderId="0" xfId="0" applyFont="1" applyFill="1" applyAlignment="1">
      <alignment vertical="center" wrapText="1"/>
    </xf>
    <xf numFmtId="3" fontId="8" fillId="7" borderId="0" xfId="0" applyNumberFormat="1" applyFont="1" applyFill="1" applyAlignment="1">
      <alignment vertical="center" wrapText="1"/>
    </xf>
    <xf numFmtId="3" fontId="8" fillId="7" borderId="0" xfId="0" applyNumberFormat="1" applyFont="1" applyFill="1" applyAlignment="1">
      <alignment vertical="center"/>
    </xf>
    <xf numFmtId="1" fontId="7" fillId="0" borderId="0" xfId="0" applyNumberFormat="1" applyFont="1" applyAlignment="1">
      <alignment vertical="center"/>
    </xf>
    <xf numFmtId="0" fontId="9" fillId="0" borderId="0" xfId="0" applyFont="1"/>
    <xf numFmtId="0" fontId="12" fillId="9" borderId="4" xfId="0" applyFont="1" applyFill="1" applyBorder="1" applyAlignment="1">
      <alignment horizontal="left" vertical="center"/>
    </xf>
    <xf numFmtId="0" fontId="13" fillId="9" borderId="4" xfId="0" applyFont="1" applyFill="1" applyBorder="1"/>
    <xf numFmtId="0" fontId="15" fillId="11" borderId="4" xfId="0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left" wrapText="1"/>
    </xf>
    <xf numFmtId="0" fontId="16" fillId="11" borderId="4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left" vertical="top" wrapText="1"/>
    </xf>
    <xf numFmtId="0" fontId="12" fillId="9" borderId="4" xfId="0" applyFont="1" applyFill="1" applyBorder="1" applyAlignment="1">
      <alignment horizontal="left" vertical="top"/>
    </xf>
    <xf numFmtId="0" fontId="19" fillId="9" borderId="4" xfId="0" applyFont="1" applyFill="1" applyBorder="1" applyAlignment="1">
      <alignment horizontal="left" vertical="center"/>
    </xf>
    <xf numFmtId="0" fontId="20" fillId="11" borderId="4" xfId="0" applyFont="1" applyFill="1" applyBorder="1" applyAlignment="1">
      <alignment horizontal="left" wrapText="1"/>
    </xf>
    <xf numFmtId="3" fontId="13" fillId="9" borderId="4" xfId="0" applyNumberFormat="1" applyFont="1" applyFill="1" applyBorder="1" applyAlignment="1">
      <alignment vertical="top"/>
    </xf>
    <xf numFmtId="2" fontId="13" fillId="9" borderId="4" xfId="0" applyNumberFormat="1" applyFont="1" applyFill="1" applyBorder="1"/>
    <xf numFmtId="3" fontId="13" fillId="9" borderId="4" xfId="0" applyNumberFormat="1" applyFont="1" applyFill="1" applyBorder="1"/>
    <xf numFmtId="0" fontId="18" fillId="12" borderId="4" xfId="0" applyFont="1" applyFill="1" applyBorder="1" applyAlignment="1">
      <alignment vertical="center"/>
    </xf>
    <xf numFmtId="0" fontId="18" fillId="8" borderId="4" xfId="0" applyFont="1" applyFill="1" applyBorder="1" applyAlignment="1">
      <alignment vertical="center"/>
    </xf>
    <xf numFmtId="14" fontId="21" fillId="8" borderId="4" xfId="0" applyNumberFormat="1" applyFont="1" applyFill="1" applyBorder="1" applyAlignment="1">
      <alignment vertical="center"/>
    </xf>
    <xf numFmtId="0" fontId="11" fillId="9" borderId="4" xfId="0" applyFont="1" applyFill="1" applyBorder="1"/>
    <xf numFmtId="0" fontId="25" fillId="14" borderId="5" xfId="0" applyFont="1" applyFill="1" applyBorder="1" applyAlignment="1">
      <alignment horizontal="left" vertical="center"/>
    </xf>
    <xf numFmtId="0" fontId="0" fillId="14" borderId="5" xfId="0" applyFill="1" applyBorder="1"/>
    <xf numFmtId="3" fontId="22" fillId="14" borderId="5" xfId="0" applyNumberFormat="1" applyFont="1" applyFill="1" applyBorder="1" applyAlignment="1">
      <alignment horizontal="left" vertical="center"/>
    </xf>
    <xf numFmtId="166" fontId="22" fillId="14" borderId="5" xfId="0" applyNumberFormat="1" applyFont="1" applyFill="1" applyBorder="1" applyAlignment="1">
      <alignment horizontal="right" vertical="center"/>
    </xf>
    <xf numFmtId="14" fontId="26" fillId="10" borderId="4" xfId="0" applyNumberFormat="1" applyFont="1" applyFill="1" applyBorder="1" applyAlignment="1">
      <alignment vertical="center" shrinkToFit="1"/>
    </xf>
    <xf numFmtId="0" fontId="24" fillId="14" borderId="5" xfId="0" applyFont="1" applyFill="1" applyBorder="1" applyAlignment="1">
      <alignment horizontal="center" vertical="center"/>
    </xf>
    <xf numFmtId="0" fontId="23" fillId="13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left" vertical="center"/>
    </xf>
    <xf numFmtId="0" fontId="47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23" fillId="13" borderId="5" xfId="0" applyFont="1" applyFill="1" applyBorder="1" applyAlignment="1">
      <alignment horizontal="center" vertical="center" wrapText="1"/>
    </xf>
    <xf numFmtId="166" fontId="22" fillId="14" borderId="5" xfId="0" applyNumberFormat="1" applyFont="1" applyFill="1" applyBorder="1" applyAlignment="1">
      <alignment horizontal="right" vertical="center"/>
    </xf>
    <xf numFmtId="0" fontId="46" fillId="14" borderId="5" xfId="0" applyFont="1" applyFill="1" applyBorder="1" applyAlignment="1">
      <alignment horizontal="left" vertical="center"/>
    </xf>
    <xf numFmtId="0" fontId="24" fillId="14" borderId="5" xfId="0" applyFont="1" applyFill="1" applyBorder="1" applyAlignment="1">
      <alignment horizontal="left" vertical="center"/>
    </xf>
    <xf numFmtId="0" fontId="43" fillId="16" borderId="5" xfId="0" applyFont="1" applyFill="1" applyBorder="1" applyAlignment="1">
      <alignment horizontal="left" vertical="center"/>
    </xf>
    <xf numFmtId="0" fontId="34" fillId="16" borderId="5" xfId="0" applyFont="1" applyFill="1" applyBorder="1" applyAlignment="1">
      <alignment horizontal="left" vertical="center"/>
    </xf>
    <xf numFmtId="0" fontId="44" fillId="16" borderId="5" xfId="0" applyFont="1" applyFill="1" applyBorder="1" applyAlignment="1">
      <alignment horizontal="left" vertical="center"/>
    </xf>
    <xf numFmtId="0" fontId="24" fillId="14" borderId="5" xfId="0" applyFont="1" applyFill="1" applyBorder="1" applyAlignment="1">
      <alignment horizontal="center" vertical="center"/>
    </xf>
    <xf numFmtId="0" fontId="25" fillId="14" borderId="5" xfId="0" applyFont="1" applyFill="1" applyBorder="1" applyAlignment="1">
      <alignment horizontal="left" vertical="center"/>
    </xf>
    <xf numFmtId="0" fontId="35" fillId="16" borderId="5" xfId="0" applyFont="1" applyFill="1" applyBorder="1" applyAlignment="1">
      <alignment horizontal="left" vertical="center" wrapText="1"/>
    </xf>
    <xf numFmtId="0" fontId="28" fillId="16" borderId="5" xfId="0" applyFont="1" applyFill="1" applyBorder="1" applyAlignment="1">
      <alignment horizontal="left" vertical="center" wrapText="1"/>
    </xf>
    <xf numFmtId="167" fontId="36" fillId="16" borderId="5" xfId="0" applyNumberFormat="1" applyFont="1" applyFill="1" applyBorder="1" applyAlignment="1">
      <alignment horizontal="left" vertical="center"/>
    </xf>
    <xf numFmtId="167" fontId="29" fillId="16" borderId="5" xfId="0" applyNumberFormat="1" applyFont="1" applyFill="1" applyBorder="1" applyAlignment="1">
      <alignment horizontal="left" vertical="center"/>
    </xf>
    <xf numFmtId="165" fontId="39" fillId="16" borderId="5" xfId="0" applyNumberFormat="1" applyFont="1" applyFill="1" applyBorder="1" applyAlignment="1">
      <alignment horizontal="left" vertical="center"/>
    </xf>
    <xf numFmtId="165" fontId="30" fillId="16" borderId="5" xfId="0" applyNumberFormat="1" applyFont="1" applyFill="1" applyBorder="1" applyAlignment="1">
      <alignment horizontal="left" vertical="center"/>
    </xf>
    <xf numFmtId="164" fontId="41" fillId="16" borderId="5" xfId="0" applyNumberFormat="1" applyFont="1" applyFill="1" applyBorder="1" applyAlignment="1">
      <alignment horizontal="left" vertical="center"/>
    </xf>
    <xf numFmtId="164" fontId="31" fillId="16" borderId="5" xfId="0" applyNumberFormat="1" applyFont="1" applyFill="1" applyBorder="1" applyAlignment="1">
      <alignment horizontal="left" vertical="center"/>
    </xf>
    <xf numFmtId="0" fontId="37" fillId="16" borderId="5" xfId="0" applyFont="1" applyFill="1" applyBorder="1" applyAlignment="1">
      <alignment horizontal="left" vertical="center"/>
    </xf>
    <xf numFmtId="0" fontId="32" fillId="16" borderId="5" xfId="0" applyFont="1" applyFill="1" applyBorder="1" applyAlignment="1">
      <alignment horizontal="left" vertical="center" wrapText="1"/>
    </xf>
    <xf numFmtId="0" fontId="38" fillId="16" borderId="5" xfId="0" applyFont="1" applyFill="1" applyBorder="1" applyAlignment="1">
      <alignment horizontal="left" vertical="center"/>
    </xf>
    <xf numFmtId="0" fontId="33" fillId="16" borderId="5" xfId="0" applyFont="1" applyFill="1" applyBorder="1" applyAlignment="1">
      <alignment horizontal="left" vertical="center"/>
    </xf>
    <xf numFmtId="0" fontId="40" fillId="16" borderId="5" xfId="0" applyFont="1" applyFill="1" applyBorder="1" applyAlignment="1">
      <alignment horizontal="left" vertical="center"/>
    </xf>
    <xf numFmtId="0" fontId="42" fillId="16" borderId="5" xfId="0" applyFont="1" applyFill="1" applyBorder="1" applyAlignment="1">
      <alignment horizontal="left" vertical="center"/>
    </xf>
    <xf numFmtId="0" fontId="27" fillId="14" borderId="5" xfId="0" applyFont="1" applyFill="1" applyBorder="1" applyAlignment="1">
      <alignment horizontal="left" vertical="center"/>
    </xf>
    <xf numFmtId="0" fontId="25" fillId="15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left" vertical="center"/>
    </xf>
    <xf numFmtId="0" fontId="45" fillId="16" borderId="5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31000000}"/>
    <cellStyle name="Normal 3" xfId="2" xr:uid="{FF86BF2A-E284-4F1A-A36A-F2DC017FE1F7}"/>
  </cellStyles>
  <dxfs count="4">
    <dxf>
      <font>
        <color rgb="FF15803D"/>
      </font>
    </dxf>
    <dxf>
      <font>
        <color rgb="FFB91C1C"/>
      </font>
    </dxf>
    <dxf>
      <font>
        <color rgb="FF15803D"/>
      </font>
    </dxf>
    <dxf>
      <font>
        <color rgb="FFB91C1C"/>
      </font>
    </dxf>
  </dxfs>
  <tableStyles count="0" defaultTableStyle="TableStyleMedium2" defaultPivotStyle="PivotStyleLight16"/>
  <colors>
    <mruColors>
      <color rgb="FF6B7280"/>
      <color rgb="FF9D0208"/>
      <color rgb="FFFB8B24"/>
      <color rgb="FFFFEA00"/>
      <color rgb="FFDC2F02"/>
      <color rgb="FFFFCE4F"/>
      <color rgb="FFFFC42C"/>
      <color rgb="FFFFA552"/>
      <color rgb="FFD00000"/>
      <color rgb="FFFFB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00000" cap="rnd">
              <a:solidFill>
                <a:srgbClr val="FEF08A"/>
              </a:solidFill>
              <a:prstDash val="solid"/>
            </a:ln>
          </c:spPr>
          <c:marker>
            <c:symbol val="none"/>
          </c:marker>
          <c:xVal>
            <c:numRef>
              <c:f>Analysis!$R$5:$R$15</c:f>
              <c:numCache>
                <c:formatCode>General</c:formatCode>
                <c:ptCount val="11"/>
                <c:pt idx="0">
                  <c:v>-1</c:v>
                </c:pt>
                <c:pt idx="1">
                  <c:v>-0.98</c:v>
                </c:pt>
                <c:pt idx="2">
                  <c:v>-0.96</c:v>
                </c:pt>
                <c:pt idx="3">
                  <c:v>-0.94</c:v>
                </c:pt>
                <c:pt idx="4">
                  <c:v>-0.92</c:v>
                </c:pt>
                <c:pt idx="5">
                  <c:v>-0.9</c:v>
                </c:pt>
                <c:pt idx="6">
                  <c:v>-0.88</c:v>
                </c:pt>
                <c:pt idx="7">
                  <c:v>-0.86</c:v>
                </c:pt>
                <c:pt idx="8">
                  <c:v>-0.84</c:v>
                </c:pt>
                <c:pt idx="9">
                  <c:v>-0.82</c:v>
                </c:pt>
                <c:pt idx="10">
                  <c:v>-0.8</c:v>
                </c:pt>
              </c:numCache>
            </c:numRef>
          </c:xVal>
          <c:yVal>
            <c:numRef>
              <c:f>Analysis!$S$5:$S$15</c:f>
              <c:numCache>
                <c:formatCode>General</c:formatCode>
                <c:ptCount val="11"/>
                <c:pt idx="0">
                  <c:v>0</c:v>
                </c:pt>
                <c:pt idx="1">
                  <c:v>0.1989974874213242</c:v>
                </c:pt>
                <c:pt idx="2">
                  <c:v>0.28000000000000003</c:v>
                </c:pt>
                <c:pt idx="3">
                  <c:v>0.34117444218463971</c:v>
                </c:pt>
                <c:pt idx="4">
                  <c:v>0.39191835884530846</c:v>
                </c:pt>
                <c:pt idx="5">
                  <c:v>0.43588989435406728</c:v>
                </c:pt>
                <c:pt idx="6">
                  <c:v>0.4749736834815167</c:v>
                </c:pt>
                <c:pt idx="7">
                  <c:v>0.51029403288692299</c:v>
                </c:pt>
                <c:pt idx="8">
                  <c:v>0.54258639865002156</c:v>
                </c:pt>
                <c:pt idx="9">
                  <c:v>0.57236352085016751</c:v>
                </c:pt>
                <c:pt idx="10">
                  <c:v>0.59999999999999987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4-431F-9F5A-43507C3C0A0A}"/>
            </c:ext>
          </c:extLst>
        </c:ser>
        <c:ser>
          <c:idx val="1"/>
          <c:order val="1"/>
          <c:spPr>
            <a:ln w="300000" cap="rnd">
              <a:solidFill>
                <a:srgbClr val="FBBF24"/>
              </a:solidFill>
              <a:prstDash val="solid"/>
            </a:ln>
          </c:spPr>
          <c:marker>
            <c:symbol val="none"/>
          </c:marker>
          <c:xVal>
            <c:numRef>
              <c:f>Analysis!$R$15:$R$26</c:f>
              <c:numCache>
                <c:formatCode>General</c:formatCode>
                <c:ptCount val="12"/>
                <c:pt idx="0">
                  <c:v>-0.8</c:v>
                </c:pt>
                <c:pt idx="1">
                  <c:v>-0.78</c:v>
                </c:pt>
                <c:pt idx="2">
                  <c:v>-0.76</c:v>
                </c:pt>
                <c:pt idx="3">
                  <c:v>-0.74</c:v>
                </c:pt>
                <c:pt idx="4">
                  <c:v>-0.72</c:v>
                </c:pt>
                <c:pt idx="5">
                  <c:v>-0.7</c:v>
                </c:pt>
                <c:pt idx="6">
                  <c:v>-0.68</c:v>
                </c:pt>
                <c:pt idx="7">
                  <c:v>-0.66</c:v>
                </c:pt>
                <c:pt idx="8">
                  <c:v>-0.64</c:v>
                </c:pt>
                <c:pt idx="9">
                  <c:v>-0.62</c:v>
                </c:pt>
                <c:pt idx="10">
                  <c:v>-0.6</c:v>
                </c:pt>
                <c:pt idx="11">
                  <c:v>-0.57999999999999996</c:v>
                </c:pt>
              </c:numCache>
            </c:numRef>
          </c:xVal>
          <c:yVal>
            <c:numRef>
              <c:f>Analysis!$S$15:$S$26</c:f>
              <c:numCache>
                <c:formatCode>General</c:formatCode>
                <c:ptCount val="12"/>
                <c:pt idx="0">
                  <c:v>0.59999999999999987</c:v>
                </c:pt>
                <c:pt idx="1">
                  <c:v>0.62577951388648057</c:v>
                </c:pt>
                <c:pt idx="2">
                  <c:v>0.64992307237087688</c:v>
                </c:pt>
                <c:pt idx="3">
                  <c:v>0.67260686883200949</c:v>
                </c:pt>
                <c:pt idx="4">
                  <c:v>0.69397406291589891</c:v>
                </c:pt>
                <c:pt idx="5">
                  <c:v>0.71414284285428498</c:v>
                </c:pt>
                <c:pt idx="6">
                  <c:v>0.73321211119293428</c:v>
                </c:pt>
                <c:pt idx="7">
                  <c:v>0.751265598839718</c:v>
                </c:pt>
                <c:pt idx="8">
                  <c:v>0.7683749084919419</c:v>
                </c:pt>
                <c:pt idx="9">
                  <c:v>0.7846018098373212</c:v>
                </c:pt>
                <c:pt idx="10">
                  <c:v>0.8</c:v>
                </c:pt>
                <c:pt idx="11">
                  <c:v>0.81461647417665206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84-431F-9F5A-43507C3C0A0A}"/>
            </c:ext>
          </c:extLst>
        </c:ser>
        <c:ser>
          <c:idx val="2"/>
          <c:order val="2"/>
          <c:spPr>
            <a:ln w="300000" cap="rnd">
              <a:solidFill>
                <a:srgbClr val="FB923C"/>
              </a:solidFill>
              <a:prstDash val="solid"/>
            </a:ln>
          </c:spPr>
          <c:marker>
            <c:symbol val="none"/>
          </c:marker>
          <c:xVal>
            <c:numRef>
              <c:f>Analysis!$R$26:$R$47</c:f>
              <c:numCache>
                <c:formatCode>General</c:formatCode>
                <c:ptCount val="22"/>
                <c:pt idx="0">
                  <c:v>-0.57999999999999996</c:v>
                </c:pt>
                <c:pt idx="1">
                  <c:v>-0.56000000000000005</c:v>
                </c:pt>
                <c:pt idx="2">
                  <c:v>-0.54</c:v>
                </c:pt>
                <c:pt idx="3">
                  <c:v>-0.52</c:v>
                </c:pt>
                <c:pt idx="4">
                  <c:v>-0.5</c:v>
                </c:pt>
                <c:pt idx="5">
                  <c:v>-0.48</c:v>
                </c:pt>
                <c:pt idx="6">
                  <c:v>-0.46</c:v>
                </c:pt>
                <c:pt idx="7">
                  <c:v>-0.44</c:v>
                </c:pt>
                <c:pt idx="8">
                  <c:v>-0.42</c:v>
                </c:pt>
                <c:pt idx="9">
                  <c:v>-0.4</c:v>
                </c:pt>
                <c:pt idx="10">
                  <c:v>-0.38</c:v>
                </c:pt>
                <c:pt idx="11">
                  <c:v>-0.36</c:v>
                </c:pt>
                <c:pt idx="12">
                  <c:v>-0.34</c:v>
                </c:pt>
                <c:pt idx="13">
                  <c:v>-0.32</c:v>
                </c:pt>
                <c:pt idx="14">
                  <c:v>-0.3</c:v>
                </c:pt>
                <c:pt idx="15">
                  <c:v>-0.28000000000000003</c:v>
                </c:pt>
                <c:pt idx="16">
                  <c:v>-0.26</c:v>
                </c:pt>
                <c:pt idx="17">
                  <c:v>-0.24</c:v>
                </c:pt>
                <c:pt idx="18">
                  <c:v>-0.22</c:v>
                </c:pt>
                <c:pt idx="19">
                  <c:v>-0.2</c:v>
                </c:pt>
                <c:pt idx="20">
                  <c:v>-0.18</c:v>
                </c:pt>
                <c:pt idx="21">
                  <c:v>-0.16</c:v>
                </c:pt>
              </c:numCache>
            </c:numRef>
          </c:xVal>
          <c:yVal>
            <c:numRef>
              <c:f>Analysis!$S$26:$S$47</c:f>
              <c:numCache>
                <c:formatCode>General</c:formatCode>
                <c:ptCount val="22"/>
                <c:pt idx="0">
                  <c:v>0.81461647417665206</c:v>
                </c:pt>
                <c:pt idx="1">
                  <c:v>0.82849260708831907</c:v>
                </c:pt>
                <c:pt idx="2">
                  <c:v>0.84166501650003245</c:v>
                </c:pt>
                <c:pt idx="3">
                  <c:v>0.85416626016250496</c:v>
                </c:pt>
                <c:pt idx="4">
                  <c:v>0.8660254037844386</c:v>
                </c:pt>
                <c:pt idx="5">
                  <c:v>0.87726848797845236</c:v>
                </c:pt>
                <c:pt idx="6">
                  <c:v>0.88791891521692456</c:v>
                </c:pt>
                <c:pt idx="7">
                  <c:v>0.89799777282574589</c:v>
                </c:pt>
                <c:pt idx="8">
                  <c:v>0.90752410436307418</c:v>
                </c:pt>
                <c:pt idx="9">
                  <c:v>0.91651513899116799</c:v>
                </c:pt>
                <c:pt idx="10">
                  <c:v>0.92498648638777425</c:v>
                </c:pt>
                <c:pt idx="11">
                  <c:v>0.93295230317524813</c:v>
                </c:pt>
                <c:pt idx="12">
                  <c:v>0.9404254356406998</c:v>
                </c:pt>
                <c:pt idx="13">
                  <c:v>0.94741754258616084</c:v>
                </c:pt>
                <c:pt idx="14">
                  <c:v>0.95393920141694566</c:v>
                </c:pt>
                <c:pt idx="15">
                  <c:v>0.96</c:v>
                </c:pt>
                <c:pt idx="16">
                  <c:v>0.96560861636586492</c:v>
                </c:pt>
                <c:pt idx="17">
                  <c:v>0.97077288796092776</c:v>
                </c:pt>
                <c:pt idx="18">
                  <c:v>0.97549987186057585</c:v>
                </c:pt>
                <c:pt idx="19">
                  <c:v>0.9797958971132712</c:v>
                </c:pt>
                <c:pt idx="20">
                  <c:v>0.98366661018863499</c:v>
                </c:pt>
                <c:pt idx="21">
                  <c:v>0.98711701434024535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84-431F-9F5A-43507C3C0A0A}"/>
            </c:ext>
          </c:extLst>
        </c:ser>
        <c:ser>
          <c:idx val="3"/>
          <c:order val="3"/>
          <c:spPr>
            <a:ln w="300000" cap="rnd">
              <a:solidFill>
                <a:srgbClr val="F87171"/>
              </a:solidFill>
              <a:prstDash val="solid"/>
            </a:ln>
          </c:spPr>
          <c:marker>
            <c:symbol val="none"/>
          </c:marker>
          <c:xVal>
            <c:numRef>
              <c:f>Analysis!$R$47:$R$70</c:f>
              <c:numCache>
                <c:formatCode>General</c:formatCode>
                <c:ptCount val="24"/>
                <c:pt idx="0">
                  <c:v>-0.16</c:v>
                </c:pt>
                <c:pt idx="1">
                  <c:v>-0.14000000000000001</c:v>
                </c:pt>
                <c:pt idx="2">
                  <c:v>-0.12</c:v>
                </c:pt>
                <c:pt idx="3">
                  <c:v>-0.1</c:v>
                </c:pt>
                <c:pt idx="4">
                  <c:v>-0.08</c:v>
                </c:pt>
                <c:pt idx="5">
                  <c:v>-0.06</c:v>
                </c:pt>
                <c:pt idx="6">
                  <c:v>-0.04</c:v>
                </c:pt>
                <c:pt idx="7">
                  <c:v>-0.02</c:v>
                </c:pt>
                <c:pt idx="8">
                  <c:v>0</c:v>
                </c:pt>
                <c:pt idx="9">
                  <c:v>0.02</c:v>
                </c:pt>
                <c:pt idx="10">
                  <c:v>0.04</c:v>
                </c:pt>
                <c:pt idx="11">
                  <c:v>0.06</c:v>
                </c:pt>
                <c:pt idx="12">
                  <c:v>0.08</c:v>
                </c:pt>
                <c:pt idx="13">
                  <c:v>0.1</c:v>
                </c:pt>
                <c:pt idx="14">
                  <c:v>0.12</c:v>
                </c:pt>
                <c:pt idx="15">
                  <c:v>0.14000000000000001</c:v>
                </c:pt>
                <c:pt idx="16">
                  <c:v>0.16</c:v>
                </c:pt>
                <c:pt idx="17">
                  <c:v>0.18</c:v>
                </c:pt>
                <c:pt idx="18">
                  <c:v>0.2</c:v>
                </c:pt>
                <c:pt idx="19">
                  <c:v>0.22</c:v>
                </c:pt>
                <c:pt idx="20">
                  <c:v>0.24</c:v>
                </c:pt>
                <c:pt idx="21">
                  <c:v>0.26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xVal>
          <c:yVal>
            <c:numRef>
              <c:f>Analysis!$S$47:$S$70</c:f>
              <c:numCache>
                <c:formatCode>General</c:formatCode>
                <c:ptCount val="24"/>
                <c:pt idx="0">
                  <c:v>0.98711701434024535</c:v>
                </c:pt>
                <c:pt idx="1">
                  <c:v>0.99015150355892512</c:v>
                </c:pt>
                <c:pt idx="2">
                  <c:v>0.99277389167926855</c:v>
                </c:pt>
                <c:pt idx="3">
                  <c:v>0.99498743710661997</c:v>
                </c:pt>
                <c:pt idx="4">
                  <c:v>0.996794863550169</c:v>
                </c:pt>
                <c:pt idx="5">
                  <c:v>0.99819837707742243</c:v>
                </c:pt>
                <c:pt idx="6">
                  <c:v>0.99919967974374369</c:v>
                </c:pt>
                <c:pt idx="7">
                  <c:v>0.99979997999599901</c:v>
                </c:pt>
                <c:pt idx="8">
                  <c:v>1</c:v>
                </c:pt>
                <c:pt idx="9">
                  <c:v>0.99979997999599901</c:v>
                </c:pt>
                <c:pt idx="10">
                  <c:v>0.99919967974374369</c:v>
                </c:pt>
                <c:pt idx="11">
                  <c:v>0.99819837707742243</c:v>
                </c:pt>
                <c:pt idx="12">
                  <c:v>0.996794863550169</c:v>
                </c:pt>
                <c:pt idx="13">
                  <c:v>0.99498743710661997</c:v>
                </c:pt>
                <c:pt idx="14">
                  <c:v>0.99277389167926855</c:v>
                </c:pt>
                <c:pt idx="15">
                  <c:v>0.99015150355892512</c:v>
                </c:pt>
                <c:pt idx="16">
                  <c:v>0.98711701434024535</c:v>
                </c:pt>
                <c:pt idx="17">
                  <c:v>0.98366661018863499</c:v>
                </c:pt>
                <c:pt idx="18">
                  <c:v>0.9797958971132712</c:v>
                </c:pt>
                <c:pt idx="19">
                  <c:v>0.97549987186057585</c:v>
                </c:pt>
                <c:pt idx="20">
                  <c:v>0.97077288796092776</c:v>
                </c:pt>
                <c:pt idx="21">
                  <c:v>0.96560861636586492</c:v>
                </c:pt>
                <c:pt idx="22">
                  <c:v>0.96</c:v>
                </c:pt>
                <c:pt idx="23">
                  <c:v>0.95393920141694566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84-431F-9F5A-43507C3C0A0A}"/>
            </c:ext>
          </c:extLst>
        </c:ser>
        <c:ser>
          <c:idx val="4"/>
          <c:order val="4"/>
          <c:spPr>
            <a:ln w="300000" cap="rnd">
              <a:solidFill>
                <a:srgbClr val="DC3639"/>
              </a:solidFill>
              <a:prstDash val="solid"/>
            </a:ln>
          </c:spPr>
          <c:marker>
            <c:symbol val="none"/>
          </c:marker>
          <c:xVal>
            <c:numRef>
              <c:f>Analysis!$R$70:$R$105</c:f>
              <c:numCache>
                <c:formatCode>General</c:formatCode>
                <c:ptCount val="36"/>
                <c:pt idx="0">
                  <c:v>0.3</c:v>
                </c:pt>
                <c:pt idx="1">
                  <c:v>0.32</c:v>
                </c:pt>
                <c:pt idx="2">
                  <c:v>0.34</c:v>
                </c:pt>
                <c:pt idx="3">
                  <c:v>0.36</c:v>
                </c:pt>
                <c:pt idx="4">
                  <c:v>0.38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0.48</c:v>
                </c:pt>
                <c:pt idx="10">
                  <c:v>0.5</c:v>
                </c:pt>
                <c:pt idx="11">
                  <c:v>0.52</c:v>
                </c:pt>
                <c:pt idx="12">
                  <c:v>0.54</c:v>
                </c:pt>
                <c:pt idx="13">
                  <c:v>0.56000000000000005</c:v>
                </c:pt>
                <c:pt idx="14">
                  <c:v>0.57999999999999996</c:v>
                </c:pt>
                <c:pt idx="15">
                  <c:v>0.6</c:v>
                </c:pt>
                <c:pt idx="16">
                  <c:v>0.62</c:v>
                </c:pt>
                <c:pt idx="17">
                  <c:v>0.64</c:v>
                </c:pt>
                <c:pt idx="18">
                  <c:v>0.66</c:v>
                </c:pt>
                <c:pt idx="19">
                  <c:v>0.68</c:v>
                </c:pt>
                <c:pt idx="20">
                  <c:v>0.7</c:v>
                </c:pt>
                <c:pt idx="21">
                  <c:v>0.72</c:v>
                </c:pt>
                <c:pt idx="22">
                  <c:v>0.74</c:v>
                </c:pt>
                <c:pt idx="23">
                  <c:v>0.76</c:v>
                </c:pt>
                <c:pt idx="24">
                  <c:v>0.78</c:v>
                </c:pt>
                <c:pt idx="25">
                  <c:v>0.8</c:v>
                </c:pt>
                <c:pt idx="26">
                  <c:v>0.82</c:v>
                </c:pt>
                <c:pt idx="27">
                  <c:v>0.84</c:v>
                </c:pt>
                <c:pt idx="28">
                  <c:v>0.86</c:v>
                </c:pt>
                <c:pt idx="29">
                  <c:v>0.88</c:v>
                </c:pt>
                <c:pt idx="30">
                  <c:v>0.9</c:v>
                </c:pt>
                <c:pt idx="31">
                  <c:v>0.92</c:v>
                </c:pt>
                <c:pt idx="32">
                  <c:v>0.94</c:v>
                </c:pt>
                <c:pt idx="33">
                  <c:v>0.96</c:v>
                </c:pt>
                <c:pt idx="34">
                  <c:v>0.98</c:v>
                </c:pt>
                <c:pt idx="35">
                  <c:v>1</c:v>
                </c:pt>
              </c:numCache>
            </c:numRef>
          </c:xVal>
          <c:yVal>
            <c:numRef>
              <c:f>Analysis!$S$70:$S$105</c:f>
              <c:numCache>
                <c:formatCode>General</c:formatCode>
                <c:ptCount val="36"/>
                <c:pt idx="0">
                  <c:v>0.95393920141694566</c:v>
                </c:pt>
                <c:pt idx="1">
                  <c:v>0.94741754258616084</c:v>
                </c:pt>
                <c:pt idx="2">
                  <c:v>0.9404254356406998</c:v>
                </c:pt>
                <c:pt idx="3">
                  <c:v>0.93295230317524813</c:v>
                </c:pt>
                <c:pt idx="4">
                  <c:v>0.92498648638777425</c:v>
                </c:pt>
                <c:pt idx="5">
                  <c:v>0.91651513899116799</c:v>
                </c:pt>
                <c:pt idx="6">
                  <c:v>0.90752410436307418</c:v>
                </c:pt>
                <c:pt idx="7">
                  <c:v>0.89799777282574589</c:v>
                </c:pt>
                <c:pt idx="8">
                  <c:v>0.88791891521692456</c:v>
                </c:pt>
                <c:pt idx="9">
                  <c:v>0.87726848797845236</c:v>
                </c:pt>
                <c:pt idx="10">
                  <c:v>0.8660254037844386</c:v>
                </c:pt>
                <c:pt idx="11">
                  <c:v>0.85416626016250496</c:v>
                </c:pt>
                <c:pt idx="12">
                  <c:v>0.84166501650003245</c:v>
                </c:pt>
                <c:pt idx="13">
                  <c:v>0.82849260708831907</c:v>
                </c:pt>
                <c:pt idx="14">
                  <c:v>0.81461647417665206</c:v>
                </c:pt>
                <c:pt idx="15">
                  <c:v>0.8</c:v>
                </c:pt>
                <c:pt idx="16">
                  <c:v>0.7846018098373212</c:v>
                </c:pt>
                <c:pt idx="17">
                  <c:v>0.7683749084919419</c:v>
                </c:pt>
                <c:pt idx="18">
                  <c:v>0.751265598839718</c:v>
                </c:pt>
                <c:pt idx="19">
                  <c:v>0.73321211119293428</c:v>
                </c:pt>
                <c:pt idx="20">
                  <c:v>0.71414284285428498</c:v>
                </c:pt>
                <c:pt idx="21">
                  <c:v>0.69397406291589891</c:v>
                </c:pt>
                <c:pt idx="22">
                  <c:v>0.67260686883200949</c:v>
                </c:pt>
                <c:pt idx="23">
                  <c:v>0.64992307237087688</c:v>
                </c:pt>
                <c:pt idx="24">
                  <c:v>0.62577951388648057</c:v>
                </c:pt>
                <c:pt idx="25">
                  <c:v>0.59999999999999987</c:v>
                </c:pt>
                <c:pt idx="26">
                  <c:v>0.57236352085016751</c:v>
                </c:pt>
                <c:pt idx="27">
                  <c:v>0.54258639865002156</c:v>
                </c:pt>
                <c:pt idx="28">
                  <c:v>0.51029403288692299</c:v>
                </c:pt>
                <c:pt idx="29">
                  <c:v>0.4749736834815167</c:v>
                </c:pt>
                <c:pt idx="30">
                  <c:v>0.43588989435406728</c:v>
                </c:pt>
                <c:pt idx="31">
                  <c:v>0.39191835884530846</c:v>
                </c:pt>
                <c:pt idx="32">
                  <c:v>0.34117444218463971</c:v>
                </c:pt>
                <c:pt idx="33">
                  <c:v>0.28000000000000003</c:v>
                </c:pt>
                <c:pt idx="34">
                  <c:v>0.1989974874213242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84-431F-9F5A-43507C3C0A0A}"/>
            </c:ext>
          </c:extLst>
        </c:ser>
        <c:ser>
          <c:idx val="5"/>
          <c:order val="5"/>
          <c:spPr>
            <a:ln w="24000" cap="rnd">
              <a:solidFill>
                <a:srgbClr val="0F172A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circle"/>
              <c:size val="11"/>
              <c:spPr>
                <a:solidFill>
                  <a:srgbClr val="0F172A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84-431F-9F5A-43507C3C0A0A}"/>
              </c:ext>
            </c:extLst>
          </c:dPt>
          <c:xVal>
            <c:numRef>
              <c:f>Analysis!$R$2:$R$3</c:f>
              <c:numCache>
                <c:formatCode>General</c:formatCode>
                <c:ptCount val="2"/>
                <c:pt idx="0">
                  <c:v>-0.93739425584822988</c:v>
                </c:pt>
                <c:pt idx="1">
                  <c:v>0</c:v>
                </c:pt>
              </c:numCache>
            </c:numRef>
          </c:xVal>
          <c:yVal>
            <c:numRef>
              <c:f>Analysis!$S$2:$S$3</c:f>
              <c:numCache>
                <c:formatCode>General</c:formatCode>
                <c:ptCount val="2"/>
                <c:pt idx="0">
                  <c:v>0.34827002326175499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84-431F-9F5A-43507C3C0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01"/>
        <c:axId val="100002"/>
      </c:scatterChart>
      <c:valAx>
        <c:axId val="100001"/>
        <c:scaling>
          <c:orientation val="minMax"/>
          <c:max val="1.1200000000000001"/>
          <c:min val="-1.1200000000000001"/>
        </c:scaling>
        <c:delete val="1"/>
        <c:axPos val="b"/>
        <c:numFmt formatCode="General" sourceLinked="1"/>
        <c:majorTickMark val="none"/>
        <c:minorTickMark val="none"/>
        <c:tickLblPos val="none"/>
        <c:crossAx val="100002"/>
        <c:crosses val="autoZero"/>
        <c:crossBetween val="midCat"/>
      </c:valAx>
      <c:valAx>
        <c:axId val="100002"/>
        <c:scaling>
          <c:orientation val="minMax"/>
          <c:max val="1.1200000000000001"/>
          <c:min val="-0.08"/>
        </c:scaling>
        <c:delete val="1"/>
        <c:axPos val="l"/>
        <c:numFmt formatCode="General" sourceLinked="1"/>
        <c:majorTickMark val="none"/>
        <c:minorTickMark val="none"/>
        <c:tickLblPos val="none"/>
        <c:crossAx val="100001"/>
        <c:crosses val="autoZero"/>
        <c:crossBetween val="midCat"/>
      </c:valAx>
    </c:plotArea>
    <c:plotVisOnly val="0"/>
    <c:dispBlanksAs val="zero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00000" cap="rnd">
              <a:solidFill>
                <a:srgbClr val="FEF08A"/>
              </a:solidFill>
              <a:prstDash val="solid"/>
            </a:ln>
          </c:spPr>
          <c:marker>
            <c:symbol val="none"/>
          </c:marker>
          <c:xVal>
            <c:numRef>
              <c:f>Analysis!$Z$5:$Z$15</c:f>
              <c:numCache>
                <c:formatCode>General</c:formatCode>
                <c:ptCount val="11"/>
                <c:pt idx="0">
                  <c:v>-1</c:v>
                </c:pt>
                <c:pt idx="1">
                  <c:v>-0.98</c:v>
                </c:pt>
                <c:pt idx="2">
                  <c:v>-0.96</c:v>
                </c:pt>
                <c:pt idx="3">
                  <c:v>-0.94</c:v>
                </c:pt>
                <c:pt idx="4">
                  <c:v>-0.92</c:v>
                </c:pt>
                <c:pt idx="5">
                  <c:v>-0.9</c:v>
                </c:pt>
                <c:pt idx="6">
                  <c:v>-0.88</c:v>
                </c:pt>
                <c:pt idx="7">
                  <c:v>-0.86</c:v>
                </c:pt>
                <c:pt idx="8">
                  <c:v>-0.84</c:v>
                </c:pt>
                <c:pt idx="9">
                  <c:v>-0.82</c:v>
                </c:pt>
                <c:pt idx="10">
                  <c:v>-0.8</c:v>
                </c:pt>
              </c:numCache>
            </c:numRef>
          </c:xVal>
          <c:yVal>
            <c:numRef>
              <c:f>Analysis!$AA$5:$AA$15</c:f>
              <c:numCache>
                <c:formatCode>General</c:formatCode>
                <c:ptCount val="11"/>
                <c:pt idx="0">
                  <c:v>0</c:v>
                </c:pt>
                <c:pt idx="1">
                  <c:v>0.1989974874213242</c:v>
                </c:pt>
                <c:pt idx="2">
                  <c:v>0.28000000000000003</c:v>
                </c:pt>
                <c:pt idx="3">
                  <c:v>0.34117444218463971</c:v>
                </c:pt>
                <c:pt idx="4">
                  <c:v>0.39191835884530846</c:v>
                </c:pt>
                <c:pt idx="5">
                  <c:v>0.43588989435406728</c:v>
                </c:pt>
                <c:pt idx="6">
                  <c:v>0.4749736834815167</c:v>
                </c:pt>
                <c:pt idx="7">
                  <c:v>0.51029403288692299</c:v>
                </c:pt>
                <c:pt idx="8">
                  <c:v>0.54258639865002156</c:v>
                </c:pt>
                <c:pt idx="9">
                  <c:v>0.57236352085016751</c:v>
                </c:pt>
                <c:pt idx="10">
                  <c:v>0.59999999999999987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C-40EE-8F5A-5739B56C4E27}"/>
            </c:ext>
          </c:extLst>
        </c:ser>
        <c:ser>
          <c:idx val="1"/>
          <c:order val="1"/>
          <c:spPr>
            <a:ln w="300000" cap="rnd">
              <a:solidFill>
                <a:srgbClr val="FBBF24"/>
              </a:solidFill>
              <a:prstDash val="solid"/>
            </a:ln>
          </c:spPr>
          <c:marker>
            <c:symbol val="none"/>
          </c:marker>
          <c:xVal>
            <c:numRef>
              <c:f>Analysis!$Z$15:$Z$26</c:f>
              <c:numCache>
                <c:formatCode>General</c:formatCode>
                <c:ptCount val="12"/>
                <c:pt idx="0">
                  <c:v>-0.8</c:v>
                </c:pt>
                <c:pt idx="1">
                  <c:v>-0.78</c:v>
                </c:pt>
                <c:pt idx="2">
                  <c:v>-0.76</c:v>
                </c:pt>
                <c:pt idx="3">
                  <c:v>-0.74</c:v>
                </c:pt>
                <c:pt idx="4">
                  <c:v>-0.72</c:v>
                </c:pt>
                <c:pt idx="5">
                  <c:v>-0.7</c:v>
                </c:pt>
                <c:pt idx="6">
                  <c:v>-0.68</c:v>
                </c:pt>
                <c:pt idx="7">
                  <c:v>-0.66</c:v>
                </c:pt>
                <c:pt idx="8">
                  <c:v>-0.64</c:v>
                </c:pt>
                <c:pt idx="9">
                  <c:v>-0.62</c:v>
                </c:pt>
                <c:pt idx="10">
                  <c:v>-0.6</c:v>
                </c:pt>
                <c:pt idx="11">
                  <c:v>-0.57999999999999996</c:v>
                </c:pt>
              </c:numCache>
            </c:numRef>
          </c:xVal>
          <c:yVal>
            <c:numRef>
              <c:f>Analysis!$AA$15:$AA$26</c:f>
              <c:numCache>
                <c:formatCode>General</c:formatCode>
                <c:ptCount val="12"/>
                <c:pt idx="0">
                  <c:v>0.59999999999999987</c:v>
                </c:pt>
                <c:pt idx="1">
                  <c:v>0.62577951388648057</c:v>
                </c:pt>
                <c:pt idx="2">
                  <c:v>0.64992307237087688</c:v>
                </c:pt>
                <c:pt idx="3">
                  <c:v>0.67260686883200949</c:v>
                </c:pt>
                <c:pt idx="4">
                  <c:v>0.69397406291589891</c:v>
                </c:pt>
                <c:pt idx="5">
                  <c:v>0.71414284285428498</c:v>
                </c:pt>
                <c:pt idx="6">
                  <c:v>0.73321211119293428</c:v>
                </c:pt>
                <c:pt idx="7">
                  <c:v>0.751265598839718</c:v>
                </c:pt>
                <c:pt idx="8">
                  <c:v>0.7683749084919419</c:v>
                </c:pt>
                <c:pt idx="9">
                  <c:v>0.7846018098373212</c:v>
                </c:pt>
                <c:pt idx="10">
                  <c:v>0.8</c:v>
                </c:pt>
                <c:pt idx="11">
                  <c:v>0.81461647417665206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8C-40EE-8F5A-5739B56C4E27}"/>
            </c:ext>
          </c:extLst>
        </c:ser>
        <c:ser>
          <c:idx val="2"/>
          <c:order val="2"/>
          <c:spPr>
            <a:ln w="300000" cap="rnd">
              <a:solidFill>
                <a:srgbClr val="FB923C"/>
              </a:solidFill>
              <a:prstDash val="solid"/>
            </a:ln>
          </c:spPr>
          <c:marker>
            <c:symbol val="none"/>
          </c:marker>
          <c:xVal>
            <c:numRef>
              <c:f>Analysis!$Z$26:$Z$47</c:f>
              <c:numCache>
                <c:formatCode>General</c:formatCode>
                <c:ptCount val="22"/>
                <c:pt idx="0">
                  <c:v>-0.57999999999999996</c:v>
                </c:pt>
                <c:pt idx="1">
                  <c:v>-0.56000000000000005</c:v>
                </c:pt>
                <c:pt idx="2">
                  <c:v>-0.54</c:v>
                </c:pt>
                <c:pt idx="3">
                  <c:v>-0.52</c:v>
                </c:pt>
                <c:pt idx="4">
                  <c:v>-0.5</c:v>
                </c:pt>
                <c:pt idx="5">
                  <c:v>-0.48</c:v>
                </c:pt>
                <c:pt idx="6">
                  <c:v>-0.46</c:v>
                </c:pt>
                <c:pt idx="7">
                  <c:v>-0.44</c:v>
                </c:pt>
                <c:pt idx="8">
                  <c:v>-0.42</c:v>
                </c:pt>
                <c:pt idx="9">
                  <c:v>-0.4</c:v>
                </c:pt>
                <c:pt idx="10">
                  <c:v>-0.38</c:v>
                </c:pt>
                <c:pt idx="11">
                  <c:v>-0.36</c:v>
                </c:pt>
                <c:pt idx="12">
                  <c:v>-0.34</c:v>
                </c:pt>
                <c:pt idx="13">
                  <c:v>-0.32</c:v>
                </c:pt>
                <c:pt idx="14">
                  <c:v>-0.3</c:v>
                </c:pt>
                <c:pt idx="15">
                  <c:v>-0.28000000000000003</c:v>
                </c:pt>
                <c:pt idx="16">
                  <c:v>-0.26</c:v>
                </c:pt>
                <c:pt idx="17">
                  <c:v>-0.24</c:v>
                </c:pt>
                <c:pt idx="18">
                  <c:v>-0.22</c:v>
                </c:pt>
                <c:pt idx="19">
                  <c:v>-0.2</c:v>
                </c:pt>
                <c:pt idx="20">
                  <c:v>-0.18</c:v>
                </c:pt>
                <c:pt idx="21">
                  <c:v>-0.16</c:v>
                </c:pt>
              </c:numCache>
            </c:numRef>
          </c:xVal>
          <c:yVal>
            <c:numRef>
              <c:f>Analysis!$AA$26:$AA$47</c:f>
              <c:numCache>
                <c:formatCode>General</c:formatCode>
                <c:ptCount val="22"/>
                <c:pt idx="0">
                  <c:v>0.81461647417665206</c:v>
                </c:pt>
                <c:pt idx="1">
                  <c:v>0.82849260708831907</c:v>
                </c:pt>
                <c:pt idx="2">
                  <c:v>0.84166501650003245</c:v>
                </c:pt>
                <c:pt idx="3">
                  <c:v>0.85416626016250496</c:v>
                </c:pt>
                <c:pt idx="4">
                  <c:v>0.8660254037844386</c:v>
                </c:pt>
                <c:pt idx="5">
                  <c:v>0.87726848797845236</c:v>
                </c:pt>
                <c:pt idx="6">
                  <c:v>0.88791891521692456</c:v>
                </c:pt>
                <c:pt idx="7">
                  <c:v>0.89799777282574589</c:v>
                </c:pt>
                <c:pt idx="8">
                  <c:v>0.90752410436307418</c:v>
                </c:pt>
                <c:pt idx="9">
                  <c:v>0.91651513899116799</c:v>
                </c:pt>
                <c:pt idx="10">
                  <c:v>0.92498648638777425</c:v>
                </c:pt>
                <c:pt idx="11">
                  <c:v>0.93295230317524813</c:v>
                </c:pt>
                <c:pt idx="12">
                  <c:v>0.9404254356406998</c:v>
                </c:pt>
                <c:pt idx="13">
                  <c:v>0.94741754258616084</c:v>
                </c:pt>
                <c:pt idx="14">
                  <c:v>0.95393920141694566</c:v>
                </c:pt>
                <c:pt idx="15">
                  <c:v>0.96</c:v>
                </c:pt>
                <c:pt idx="16">
                  <c:v>0.96560861636586492</c:v>
                </c:pt>
                <c:pt idx="17">
                  <c:v>0.97077288796092776</c:v>
                </c:pt>
                <c:pt idx="18">
                  <c:v>0.97549987186057585</c:v>
                </c:pt>
                <c:pt idx="19">
                  <c:v>0.9797958971132712</c:v>
                </c:pt>
                <c:pt idx="20">
                  <c:v>0.98366661018863499</c:v>
                </c:pt>
                <c:pt idx="21">
                  <c:v>0.98711701434024535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8C-40EE-8F5A-5739B56C4E27}"/>
            </c:ext>
          </c:extLst>
        </c:ser>
        <c:ser>
          <c:idx val="3"/>
          <c:order val="3"/>
          <c:spPr>
            <a:ln w="300000" cap="rnd">
              <a:solidFill>
                <a:srgbClr val="F87171"/>
              </a:solidFill>
              <a:prstDash val="solid"/>
            </a:ln>
          </c:spPr>
          <c:marker>
            <c:symbol val="none"/>
          </c:marker>
          <c:xVal>
            <c:numRef>
              <c:f>Analysis!$Z$47:$Z$70</c:f>
              <c:numCache>
                <c:formatCode>General</c:formatCode>
                <c:ptCount val="24"/>
                <c:pt idx="0">
                  <c:v>-0.16</c:v>
                </c:pt>
                <c:pt idx="1">
                  <c:v>-0.14000000000000001</c:v>
                </c:pt>
                <c:pt idx="2">
                  <c:v>-0.12</c:v>
                </c:pt>
                <c:pt idx="3">
                  <c:v>-0.1</c:v>
                </c:pt>
                <c:pt idx="4">
                  <c:v>-0.08</c:v>
                </c:pt>
                <c:pt idx="5">
                  <c:v>-0.06</c:v>
                </c:pt>
                <c:pt idx="6">
                  <c:v>-0.04</c:v>
                </c:pt>
                <c:pt idx="7">
                  <c:v>-0.02</c:v>
                </c:pt>
                <c:pt idx="8">
                  <c:v>0</c:v>
                </c:pt>
                <c:pt idx="9">
                  <c:v>0.02</c:v>
                </c:pt>
                <c:pt idx="10">
                  <c:v>0.04</c:v>
                </c:pt>
                <c:pt idx="11">
                  <c:v>0.06</c:v>
                </c:pt>
                <c:pt idx="12">
                  <c:v>0.08</c:v>
                </c:pt>
                <c:pt idx="13">
                  <c:v>0.1</c:v>
                </c:pt>
                <c:pt idx="14">
                  <c:v>0.12</c:v>
                </c:pt>
                <c:pt idx="15">
                  <c:v>0.14000000000000001</c:v>
                </c:pt>
                <c:pt idx="16">
                  <c:v>0.16</c:v>
                </c:pt>
                <c:pt idx="17">
                  <c:v>0.18</c:v>
                </c:pt>
                <c:pt idx="18">
                  <c:v>0.2</c:v>
                </c:pt>
                <c:pt idx="19">
                  <c:v>0.22</c:v>
                </c:pt>
                <c:pt idx="20">
                  <c:v>0.24</c:v>
                </c:pt>
                <c:pt idx="21">
                  <c:v>0.26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xVal>
          <c:yVal>
            <c:numRef>
              <c:f>Analysis!$AA$47:$AA$70</c:f>
              <c:numCache>
                <c:formatCode>General</c:formatCode>
                <c:ptCount val="24"/>
                <c:pt idx="0">
                  <c:v>0.98711701434024535</c:v>
                </c:pt>
                <c:pt idx="1">
                  <c:v>0.99015150355892512</c:v>
                </c:pt>
                <c:pt idx="2">
                  <c:v>0.99277389167926855</c:v>
                </c:pt>
                <c:pt idx="3">
                  <c:v>0.99498743710661997</c:v>
                </c:pt>
                <c:pt idx="4">
                  <c:v>0.996794863550169</c:v>
                </c:pt>
                <c:pt idx="5">
                  <c:v>0.99819837707742243</c:v>
                </c:pt>
                <c:pt idx="6">
                  <c:v>0.99919967974374369</c:v>
                </c:pt>
                <c:pt idx="7">
                  <c:v>0.99979997999599901</c:v>
                </c:pt>
                <c:pt idx="8">
                  <c:v>1</c:v>
                </c:pt>
                <c:pt idx="9">
                  <c:v>0.99979997999599901</c:v>
                </c:pt>
                <c:pt idx="10">
                  <c:v>0.99919967974374369</c:v>
                </c:pt>
                <c:pt idx="11">
                  <c:v>0.99819837707742243</c:v>
                </c:pt>
                <c:pt idx="12">
                  <c:v>0.996794863550169</c:v>
                </c:pt>
                <c:pt idx="13">
                  <c:v>0.99498743710661997</c:v>
                </c:pt>
                <c:pt idx="14">
                  <c:v>0.99277389167926855</c:v>
                </c:pt>
                <c:pt idx="15">
                  <c:v>0.99015150355892512</c:v>
                </c:pt>
                <c:pt idx="16">
                  <c:v>0.98711701434024535</c:v>
                </c:pt>
                <c:pt idx="17">
                  <c:v>0.98366661018863499</c:v>
                </c:pt>
                <c:pt idx="18">
                  <c:v>0.9797958971132712</c:v>
                </c:pt>
                <c:pt idx="19">
                  <c:v>0.97549987186057585</c:v>
                </c:pt>
                <c:pt idx="20">
                  <c:v>0.97077288796092776</c:v>
                </c:pt>
                <c:pt idx="21">
                  <c:v>0.96560861636586492</c:v>
                </c:pt>
                <c:pt idx="22">
                  <c:v>0.96</c:v>
                </c:pt>
                <c:pt idx="23">
                  <c:v>0.95393920141694566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38C-40EE-8F5A-5739B56C4E27}"/>
            </c:ext>
          </c:extLst>
        </c:ser>
        <c:ser>
          <c:idx val="4"/>
          <c:order val="4"/>
          <c:spPr>
            <a:ln w="300000" cap="rnd">
              <a:solidFill>
                <a:srgbClr val="DC3639"/>
              </a:solidFill>
              <a:prstDash val="solid"/>
            </a:ln>
          </c:spPr>
          <c:marker>
            <c:symbol val="none"/>
          </c:marker>
          <c:xVal>
            <c:numRef>
              <c:f>Analysis!$Z$70:$Z$105</c:f>
              <c:numCache>
                <c:formatCode>General</c:formatCode>
                <c:ptCount val="36"/>
                <c:pt idx="0">
                  <c:v>0.3</c:v>
                </c:pt>
                <c:pt idx="1">
                  <c:v>0.32</c:v>
                </c:pt>
                <c:pt idx="2">
                  <c:v>0.34</c:v>
                </c:pt>
                <c:pt idx="3">
                  <c:v>0.36</c:v>
                </c:pt>
                <c:pt idx="4">
                  <c:v>0.38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0.48</c:v>
                </c:pt>
                <c:pt idx="10">
                  <c:v>0.5</c:v>
                </c:pt>
                <c:pt idx="11">
                  <c:v>0.52</c:v>
                </c:pt>
                <c:pt idx="12">
                  <c:v>0.54</c:v>
                </c:pt>
                <c:pt idx="13">
                  <c:v>0.56000000000000005</c:v>
                </c:pt>
                <c:pt idx="14">
                  <c:v>0.57999999999999996</c:v>
                </c:pt>
                <c:pt idx="15">
                  <c:v>0.6</c:v>
                </c:pt>
                <c:pt idx="16">
                  <c:v>0.62</c:v>
                </c:pt>
                <c:pt idx="17">
                  <c:v>0.64</c:v>
                </c:pt>
                <c:pt idx="18">
                  <c:v>0.66</c:v>
                </c:pt>
                <c:pt idx="19">
                  <c:v>0.68</c:v>
                </c:pt>
                <c:pt idx="20">
                  <c:v>0.7</c:v>
                </c:pt>
                <c:pt idx="21">
                  <c:v>0.72</c:v>
                </c:pt>
                <c:pt idx="22">
                  <c:v>0.74</c:v>
                </c:pt>
                <c:pt idx="23">
                  <c:v>0.76</c:v>
                </c:pt>
                <c:pt idx="24">
                  <c:v>0.78</c:v>
                </c:pt>
                <c:pt idx="25">
                  <c:v>0.8</c:v>
                </c:pt>
                <c:pt idx="26">
                  <c:v>0.82</c:v>
                </c:pt>
                <c:pt idx="27">
                  <c:v>0.84</c:v>
                </c:pt>
                <c:pt idx="28">
                  <c:v>0.86</c:v>
                </c:pt>
                <c:pt idx="29">
                  <c:v>0.88</c:v>
                </c:pt>
                <c:pt idx="30">
                  <c:v>0.9</c:v>
                </c:pt>
                <c:pt idx="31">
                  <c:v>0.92</c:v>
                </c:pt>
                <c:pt idx="32">
                  <c:v>0.94</c:v>
                </c:pt>
                <c:pt idx="33">
                  <c:v>0.96</c:v>
                </c:pt>
                <c:pt idx="34">
                  <c:v>0.98</c:v>
                </c:pt>
                <c:pt idx="35">
                  <c:v>1</c:v>
                </c:pt>
              </c:numCache>
            </c:numRef>
          </c:xVal>
          <c:yVal>
            <c:numRef>
              <c:f>Analysis!$AA$70:$AA$105</c:f>
              <c:numCache>
                <c:formatCode>General</c:formatCode>
                <c:ptCount val="36"/>
                <c:pt idx="0">
                  <c:v>0.95393920141694566</c:v>
                </c:pt>
                <c:pt idx="1">
                  <c:v>0.94741754258616084</c:v>
                </c:pt>
                <c:pt idx="2">
                  <c:v>0.9404254356406998</c:v>
                </c:pt>
                <c:pt idx="3">
                  <c:v>0.93295230317524813</c:v>
                </c:pt>
                <c:pt idx="4">
                  <c:v>0.92498648638777425</c:v>
                </c:pt>
                <c:pt idx="5">
                  <c:v>0.91651513899116799</c:v>
                </c:pt>
                <c:pt idx="6">
                  <c:v>0.90752410436307418</c:v>
                </c:pt>
                <c:pt idx="7">
                  <c:v>0.89799777282574589</c:v>
                </c:pt>
                <c:pt idx="8">
                  <c:v>0.88791891521692456</c:v>
                </c:pt>
                <c:pt idx="9">
                  <c:v>0.87726848797845236</c:v>
                </c:pt>
                <c:pt idx="10">
                  <c:v>0.8660254037844386</c:v>
                </c:pt>
                <c:pt idx="11">
                  <c:v>0.85416626016250496</c:v>
                </c:pt>
                <c:pt idx="12">
                  <c:v>0.84166501650003245</c:v>
                </c:pt>
                <c:pt idx="13">
                  <c:v>0.82849260708831907</c:v>
                </c:pt>
                <c:pt idx="14">
                  <c:v>0.81461647417665206</c:v>
                </c:pt>
                <c:pt idx="15">
                  <c:v>0.8</c:v>
                </c:pt>
                <c:pt idx="16">
                  <c:v>0.7846018098373212</c:v>
                </c:pt>
                <c:pt idx="17">
                  <c:v>0.7683749084919419</c:v>
                </c:pt>
                <c:pt idx="18">
                  <c:v>0.751265598839718</c:v>
                </c:pt>
                <c:pt idx="19">
                  <c:v>0.73321211119293428</c:v>
                </c:pt>
                <c:pt idx="20">
                  <c:v>0.71414284285428498</c:v>
                </c:pt>
                <c:pt idx="21">
                  <c:v>0.69397406291589891</c:v>
                </c:pt>
                <c:pt idx="22">
                  <c:v>0.67260686883200949</c:v>
                </c:pt>
                <c:pt idx="23">
                  <c:v>0.64992307237087688</c:v>
                </c:pt>
                <c:pt idx="24">
                  <c:v>0.62577951388648057</c:v>
                </c:pt>
                <c:pt idx="25">
                  <c:v>0.59999999999999987</c:v>
                </c:pt>
                <c:pt idx="26">
                  <c:v>0.57236352085016751</c:v>
                </c:pt>
                <c:pt idx="27">
                  <c:v>0.54258639865002156</c:v>
                </c:pt>
                <c:pt idx="28">
                  <c:v>0.51029403288692299</c:v>
                </c:pt>
                <c:pt idx="29">
                  <c:v>0.4749736834815167</c:v>
                </c:pt>
                <c:pt idx="30">
                  <c:v>0.43588989435406728</c:v>
                </c:pt>
                <c:pt idx="31">
                  <c:v>0.39191835884530846</c:v>
                </c:pt>
                <c:pt idx="32">
                  <c:v>0.34117444218463971</c:v>
                </c:pt>
                <c:pt idx="33">
                  <c:v>0.28000000000000003</c:v>
                </c:pt>
                <c:pt idx="34">
                  <c:v>0.1989974874213242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38C-40EE-8F5A-5739B56C4E27}"/>
            </c:ext>
          </c:extLst>
        </c:ser>
        <c:ser>
          <c:idx val="5"/>
          <c:order val="5"/>
          <c:spPr>
            <a:ln w="24000" cap="rnd">
              <a:solidFill>
                <a:srgbClr val="0F172A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circle"/>
              <c:size val="11"/>
              <c:spPr>
                <a:solidFill>
                  <a:srgbClr val="0F172A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38C-40EE-8F5A-5739B56C4E27}"/>
              </c:ext>
            </c:extLst>
          </c:dPt>
          <c:xVal>
            <c:numRef>
              <c:f>Analysis!$Z$2:$Z$3</c:f>
              <c:numCache>
                <c:formatCode>General</c:formatCode>
                <c:ptCount val="2"/>
                <c:pt idx="0">
                  <c:v>-0.96953749662870625</c:v>
                </c:pt>
                <c:pt idx="1">
                  <c:v>0</c:v>
                </c:pt>
              </c:numCache>
            </c:numRef>
          </c:xVal>
          <c:yVal>
            <c:numRef>
              <c:f>Analysis!$AA$2:$AA$3</c:f>
              <c:numCache>
                <c:formatCode>General</c:formatCode>
                <c:ptCount val="2"/>
                <c:pt idx="0">
                  <c:v>0.24494293749961735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8C-40EE-8F5A-5739B56C4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01"/>
        <c:axId val="100002"/>
      </c:scatterChart>
      <c:valAx>
        <c:axId val="100001"/>
        <c:scaling>
          <c:orientation val="minMax"/>
          <c:max val="1.1200000000000001"/>
          <c:min val="-1.1200000000000001"/>
        </c:scaling>
        <c:delete val="1"/>
        <c:axPos val="b"/>
        <c:numFmt formatCode="General" sourceLinked="1"/>
        <c:majorTickMark val="none"/>
        <c:minorTickMark val="none"/>
        <c:tickLblPos val="none"/>
        <c:crossAx val="100002"/>
        <c:crosses val="autoZero"/>
        <c:crossBetween val="midCat"/>
      </c:valAx>
      <c:valAx>
        <c:axId val="100002"/>
        <c:scaling>
          <c:orientation val="minMax"/>
          <c:max val="1.1200000000000001"/>
          <c:min val="-0.08"/>
        </c:scaling>
        <c:delete val="1"/>
        <c:axPos val="l"/>
        <c:numFmt formatCode="General" sourceLinked="1"/>
        <c:majorTickMark val="none"/>
        <c:minorTickMark val="none"/>
        <c:tickLblPos val="none"/>
        <c:crossAx val="100001"/>
        <c:crosses val="autoZero"/>
        <c:crossBetween val="midCat"/>
      </c:valAx>
    </c:plotArea>
    <c:plotVisOnly val="0"/>
    <c:dispBlanksAs val="zero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00000" cap="rnd">
              <a:solidFill>
                <a:srgbClr val="FEF08A"/>
              </a:solidFill>
              <a:prstDash val="solid"/>
            </a:ln>
          </c:spPr>
          <c:marker>
            <c:symbol val="none"/>
          </c:marker>
          <c:xVal>
            <c:numRef>
              <c:f>Analysis!$AH$5:$AH$15</c:f>
              <c:numCache>
                <c:formatCode>General</c:formatCode>
                <c:ptCount val="11"/>
                <c:pt idx="0">
                  <c:v>-1</c:v>
                </c:pt>
                <c:pt idx="1">
                  <c:v>-0.98</c:v>
                </c:pt>
                <c:pt idx="2">
                  <c:v>-0.96</c:v>
                </c:pt>
                <c:pt idx="3">
                  <c:v>-0.94</c:v>
                </c:pt>
                <c:pt idx="4">
                  <c:v>-0.92</c:v>
                </c:pt>
                <c:pt idx="5">
                  <c:v>-0.9</c:v>
                </c:pt>
                <c:pt idx="6">
                  <c:v>-0.88</c:v>
                </c:pt>
                <c:pt idx="7">
                  <c:v>-0.86</c:v>
                </c:pt>
                <c:pt idx="8">
                  <c:v>-0.84</c:v>
                </c:pt>
                <c:pt idx="9">
                  <c:v>-0.82</c:v>
                </c:pt>
                <c:pt idx="10">
                  <c:v>-0.8</c:v>
                </c:pt>
              </c:numCache>
            </c:numRef>
          </c:xVal>
          <c:yVal>
            <c:numRef>
              <c:f>Analysis!$AI$5:$AI$15</c:f>
              <c:numCache>
                <c:formatCode>General</c:formatCode>
                <c:ptCount val="11"/>
                <c:pt idx="0">
                  <c:v>0</c:v>
                </c:pt>
                <c:pt idx="1">
                  <c:v>0.1989974874213242</c:v>
                </c:pt>
                <c:pt idx="2">
                  <c:v>0.28000000000000003</c:v>
                </c:pt>
                <c:pt idx="3">
                  <c:v>0.34117444218463971</c:v>
                </c:pt>
                <c:pt idx="4">
                  <c:v>0.39191835884530846</c:v>
                </c:pt>
                <c:pt idx="5">
                  <c:v>0.43588989435406728</c:v>
                </c:pt>
                <c:pt idx="6">
                  <c:v>0.4749736834815167</c:v>
                </c:pt>
                <c:pt idx="7">
                  <c:v>0.51029403288692299</c:v>
                </c:pt>
                <c:pt idx="8">
                  <c:v>0.54258639865002156</c:v>
                </c:pt>
                <c:pt idx="9">
                  <c:v>0.57236352085016751</c:v>
                </c:pt>
                <c:pt idx="10">
                  <c:v>0.59999999999999987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82-41B3-94B2-8E3FD7DAF5A7}"/>
            </c:ext>
          </c:extLst>
        </c:ser>
        <c:ser>
          <c:idx val="1"/>
          <c:order val="1"/>
          <c:spPr>
            <a:ln w="300000" cap="rnd">
              <a:solidFill>
                <a:srgbClr val="FBBF24"/>
              </a:solidFill>
              <a:prstDash val="solid"/>
            </a:ln>
          </c:spPr>
          <c:marker>
            <c:symbol val="none"/>
          </c:marker>
          <c:xVal>
            <c:numRef>
              <c:f>Analysis!$AH$15:$AH$26</c:f>
              <c:numCache>
                <c:formatCode>General</c:formatCode>
                <c:ptCount val="12"/>
                <c:pt idx="0">
                  <c:v>-0.8</c:v>
                </c:pt>
                <c:pt idx="1">
                  <c:v>-0.78</c:v>
                </c:pt>
                <c:pt idx="2">
                  <c:v>-0.76</c:v>
                </c:pt>
                <c:pt idx="3">
                  <c:v>-0.74</c:v>
                </c:pt>
                <c:pt idx="4">
                  <c:v>-0.72</c:v>
                </c:pt>
                <c:pt idx="5">
                  <c:v>-0.7</c:v>
                </c:pt>
                <c:pt idx="6">
                  <c:v>-0.68</c:v>
                </c:pt>
                <c:pt idx="7">
                  <c:v>-0.66</c:v>
                </c:pt>
                <c:pt idx="8">
                  <c:v>-0.64</c:v>
                </c:pt>
                <c:pt idx="9">
                  <c:v>-0.62</c:v>
                </c:pt>
                <c:pt idx="10">
                  <c:v>-0.6</c:v>
                </c:pt>
                <c:pt idx="11">
                  <c:v>-0.57999999999999996</c:v>
                </c:pt>
              </c:numCache>
            </c:numRef>
          </c:xVal>
          <c:yVal>
            <c:numRef>
              <c:f>Analysis!$AI$15:$AI$26</c:f>
              <c:numCache>
                <c:formatCode>General</c:formatCode>
                <c:ptCount val="12"/>
                <c:pt idx="0">
                  <c:v>0.59999999999999987</c:v>
                </c:pt>
                <c:pt idx="1">
                  <c:v>0.62577951388648057</c:v>
                </c:pt>
                <c:pt idx="2">
                  <c:v>0.64992307237087688</c:v>
                </c:pt>
                <c:pt idx="3">
                  <c:v>0.67260686883200949</c:v>
                </c:pt>
                <c:pt idx="4">
                  <c:v>0.69397406291589891</c:v>
                </c:pt>
                <c:pt idx="5">
                  <c:v>0.71414284285428498</c:v>
                </c:pt>
                <c:pt idx="6">
                  <c:v>0.73321211119293428</c:v>
                </c:pt>
                <c:pt idx="7">
                  <c:v>0.751265598839718</c:v>
                </c:pt>
                <c:pt idx="8">
                  <c:v>0.7683749084919419</c:v>
                </c:pt>
                <c:pt idx="9">
                  <c:v>0.7846018098373212</c:v>
                </c:pt>
                <c:pt idx="10">
                  <c:v>0.8</c:v>
                </c:pt>
                <c:pt idx="11">
                  <c:v>0.81461647417665206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82-41B3-94B2-8E3FD7DAF5A7}"/>
            </c:ext>
          </c:extLst>
        </c:ser>
        <c:ser>
          <c:idx val="2"/>
          <c:order val="2"/>
          <c:spPr>
            <a:ln w="300000" cap="rnd">
              <a:solidFill>
                <a:srgbClr val="FB923C"/>
              </a:solidFill>
              <a:prstDash val="solid"/>
            </a:ln>
          </c:spPr>
          <c:marker>
            <c:symbol val="none"/>
          </c:marker>
          <c:xVal>
            <c:numRef>
              <c:f>Analysis!$AH$26:$AH$47</c:f>
              <c:numCache>
                <c:formatCode>General</c:formatCode>
                <c:ptCount val="22"/>
                <c:pt idx="0">
                  <c:v>-0.57999999999999996</c:v>
                </c:pt>
                <c:pt idx="1">
                  <c:v>-0.56000000000000005</c:v>
                </c:pt>
                <c:pt idx="2">
                  <c:v>-0.54</c:v>
                </c:pt>
                <c:pt idx="3">
                  <c:v>-0.52</c:v>
                </c:pt>
                <c:pt idx="4">
                  <c:v>-0.5</c:v>
                </c:pt>
                <c:pt idx="5">
                  <c:v>-0.48</c:v>
                </c:pt>
                <c:pt idx="6">
                  <c:v>-0.46</c:v>
                </c:pt>
                <c:pt idx="7">
                  <c:v>-0.44</c:v>
                </c:pt>
                <c:pt idx="8">
                  <c:v>-0.42</c:v>
                </c:pt>
                <c:pt idx="9">
                  <c:v>-0.4</c:v>
                </c:pt>
                <c:pt idx="10">
                  <c:v>-0.38</c:v>
                </c:pt>
                <c:pt idx="11">
                  <c:v>-0.36</c:v>
                </c:pt>
                <c:pt idx="12">
                  <c:v>-0.34</c:v>
                </c:pt>
                <c:pt idx="13">
                  <c:v>-0.32</c:v>
                </c:pt>
                <c:pt idx="14">
                  <c:v>-0.3</c:v>
                </c:pt>
                <c:pt idx="15">
                  <c:v>-0.28000000000000003</c:v>
                </c:pt>
                <c:pt idx="16">
                  <c:v>-0.26</c:v>
                </c:pt>
                <c:pt idx="17">
                  <c:v>-0.24</c:v>
                </c:pt>
                <c:pt idx="18">
                  <c:v>-0.22</c:v>
                </c:pt>
                <c:pt idx="19">
                  <c:v>-0.2</c:v>
                </c:pt>
                <c:pt idx="20">
                  <c:v>-0.18</c:v>
                </c:pt>
                <c:pt idx="21">
                  <c:v>-0.16</c:v>
                </c:pt>
              </c:numCache>
            </c:numRef>
          </c:xVal>
          <c:yVal>
            <c:numRef>
              <c:f>Analysis!$AI$26:$AI$47</c:f>
              <c:numCache>
                <c:formatCode>General</c:formatCode>
                <c:ptCount val="22"/>
                <c:pt idx="0">
                  <c:v>0.81461647417665206</c:v>
                </c:pt>
                <c:pt idx="1">
                  <c:v>0.82849260708831907</c:v>
                </c:pt>
                <c:pt idx="2">
                  <c:v>0.84166501650003245</c:v>
                </c:pt>
                <c:pt idx="3">
                  <c:v>0.85416626016250496</c:v>
                </c:pt>
                <c:pt idx="4">
                  <c:v>0.8660254037844386</c:v>
                </c:pt>
                <c:pt idx="5">
                  <c:v>0.87726848797845236</c:v>
                </c:pt>
                <c:pt idx="6">
                  <c:v>0.88791891521692456</c:v>
                </c:pt>
                <c:pt idx="7">
                  <c:v>0.89799777282574589</c:v>
                </c:pt>
                <c:pt idx="8">
                  <c:v>0.90752410436307418</c:v>
                </c:pt>
                <c:pt idx="9">
                  <c:v>0.91651513899116799</c:v>
                </c:pt>
                <c:pt idx="10">
                  <c:v>0.92498648638777425</c:v>
                </c:pt>
                <c:pt idx="11">
                  <c:v>0.93295230317524813</c:v>
                </c:pt>
                <c:pt idx="12">
                  <c:v>0.9404254356406998</c:v>
                </c:pt>
                <c:pt idx="13">
                  <c:v>0.94741754258616084</c:v>
                </c:pt>
                <c:pt idx="14">
                  <c:v>0.95393920141694566</c:v>
                </c:pt>
                <c:pt idx="15">
                  <c:v>0.96</c:v>
                </c:pt>
                <c:pt idx="16">
                  <c:v>0.96560861636586492</c:v>
                </c:pt>
                <c:pt idx="17">
                  <c:v>0.97077288796092776</c:v>
                </c:pt>
                <c:pt idx="18">
                  <c:v>0.97549987186057585</c:v>
                </c:pt>
                <c:pt idx="19">
                  <c:v>0.9797958971132712</c:v>
                </c:pt>
                <c:pt idx="20">
                  <c:v>0.98366661018863499</c:v>
                </c:pt>
                <c:pt idx="21">
                  <c:v>0.98711701434024535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82-41B3-94B2-8E3FD7DAF5A7}"/>
            </c:ext>
          </c:extLst>
        </c:ser>
        <c:ser>
          <c:idx val="3"/>
          <c:order val="3"/>
          <c:spPr>
            <a:ln w="300000" cap="rnd">
              <a:solidFill>
                <a:srgbClr val="F87171"/>
              </a:solidFill>
              <a:prstDash val="solid"/>
            </a:ln>
          </c:spPr>
          <c:marker>
            <c:symbol val="none"/>
          </c:marker>
          <c:xVal>
            <c:numRef>
              <c:f>Analysis!$AH$47:$AH$70</c:f>
              <c:numCache>
                <c:formatCode>General</c:formatCode>
                <c:ptCount val="24"/>
                <c:pt idx="0">
                  <c:v>-0.16</c:v>
                </c:pt>
                <c:pt idx="1">
                  <c:v>-0.14000000000000001</c:v>
                </c:pt>
                <c:pt idx="2">
                  <c:v>-0.12</c:v>
                </c:pt>
                <c:pt idx="3">
                  <c:v>-0.1</c:v>
                </c:pt>
                <c:pt idx="4">
                  <c:v>-0.08</c:v>
                </c:pt>
                <c:pt idx="5">
                  <c:v>-0.06</c:v>
                </c:pt>
                <c:pt idx="6">
                  <c:v>-0.04</c:v>
                </c:pt>
                <c:pt idx="7">
                  <c:v>-0.02</c:v>
                </c:pt>
                <c:pt idx="8">
                  <c:v>0</c:v>
                </c:pt>
                <c:pt idx="9">
                  <c:v>0.02</c:v>
                </c:pt>
                <c:pt idx="10">
                  <c:v>0.04</c:v>
                </c:pt>
                <c:pt idx="11">
                  <c:v>0.06</c:v>
                </c:pt>
                <c:pt idx="12">
                  <c:v>0.08</c:v>
                </c:pt>
                <c:pt idx="13">
                  <c:v>0.1</c:v>
                </c:pt>
                <c:pt idx="14">
                  <c:v>0.12</c:v>
                </c:pt>
                <c:pt idx="15">
                  <c:v>0.14000000000000001</c:v>
                </c:pt>
                <c:pt idx="16">
                  <c:v>0.16</c:v>
                </c:pt>
                <c:pt idx="17">
                  <c:v>0.18</c:v>
                </c:pt>
                <c:pt idx="18">
                  <c:v>0.2</c:v>
                </c:pt>
                <c:pt idx="19">
                  <c:v>0.22</c:v>
                </c:pt>
                <c:pt idx="20">
                  <c:v>0.24</c:v>
                </c:pt>
                <c:pt idx="21">
                  <c:v>0.26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xVal>
          <c:yVal>
            <c:numRef>
              <c:f>Analysis!$AI$47:$AI$70</c:f>
              <c:numCache>
                <c:formatCode>General</c:formatCode>
                <c:ptCount val="24"/>
                <c:pt idx="0">
                  <c:v>0.98711701434024535</c:v>
                </c:pt>
                <c:pt idx="1">
                  <c:v>0.99015150355892512</c:v>
                </c:pt>
                <c:pt idx="2">
                  <c:v>0.99277389167926855</c:v>
                </c:pt>
                <c:pt idx="3">
                  <c:v>0.99498743710661997</c:v>
                </c:pt>
                <c:pt idx="4">
                  <c:v>0.996794863550169</c:v>
                </c:pt>
                <c:pt idx="5">
                  <c:v>0.99819837707742243</c:v>
                </c:pt>
                <c:pt idx="6">
                  <c:v>0.99919967974374369</c:v>
                </c:pt>
                <c:pt idx="7">
                  <c:v>0.99979997999599901</c:v>
                </c:pt>
                <c:pt idx="8">
                  <c:v>1</c:v>
                </c:pt>
                <c:pt idx="9">
                  <c:v>0.99979997999599901</c:v>
                </c:pt>
                <c:pt idx="10">
                  <c:v>0.99919967974374369</c:v>
                </c:pt>
                <c:pt idx="11">
                  <c:v>0.99819837707742243</c:v>
                </c:pt>
                <c:pt idx="12">
                  <c:v>0.996794863550169</c:v>
                </c:pt>
                <c:pt idx="13">
                  <c:v>0.99498743710661997</c:v>
                </c:pt>
                <c:pt idx="14">
                  <c:v>0.99277389167926855</c:v>
                </c:pt>
                <c:pt idx="15">
                  <c:v>0.99015150355892512</c:v>
                </c:pt>
                <c:pt idx="16">
                  <c:v>0.98711701434024535</c:v>
                </c:pt>
                <c:pt idx="17">
                  <c:v>0.98366661018863499</c:v>
                </c:pt>
                <c:pt idx="18">
                  <c:v>0.9797958971132712</c:v>
                </c:pt>
                <c:pt idx="19">
                  <c:v>0.97549987186057585</c:v>
                </c:pt>
                <c:pt idx="20">
                  <c:v>0.97077288796092776</c:v>
                </c:pt>
                <c:pt idx="21">
                  <c:v>0.96560861636586492</c:v>
                </c:pt>
                <c:pt idx="22">
                  <c:v>0.96</c:v>
                </c:pt>
                <c:pt idx="23">
                  <c:v>0.95393920141694566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582-41B3-94B2-8E3FD7DAF5A7}"/>
            </c:ext>
          </c:extLst>
        </c:ser>
        <c:ser>
          <c:idx val="4"/>
          <c:order val="4"/>
          <c:spPr>
            <a:ln w="300000" cap="rnd">
              <a:solidFill>
                <a:srgbClr val="DC3639"/>
              </a:solidFill>
              <a:prstDash val="solid"/>
            </a:ln>
          </c:spPr>
          <c:marker>
            <c:symbol val="none"/>
          </c:marker>
          <c:xVal>
            <c:numRef>
              <c:f>Analysis!$AH$70:$AH$105</c:f>
              <c:numCache>
                <c:formatCode>General</c:formatCode>
                <c:ptCount val="36"/>
                <c:pt idx="0">
                  <c:v>0.3</c:v>
                </c:pt>
                <c:pt idx="1">
                  <c:v>0.32</c:v>
                </c:pt>
                <c:pt idx="2">
                  <c:v>0.34</c:v>
                </c:pt>
                <c:pt idx="3">
                  <c:v>0.36</c:v>
                </c:pt>
                <c:pt idx="4">
                  <c:v>0.38</c:v>
                </c:pt>
                <c:pt idx="5">
                  <c:v>0.4</c:v>
                </c:pt>
                <c:pt idx="6">
                  <c:v>0.42</c:v>
                </c:pt>
                <c:pt idx="7">
                  <c:v>0.44</c:v>
                </c:pt>
                <c:pt idx="8">
                  <c:v>0.46</c:v>
                </c:pt>
                <c:pt idx="9">
                  <c:v>0.48</c:v>
                </c:pt>
                <c:pt idx="10">
                  <c:v>0.5</c:v>
                </c:pt>
                <c:pt idx="11">
                  <c:v>0.52</c:v>
                </c:pt>
                <c:pt idx="12">
                  <c:v>0.54</c:v>
                </c:pt>
                <c:pt idx="13">
                  <c:v>0.56000000000000005</c:v>
                </c:pt>
                <c:pt idx="14">
                  <c:v>0.57999999999999996</c:v>
                </c:pt>
                <c:pt idx="15">
                  <c:v>0.6</c:v>
                </c:pt>
                <c:pt idx="16">
                  <c:v>0.62</c:v>
                </c:pt>
                <c:pt idx="17">
                  <c:v>0.64</c:v>
                </c:pt>
                <c:pt idx="18">
                  <c:v>0.66</c:v>
                </c:pt>
                <c:pt idx="19">
                  <c:v>0.68</c:v>
                </c:pt>
                <c:pt idx="20">
                  <c:v>0.7</c:v>
                </c:pt>
                <c:pt idx="21">
                  <c:v>0.72</c:v>
                </c:pt>
                <c:pt idx="22">
                  <c:v>0.74</c:v>
                </c:pt>
                <c:pt idx="23">
                  <c:v>0.76</c:v>
                </c:pt>
                <c:pt idx="24">
                  <c:v>0.78</c:v>
                </c:pt>
                <c:pt idx="25">
                  <c:v>0.8</c:v>
                </c:pt>
                <c:pt idx="26">
                  <c:v>0.82</c:v>
                </c:pt>
                <c:pt idx="27">
                  <c:v>0.84</c:v>
                </c:pt>
                <c:pt idx="28">
                  <c:v>0.86</c:v>
                </c:pt>
                <c:pt idx="29">
                  <c:v>0.88</c:v>
                </c:pt>
                <c:pt idx="30">
                  <c:v>0.9</c:v>
                </c:pt>
                <c:pt idx="31">
                  <c:v>0.92</c:v>
                </c:pt>
                <c:pt idx="32">
                  <c:v>0.94</c:v>
                </c:pt>
                <c:pt idx="33">
                  <c:v>0.96</c:v>
                </c:pt>
                <c:pt idx="34">
                  <c:v>0.98</c:v>
                </c:pt>
                <c:pt idx="35">
                  <c:v>1</c:v>
                </c:pt>
              </c:numCache>
            </c:numRef>
          </c:xVal>
          <c:yVal>
            <c:numRef>
              <c:f>Analysis!$AI$70:$AI$105</c:f>
              <c:numCache>
                <c:formatCode>General</c:formatCode>
                <c:ptCount val="36"/>
                <c:pt idx="0">
                  <c:v>0.95393920141694566</c:v>
                </c:pt>
                <c:pt idx="1">
                  <c:v>0.94741754258616084</c:v>
                </c:pt>
                <c:pt idx="2">
                  <c:v>0.9404254356406998</c:v>
                </c:pt>
                <c:pt idx="3">
                  <c:v>0.93295230317524813</c:v>
                </c:pt>
                <c:pt idx="4">
                  <c:v>0.92498648638777425</c:v>
                </c:pt>
                <c:pt idx="5">
                  <c:v>0.91651513899116799</c:v>
                </c:pt>
                <c:pt idx="6">
                  <c:v>0.90752410436307418</c:v>
                </c:pt>
                <c:pt idx="7">
                  <c:v>0.89799777282574589</c:v>
                </c:pt>
                <c:pt idx="8">
                  <c:v>0.88791891521692456</c:v>
                </c:pt>
                <c:pt idx="9">
                  <c:v>0.87726848797845236</c:v>
                </c:pt>
                <c:pt idx="10">
                  <c:v>0.8660254037844386</c:v>
                </c:pt>
                <c:pt idx="11">
                  <c:v>0.85416626016250496</c:v>
                </c:pt>
                <c:pt idx="12">
                  <c:v>0.84166501650003245</c:v>
                </c:pt>
                <c:pt idx="13">
                  <c:v>0.82849260708831907</c:v>
                </c:pt>
                <c:pt idx="14">
                  <c:v>0.81461647417665206</c:v>
                </c:pt>
                <c:pt idx="15">
                  <c:v>0.8</c:v>
                </c:pt>
                <c:pt idx="16">
                  <c:v>0.7846018098373212</c:v>
                </c:pt>
                <c:pt idx="17">
                  <c:v>0.7683749084919419</c:v>
                </c:pt>
                <c:pt idx="18">
                  <c:v>0.751265598839718</c:v>
                </c:pt>
                <c:pt idx="19">
                  <c:v>0.73321211119293428</c:v>
                </c:pt>
                <c:pt idx="20">
                  <c:v>0.71414284285428498</c:v>
                </c:pt>
                <c:pt idx="21">
                  <c:v>0.69397406291589891</c:v>
                </c:pt>
                <c:pt idx="22">
                  <c:v>0.67260686883200949</c:v>
                </c:pt>
                <c:pt idx="23">
                  <c:v>0.64992307237087688</c:v>
                </c:pt>
                <c:pt idx="24">
                  <c:v>0.62577951388648057</c:v>
                </c:pt>
                <c:pt idx="25">
                  <c:v>0.59999999999999987</c:v>
                </c:pt>
                <c:pt idx="26">
                  <c:v>0.57236352085016751</c:v>
                </c:pt>
                <c:pt idx="27">
                  <c:v>0.54258639865002156</c:v>
                </c:pt>
                <c:pt idx="28">
                  <c:v>0.51029403288692299</c:v>
                </c:pt>
                <c:pt idx="29">
                  <c:v>0.4749736834815167</c:v>
                </c:pt>
                <c:pt idx="30">
                  <c:v>0.43588989435406728</c:v>
                </c:pt>
                <c:pt idx="31">
                  <c:v>0.39191835884530846</c:v>
                </c:pt>
                <c:pt idx="32">
                  <c:v>0.34117444218463971</c:v>
                </c:pt>
                <c:pt idx="33">
                  <c:v>0.28000000000000003</c:v>
                </c:pt>
                <c:pt idx="34">
                  <c:v>0.1989974874213242</c:v>
                </c:pt>
                <c:pt idx="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82-41B3-94B2-8E3FD7DAF5A7}"/>
            </c:ext>
          </c:extLst>
        </c:ser>
        <c:ser>
          <c:idx val="5"/>
          <c:order val="5"/>
          <c:spPr>
            <a:ln w="24000" cap="rnd">
              <a:solidFill>
                <a:srgbClr val="0F172A"/>
              </a:solidFill>
              <a:prstDash val="solid"/>
            </a:ln>
          </c:spPr>
          <c:marker>
            <c:symbol val="none"/>
          </c:marker>
          <c:dPt>
            <c:idx val="1"/>
            <c:marker>
              <c:symbol val="circle"/>
              <c:size val="11"/>
              <c:spPr>
                <a:solidFill>
                  <a:srgbClr val="0F172A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582-41B3-94B2-8E3FD7DAF5A7}"/>
              </c:ext>
            </c:extLst>
          </c:dPt>
          <c:xVal>
            <c:numRef>
              <c:f>Analysis!$AH$2:$AH$3</c:f>
              <c:numCache>
                <c:formatCode>General</c:formatCode>
                <c:ptCount val="2"/>
                <c:pt idx="0">
                  <c:v>-0.82353259762842745</c:v>
                </c:pt>
                <c:pt idx="1">
                  <c:v>0</c:v>
                </c:pt>
              </c:numCache>
            </c:numRef>
          </c:xVal>
          <c:yVal>
            <c:numRef>
              <c:f>Analysis!$AI$2:$AI$3</c:f>
              <c:numCache>
                <c:formatCode>General</c:formatCode>
                <c:ptCount val="2"/>
                <c:pt idx="0">
                  <c:v>0.56726894912675652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82-41B3-94B2-8E3FD7DAF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01"/>
        <c:axId val="100002"/>
      </c:scatterChart>
      <c:valAx>
        <c:axId val="100001"/>
        <c:scaling>
          <c:orientation val="minMax"/>
          <c:max val="1.1200000000000001"/>
          <c:min val="-1.1200000000000001"/>
        </c:scaling>
        <c:delete val="1"/>
        <c:axPos val="b"/>
        <c:numFmt formatCode="General" sourceLinked="1"/>
        <c:majorTickMark val="none"/>
        <c:minorTickMark val="none"/>
        <c:tickLblPos val="none"/>
        <c:crossAx val="100002"/>
        <c:crosses val="autoZero"/>
        <c:crossBetween val="midCat"/>
      </c:valAx>
      <c:valAx>
        <c:axId val="100002"/>
        <c:scaling>
          <c:orientation val="minMax"/>
          <c:max val="1.1200000000000001"/>
          <c:min val="-0.08"/>
        </c:scaling>
        <c:delete val="1"/>
        <c:axPos val="l"/>
        <c:numFmt formatCode="General" sourceLinked="1"/>
        <c:majorTickMark val="none"/>
        <c:minorTickMark val="none"/>
        <c:tickLblPos val="none"/>
        <c:crossAx val="100001"/>
        <c:crosses val="autoZero"/>
        <c:crossBetween val="midCat"/>
      </c:valAx>
    </c:plotArea>
    <c:plotVisOnly val="0"/>
    <c:dispBlanksAs val="zero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100" b="1">
                <a:latin typeface="Arial"/>
                <a:ea typeface="Arial"/>
                <a:cs typeface="Arial"/>
              </a:rPr>
              <a:t>Aging Distribution Profile (VND)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Filtered Balance</c:v>
          </c:tx>
          <c:spPr>
            <a:solidFill>
              <a:srgbClr val="30499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04991"/>
              </a:solidFill>
            </c:spPr>
            <c:extLst>
              <c:ext xmlns:c16="http://schemas.microsoft.com/office/drawing/2014/chart" uri="{C3380CC4-5D6E-409C-BE32-E72D297353CC}">
                <c16:uniqueId val="{00000001-87CC-4C2A-B5B5-774812BB6E55}"/>
              </c:ext>
            </c:extLst>
          </c:dPt>
          <c:dPt>
            <c:idx val="1"/>
            <c:invertIfNegative val="1"/>
            <c:bubble3D val="0"/>
            <c:spPr>
              <a:solidFill>
                <a:srgbClr val="94A3B8"/>
              </a:solidFill>
            </c:spPr>
            <c:extLst>
              <c:ext xmlns:c16="http://schemas.microsoft.com/office/drawing/2014/chart" uri="{C3380CC4-5D6E-409C-BE32-E72D297353CC}">
                <c16:uniqueId val="{00000002-87CC-4C2A-B5B5-774812BB6E55}"/>
              </c:ext>
            </c:extLst>
          </c:dPt>
          <c:dPt>
            <c:idx val="2"/>
            <c:invertIfNegative val="1"/>
            <c:bubble3D val="0"/>
            <c:spPr>
              <a:solidFill>
                <a:srgbClr val="D98412"/>
              </a:solidFill>
            </c:spPr>
            <c:extLst>
              <c:ext xmlns:c16="http://schemas.microsoft.com/office/drawing/2014/chart" uri="{C3380CC4-5D6E-409C-BE32-E72D297353CC}">
                <c16:uniqueId val="{00000003-87CC-4C2A-B5B5-774812BB6E55}"/>
              </c:ext>
            </c:extLst>
          </c:dPt>
          <c:dPt>
            <c:idx val="3"/>
            <c:invertIfNegative val="1"/>
            <c:bubble3D val="0"/>
            <c:spPr>
              <a:solidFill>
                <a:srgbClr val="F66A19"/>
              </a:solidFill>
            </c:spPr>
            <c:extLst>
              <c:ext xmlns:c16="http://schemas.microsoft.com/office/drawing/2014/chart" uri="{C3380CC4-5D6E-409C-BE32-E72D297353CC}">
                <c16:uniqueId val="{00000004-87CC-4C2A-B5B5-774812BB6E55}"/>
              </c:ext>
            </c:extLst>
          </c:dPt>
          <c:dPt>
            <c:idx val="4"/>
            <c:invertIfNegative val="1"/>
            <c:bubble3D val="0"/>
            <c:spPr>
              <a:solidFill>
                <a:srgbClr val="DC3639"/>
              </a:solidFill>
            </c:spPr>
            <c:extLst>
              <c:ext xmlns:c16="http://schemas.microsoft.com/office/drawing/2014/chart" uri="{C3380CC4-5D6E-409C-BE32-E72D297353CC}">
                <c16:uniqueId val="{00000005-87CC-4C2A-B5B5-774812BB6E55}"/>
              </c:ext>
            </c:extLst>
          </c:dPt>
          <c:dPt>
            <c:idx val="5"/>
            <c:invertIfNegative val="1"/>
            <c:bubble3D val="0"/>
            <c:spPr>
              <a:solidFill>
                <a:srgbClr val="B91C1C"/>
              </a:solidFill>
            </c:spPr>
            <c:extLst>
              <c:ext xmlns:c16="http://schemas.microsoft.com/office/drawing/2014/chart" uri="{C3380CC4-5D6E-409C-BE32-E72D297353CC}">
                <c16:uniqueId val="{0000000B-EE38-4465-8520-C94D13CD1F14}"/>
              </c:ext>
            </c:extLst>
          </c:dPt>
          <c:dPt>
            <c:idx val="6"/>
            <c:invertIfNegative val="1"/>
            <c:bubble3D val="0"/>
            <c:spPr>
              <a:solidFill>
                <a:srgbClr val="991B1B"/>
              </a:solidFill>
            </c:spPr>
            <c:extLst>
              <c:ext xmlns:c16="http://schemas.microsoft.com/office/drawing/2014/chart" uri="{C3380CC4-5D6E-409C-BE32-E72D297353CC}">
                <c16:uniqueId val="{0000000D-EE38-4465-8520-C94D13CD1F14}"/>
              </c:ext>
            </c:extLst>
          </c:dPt>
          <c:dLbls>
            <c:dLbl>
              <c:idx val="0"/>
              <c:tx>
                <c:strRef>
                  <c:f>Analysis!$BB$38</c:f>
                  <c:strCache>
                    <c:ptCount val="1"/>
                    <c:pt idx="0">
                      <c:v>41.22B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{B3CB878A-4CDA-4067-8D83-B1327F8E81D1}</c15:txfldGUID>
                      <c15:f>Analysis!$BB$38</c15:f>
                      <c15:dlblFieldTableCache>
                        <c:ptCount val="1"/>
                        <c:pt idx="0">
                          <c:v>41.22B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87CC-4C2A-B5B5-774812BB6E55}"/>
                </c:ext>
              </c:extLst>
            </c:dLbl>
            <c:dLbl>
              <c:idx val="1"/>
              <c:tx>
                <c:strRef>
                  <c:f>Analysis!$BB$39</c:f>
                  <c:strCache>
                    <c:ptCount val="1"/>
                    <c:pt idx="0">
                      <c:v>36.9M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{C8348F02-2C94-4C51-A4BA-DE1749FCB3E4}</c15:txfldGUID>
                      <c15:f>Analysis!$BB$39</c15:f>
                      <c15:dlblFieldTableCache>
                        <c:ptCount val="1"/>
                        <c:pt idx="0">
                          <c:v>36.9M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7CC-4C2A-B5B5-774812BB6E55}"/>
                </c:ext>
              </c:extLst>
            </c:dLbl>
            <c:dLbl>
              <c:idx val="2"/>
              <c:tx>
                <c:strRef>
                  <c:f>Analysis!$BB$40</c:f>
                  <c:strCache>
                    <c:ptCount val="1"/>
                    <c:pt idx="0">
                      <c:v>5.24B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{BDE18B79-5665-4C95-9438-92A19D9F6E65}</c15:txfldGUID>
                      <c15:f>Analysis!$BB$40</c15:f>
                      <c15:dlblFieldTableCache>
                        <c:ptCount val="1"/>
                        <c:pt idx="0">
                          <c:v>5.24B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87CC-4C2A-B5B5-774812BB6E55}"/>
                </c:ext>
              </c:extLst>
            </c:dLbl>
            <c:dLbl>
              <c:idx val="3"/>
              <c:tx>
                <c:strRef>
                  <c:f>Analysis!$BB$41</c:f>
                  <c:strCache>
                    <c:ptCount val="1"/>
                    <c:pt idx="0">
                      <c:v>545.7M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{205B45FC-EC79-4CEE-A279-FDA92988623F}</c15:txfldGUID>
                      <c15:f>Analysis!$BB$41</c15:f>
                      <c15:dlblFieldTableCache>
                        <c:ptCount val="1"/>
                        <c:pt idx="0">
                          <c:v>545.7M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87CC-4C2A-B5B5-774812BB6E55}"/>
                </c:ext>
              </c:extLst>
            </c:dLbl>
            <c:dLbl>
              <c:idx val="4"/>
              <c:tx>
                <c:strRef>
                  <c:f>Analysis!$BB$42</c:f>
                  <c:strCache>
                    <c:ptCount val="1"/>
                    <c:pt idx="0">
                      <c:v>4.02B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{C270C8EC-CF90-426E-812E-C41218DB71CE}</c15:txfldGUID>
                      <c15:f>Analysis!$BB$42</c15:f>
                      <c15:dlblFieldTableCache>
                        <c:ptCount val="1"/>
                        <c:pt idx="0">
                          <c:v>4.02B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87CC-4C2A-B5B5-774812BB6E5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38-4465-8520-C94D13CD1F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E38-4465-8520-C94D13CD1F14}"/>
                </c:ext>
              </c:extLst>
            </c:dLbl>
            <c:numFmt formatCode="[&gt;=1000000000]0.00,,,&quot;B&quot;;[&gt;=1000000]0.0,,&quot;M&quot;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Analysis!$CB$38:$CB$44</c:f>
              <c:strCache>
                <c:ptCount val="7"/>
                <c:pt idx="0">
                  <c:v>Current
(not due)</c:v>
                </c:pt>
                <c:pt idx="1">
                  <c:v>Due
today</c:v>
                </c:pt>
                <c:pt idx="2">
                  <c:v>1–30d
overdue</c:v>
                </c:pt>
                <c:pt idx="3">
                  <c:v>31–60d
overdue</c:v>
                </c:pt>
                <c:pt idx="4">
                  <c:v>61–90d
&gt;60 days</c:v>
                </c:pt>
                <c:pt idx="5">
                  <c:v>91–180d
&gt;60 days</c:v>
                </c:pt>
                <c:pt idx="6">
                  <c:v>&gt;180d
&gt;60 days</c:v>
                </c:pt>
              </c:strCache>
            </c:strRef>
          </c:cat>
          <c:val>
            <c:numRef>
              <c:f>Analysis!$B$38:$B$44</c:f>
              <c:numCache>
                <c:formatCode>#,##0</c:formatCode>
                <c:ptCount val="7"/>
                <c:pt idx="0">
                  <c:v>41216259755</c:v>
                </c:pt>
                <c:pt idx="1">
                  <c:v>36887245</c:v>
                </c:pt>
                <c:pt idx="2">
                  <c:v>5235411407</c:v>
                </c:pt>
                <c:pt idx="3">
                  <c:v>545684593</c:v>
                </c:pt>
                <c:pt idx="4">
                  <c:v>4021632000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CC-4C2A-B5B5-774812BB6E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000]0.00,,,&quot;B&quot;;[&gt;=1000000]0.0,,&quot;M&quot;;0,&quot;K&quot;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vi-VN" sz="1100" b="1">
                <a:latin typeface="Arial"/>
                <a:ea typeface="Arial"/>
                <a:cs typeface="Arial"/>
              </a:rPr>
              <a:t>Enterprise Customer Risk Exposure (VND)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Current / In-Term</c:v>
          </c:tx>
          <c:spPr>
            <a:solidFill>
              <a:srgbClr val="94A3B8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Analysis!$CC$170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{E470E1BE-4410-4545-BC20-0A16290F260B}</c15:txfldGUID>
                      <c15:f>Analysis!$CC$170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485E-420B-9349-2D34E243B94D}"/>
                </c:ext>
              </c:extLst>
            </c:dLbl>
            <c:dLbl>
              <c:idx val="1"/>
              <c:tx>
                <c:strRef>
                  <c:f>Analysis!$CC$171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{153B9ED3-94B1-49DB-8464-BC3CC63AA6BB}</c15:txfldGUID>
                      <c15:f>Analysis!$CC$171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485E-420B-9349-2D34E243B94D}"/>
                </c:ext>
              </c:extLst>
            </c:dLbl>
            <c:dLbl>
              <c:idx val="2"/>
              <c:tx>
                <c:strRef>
                  <c:f>Analysis!$CC$172</c:f>
                  <c:strCache>
                    <c:ptCount val="1"/>
                    <c:pt idx="0">
                      <c:v>36.50B</c:v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{B7BC8AF5-FBAC-48DC-815F-F1713FE85BB6}</c15:txfldGUID>
                      <c15:f>Analysis!$CC$172</c15:f>
                      <c15:dlblFieldTableCache>
                        <c:ptCount val="1"/>
                        <c:pt idx="0">
                          <c:v>36.50B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485E-420B-9349-2D34E243B94D}"/>
                </c:ext>
              </c:extLst>
            </c:dLbl>
            <c:dLbl>
              <c:idx val="3"/>
              <c:tx>
                <c:strRef>
                  <c:f>Analysis!$CC$173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{95D93F11-A42D-427A-ABC6-AF6E1DFB817F}</c15:txfldGUID>
                      <c15:f>Analysis!$CC$173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485E-420B-9349-2D34E243B94D}"/>
                </c:ext>
              </c:extLst>
            </c:dLbl>
            <c:dLbl>
              <c:idx val="4"/>
              <c:tx>
                <c:strRef>
                  <c:f>Analysis!$CC$174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{980D9347-C06E-4093-B55C-2947DD5C3BB2}</c15:txfldGUID>
                      <c15:f>Analysis!$CC$174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485E-420B-9349-2D34E243B94D}"/>
                </c:ext>
              </c:extLst>
            </c:dLbl>
            <c:dLbl>
              <c:idx val="5"/>
              <c:tx>
                <c:strRef>
                  <c:f>Analysis!$CC$175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{326E8F9A-A68E-4F60-97AC-EFE343244596}</c15:txfldGUID>
                      <c15:f>Analysis!$CC$175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485E-420B-9349-2D34E243B94D}"/>
                </c:ext>
              </c:extLst>
            </c:dLbl>
            <c:dLbl>
              <c:idx val="6"/>
              <c:tx>
                <c:strRef>
                  <c:f>Analysis!$CC$176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{17DDFE80-8A21-47F1-A21D-33C59BDD4F08}</c15:txfldGUID>
                      <c15:f>Analysis!$CC$176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485E-420B-9349-2D34E243B94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Analysis!$CA$170:$CA$176</c:f>
              <c:strCache>
                <c:ptCount val="7"/>
                <c:pt idx="0">
                  <c:v>Customer 01</c:v>
                </c:pt>
                <c:pt idx="1">
                  <c:v>Customer 02</c:v>
                </c:pt>
                <c:pt idx="2">
                  <c:v>Customer 03</c:v>
                </c:pt>
                <c:pt idx="3">
                  <c:v>Customer 04</c:v>
                </c:pt>
                <c:pt idx="4">
                  <c:v>Customer 05</c:v>
                </c:pt>
                <c:pt idx="5">
                  <c:v>Customer 06</c:v>
                </c:pt>
                <c:pt idx="6">
                  <c:v>Customer 07</c:v>
                </c:pt>
              </c:strCache>
            </c:strRef>
          </c:cat>
          <c:val>
            <c:numRef>
              <c:f>Analysis!$D$170:$D$176</c:f>
              <c:numCache>
                <c:formatCode>#,##0</c:formatCode>
                <c:ptCount val="7"/>
                <c:pt idx="0">
                  <c:v>450339000</c:v>
                </c:pt>
                <c:pt idx="1">
                  <c:v>2283113999</c:v>
                </c:pt>
                <c:pt idx="2">
                  <c:v>36498405001</c:v>
                </c:pt>
                <c:pt idx="3">
                  <c:v>1977501387</c:v>
                </c:pt>
                <c:pt idx="4">
                  <c:v>43462950</c:v>
                </c:pt>
                <c:pt idx="5">
                  <c:v>324663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67-4775-BB6F-38E88333B9AB}"/>
            </c:ext>
          </c:extLst>
        </c:ser>
        <c:ser>
          <c:idx val="1"/>
          <c:order val="1"/>
          <c:tx>
            <c:v>Overdue &amp; Doubtful</c:v>
          </c:tx>
          <c:spPr>
            <a:solidFill>
              <a:srgbClr val="B91C1C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Analysis!$CD$170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{FFD93DAC-9455-47D3-986B-B4D94B0F9DFF}</c15:txfldGUID>
                      <c15:f>Analysis!$CD$170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485E-420B-9349-2D34E243B94D}"/>
                </c:ext>
              </c:extLst>
            </c:dLbl>
            <c:dLbl>
              <c:idx val="1"/>
              <c:tx>
                <c:strRef>
                  <c:f>Analysis!$CD$171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{E5E56D29-C90A-406F-8FEF-529BBC83F853}</c15:txfldGUID>
                      <c15:f>Analysis!$CD$171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485E-420B-9349-2D34E243B94D}"/>
                </c:ext>
              </c:extLst>
            </c:dLbl>
            <c:dLbl>
              <c:idx val="2"/>
              <c:tx>
                <c:strRef>
                  <c:f>Analysis!$CD$172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{DC57B675-A7AA-4D79-982C-3A9DFC378314}</c15:txfldGUID>
                      <c15:f>Analysis!$CD$172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485E-420B-9349-2D34E243B94D}"/>
                </c:ext>
              </c:extLst>
            </c:dLbl>
            <c:dLbl>
              <c:idx val="3"/>
              <c:tx>
                <c:strRef>
                  <c:f>Analysis!$CD$173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{08AE1E50-9D47-4DDA-9ECE-6383EA63B901}</c15:txfldGUID>
                      <c15:f>Analysis!$CD$173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485E-420B-9349-2D34E243B94D}"/>
                </c:ext>
              </c:extLst>
            </c:dLbl>
            <c:dLbl>
              <c:idx val="4"/>
              <c:tx>
                <c:strRef>
                  <c:f>Analysis!$CD$174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{1CE1766B-7028-4F42-B1ED-F004A396645D}</c15:txfldGUID>
                      <c15:f>Analysis!$CD$174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85E-420B-9349-2D34E243B94D}"/>
                </c:ext>
              </c:extLst>
            </c:dLbl>
            <c:dLbl>
              <c:idx val="5"/>
              <c:tx>
                <c:strRef>
                  <c:f>Analysis!$CD$175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{CE209D55-9872-4FB1-8965-1571024A0620}</c15:txfldGUID>
                      <c15:f>Analysis!$CD$175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485E-420B-9349-2D34E243B94D}"/>
                </c:ext>
              </c:extLst>
            </c:dLbl>
            <c:dLbl>
              <c:idx val="6"/>
              <c:tx>
                <c:strRef>
                  <c:f>Analysis!$CD$176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{38FCD6B6-0653-47DA-955E-A7FF486285D0}</c15:txfldGUID>
                      <c15:f>Analysis!$CD$176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85E-420B-9349-2D34E243B94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Analysis!$CA$170:$CA$176</c:f>
              <c:strCache>
                <c:ptCount val="7"/>
                <c:pt idx="0">
                  <c:v>Customer 01</c:v>
                </c:pt>
                <c:pt idx="1">
                  <c:v>Customer 02</c:v>
                </c:pt>
                <c:pt idx="2">
                  <c:v>Customer 03</c:v>
                </c:pt>
                <c:pt idx="3">
                  <c:v>Customer 04</c:v>
                </c:pt>
                <c:pt idx="4">
                  <c:v>Customer 05</c:v>
                </c:pt>
                <c:pt idx="5">
                  <c:v>Customer 06</c:v>
                </c:pt>
                <c:pt idx="6">
                  <c:v>Customer 07</c:v>
                </c:pt>
              </c:strCache>
            </c:strRef>
          </c:cat>
          <c:val>
            <c:numRef>
              <c:f>Analysis!$E$170:$E$176</c:f>
              <c:numCache>
                <c:formatCode>#,##0</c:formatCode>
                <c:ptCount val="7"/>
                <c:pt idx="0">
                  <c:v>1550004001</c:v>
                </c:pt>
                <c:pt idx="1">
                  <c:v>0</c:v>
                </c:pt>
                <c:pt idx="2">
                  <c:v>2555411999</c:v>
                </c:pt>
                <c:pt idx="3">
                  <c:v>1675680000</c:v>
                </c:pt>
                <c:pt idx="4">
                  <c:v>0</c:v>
                </c:pt>
                <c:pt idx="5">
                  <c:v>0</c:v>
                </c:pt>
                <c:pt idx="6">
                  <c:v>4021632000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D67-4775-BB6F-38E88333B9AB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10"/>
        <c:overlap val="100"/>
        <c:axId val="48650112"/>
        <c:axId val="48672768"/>
      </c:barChart>
      <c:lineChart>
        <c:grouping val="standard"/>
        <c:varyColors val="1"/>
        <c:ser>
          <c:idx val="20"/>
          <c:order val="2"/>
          <c:tx>
            <c:v>Label placement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Analysis!$CE$170</c:f>
                  <c:strCache>
                    <c:ptCount val="1"/>
                    <c:pt idx="0">
                      <c:v>450.34M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{B76B8A0E-E5EE-4D7C-B0E7-AC69C00F4BC6}</c15:txfldGUID>
                      <c15:f>Analysis!$CE$170</c15:f>
                      <c15:dlblFieldTableCache>
                        <c:ptCount val="1"/>
                        <c:pt idx="0">
                          <c:v>450.34M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485E-420B-9349-2D34E243B94D}"/>
                </c:ext>
              </c:extLst>
            </c:dLbl>
            <c:dLbl>
              <c:idx val="1"/>
              <c:tx>
                <c:strRef>
                  <c:f>Analysis!$CE$171</c:f>
                  <c:strCache>
                    <c:ptCount val="1"/>
                    <c:pt idx="0">
                      <c:v>2.28B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{1B144286-43EF-4936-9810-8ACE2B597143}</c15:txfldGUID>
                      <c15:f>Analysis!$CE$171</c15:f>
                      <c15:dlblFieldTableCache>
                        <c:ptCount val="1"/>
                        <c:pt idx="0">
                          <c:v>2.28B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485E-420B-9349-2D34E243B94D}"/>
                </c:ext>
              </c:extLst>
            </c:dLbl>
            <c:dLbl>
              <c:idx val="2"/>
              <c:tx>
                <c:strRef>
                  <c:f>Analysis!$CE$172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{E737A1E0-FC9F-40D8-955F-FC95CC290902}</c15:txfldGUID>
                      <c15:f>Analysis!$CE$172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485E-420B-9349-2D34E243B94D}"/>
                </c:ext>
              </c:extLst>
            </c:dLbl>
            <c:dLbl>
              <c:idx val="3"/>
              <c:tx>
                <c:strRef>
                  <c:f>Analysis!$CE$173</c:f>
                  <c:strCache>
                    <c:ptCount val="1"/>
                    <c:pt idx="0">
                      <c:v>1.98B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{83E87232-2F84-4A81-902B-BCA52008E436}</c15:txfldGUID>
                      <c15:f>Analysis!$CE$173</c15:f>
                      <c15:dlblFieldTableCache>
                        <c:ptCount val="1"/>
                        <c:pt idx="0">
                          <c:v>1.98B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485E-420B-9349-2D34E243B94D}"/>
                </c:ext>
              </c:extLst>
            </c:dLbl>
            <c:dLbl>
              <c:idx val="4"/>
              <c:tx>
                <c:strRef>
                  <c:f>Analysis!$CE$174</c:f>
                  <c:strCache>
                    <c:ptCount val="1"/>
                    <c:pt idx="0">
                      <c:v>43.46M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{8CC39774-82CE-41BA-A757-9EB0C429A711}</c15:txfldGUID>
                      <c15:f>Analysis!$CE$174</c15:f>
                      <c15:dlblFieldTableCache>
                        <c:ptCount val="1"/>
                        <c:pt idx="0">
                          <c:v>43.46M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485E-420B-9349-2D34E243B94D}"/>
                </c:ext>
              </c:extLst>
            </c:dLbl>
            <c:dLbl>
              <c:idx val="5"/>
              <c:tx>
                <c:strRef>
                  <c:f>Analysis!$CE$175</c:f>
                  <c:strCache>
                    <c:ptCount val="1"/>
                    <c:pt idx="0">
                      <c:v>324.66K</c:v>
                    </c:pt>
                  </c:strCache>
                </c:strRef>
              </c:tx>
              <c:spPr>
                <a:solidFill>
                  <a:srgbClr val="94A3B8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{CB68F81D-76C4-4D2B-89E3-B0C05F3874AF}</c15:txfldGUID>
                      <c15:f>Analysis!$CE$175</c15:f>
                      <c15:dlblFieldTableCache>
                        <c:ptCount val="1"/>
                        <c:pt idx="0">
                          <c:v>324.66K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485E-420B-9349-2D34E243B94D}"/>
                </c:ext>
              </c:extLst>
            </c:dLbl>
            <c:dLbl>
              <c:idx val="6"/>
              <c:tx>
                <c:strRef>
                  <c:f>Analysis!$CE$176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{9D095A5B-9CCE-4B84-886D-167EC052EFBA}</c15:txfldGUID>
                      <c15:f>Analysis!$CE$176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485E-420B-9349-2D34E243B94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Analysis!$CA$170:$CA$176</c:f>
              <c:strCache>
                <c:ptCount val="7"/>
                <c:pt idx="0">
                  <c:v>Customer 01</c:v>
                </c:pt>
                <c:pt idx="1">
                  <c:v>Customer 02</c:v>
                </c:pt>
                <c:pt idx="2">
                  <c:v>Customer 03</c:v>
                </c:pt>
                <c:pt idx="3">
                  <c:v>Customer 04</c:v>
                </c:pt>
                <c:pt idx="4">
                  <c:v>Customer 05</c:v>
                </c:pt>
                <c:pt idx="5">
                  <c:v>Customer 06</c:v>
                </c:pt>
                <c:pt idx="6">
                  <c:v>Customer 07</c:v>
                </c:pt>
              </c:strCache>
            </c:strRef>
          </c:cat>
          <c:val>
            <c:numRef>
              <c:f>Analysis!$CG$170:$CG$176</c:f>
              <c:numCache>
                <c:formatCode>General</c:formatCode>
                <c:ptCount val="7"/>
                <c:pt idx="0">
                  <c:v>3171957511</c:v>
                </c:pt>
                <c:pt idx="1">
                  <c:v>3454728509</c:v>
                </c:pt>
                <c:pt idx="2">
                  <c:v>0</c:v>
                </c:pt>
                <c:pt idx="3">
                  <c:v>4824795897</c:v>
                </c:pt>
                <c:pt idx="4">
                  <c:v>1215077460</c:v>
                </c:pt>
                <c:pt idx="5">
                  <c:v>1171939173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85E-420B-9349-2D34E243B94D}"/>
            </c:ext>
          </c:extLst>
        </c:ser>
        <c:ser>
          <c:idx val="21"/>
          <c:order val="3"/>
          <c:tx>
            <c:v>Label placement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Analysis!$CF$170</c:f>
                  <c:strCache>
                    <c:ptCount val="1"/>
                    <c:pt idx="0">
                      <c:v>1.55B</c:v>
                    </c:pt>
                  </c:strCache>
                </c:strRef>
              </c:tx>
              <c:spPr>
                <a:solidFill>
                  <a:srgbClr val="B91C1C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{47074C68-34CB-433D-96B0-B8E4DA8409EB}</c15:txfldGUID>
                      <c15:f>Analysis!$CF$170</c15:f>
                      <c15:dlblFieldTableCache>
                        <c:ptCount val="1"/>
                        <c:pt idx="0">
                          <c:v>1.55B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485E-420B-9349-2D34E243B94D}"/>
                </c:ext>
              </c:extLst>
            </c:dLbl>
            <c:dLbl>
              <c:idx val="1"/>
              <c:tx>
                <c:strRef>
                  <c:f>Analysis!$CF$171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{BEA72693-2431-4704-820C-C196126C156E}</c15:txfldGUID>
                      <c15:f>Analysis!$CF$171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485E-420B-9349-2D34E243B94D}"/>
                </c:ext>
              </c:extLst>
            </c:dLbl>
            <c:dLbl>
              <c:idx val="2"/>
              <c:tx>
                <c:strRef>
                  <c:f>Analysis!$CF$172</c:f>
                  <c:strCache>
                    <c:ptCount val="1"/>
                    <c:pt idx="0">
                      <c:v>2.56B</c:v>
                    </c:pt>
                  </c:strCache>
                </c:strRef>
              </c:tx>
              <c:spPr>
                <a:solidFill>
                  <a:srgbClr val="B91C1C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{9B68CF72-89D4-4E65-8AC3-616A3F239426}</c15:txfldGUID>
                      <c15:f>Analysis!$CF$172</c15:f>
                      <c15:dlblFieldTableCache>
                        <c:ptCount val="1"/>
                        <c:pt idx="0">
                          <c:v>2.56B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485E-420B-9349-2D34E243B94D}"/>
                </c:ext>
              </c:extLst>
            </c:dLbl>
            <c:dLbl>
              <c:idx val="3"/>
              <c:tx>
                <c:strRef>
                  <c:f>Analysis!$CF$173</c:f>
                  <c:strCache>
                    <c:ptCount val="1"/>
                    <c:pt idx="0">
                      <c:v>1.68B</c:v>
                    </c:pt>
                  </c:strCache>
                </c:strRef>
              </c:tx>
              <c:spPr>
                <a:solidFill>
                  <a:srgbClr val="B91C1C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{15739DD7-856F-4121-B460-75DD014A6818}</c15:txfldGUID>
                      <c15:f>Analysis!$CF$173</c15:f>
                      <c15:dlblFieldTableCache>
                        <c:ptCount val="1"/>
                        <c:pt idx="0">
                          <c:v>1.68B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485E-420B-9349-2D34E243B94D}"/>
                </c:ext>
              </c:extLst>
            </c:dLbl>
            <c:dLbl>
              <c:idx val="4"/>
              <c:tx>
                <c:strRef>
                  <c:f>Analysis!$CF$174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{23E4E2A9-2532-4253-8968-98623CBF9B41}</c15:txfldGUID>
                      <c15:f>Analysis!$CF$174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485E-420B-9349-2D34E243B94D}"/>
                </c:ext>
              </c:extLst>
            </c:dLbl>
            <c:dLbl>
              <c:idx val="5"/>
              <c:tx>
                <c:strRef>
                  <c:f>Analysis!$CF$175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{A039361B-70E1-418E-8C00-8AB7A3993A5B}</c15:txfldGUID>
                      <c15:f>Analysis!$CF$175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485E-420B-9349-2D34E243B94D}"/>
                </c:ext>
              </c:extLst>
            </c:dLbl>
            <c:dLbl>
              <c:idx val="6"/>
              <c:tx>
                <c:strRef>
                  <c:f>Analysis!$CF$176</c:f>
                  <c:strCache>
                    <c:ptCount val="1"/>
                    <c:pt idx="0">
                      <c:v>4.02B</c:v>
                    </c:pt>
                  </c:strCache>
                </c:strRef>
              </c:tx>
              <c:spPr>
                <a:solidFill>
                  <a:srgbClr val="B91C1C">
                    <a:alpha val="30000"/>
                  </a:srgbClr>
                </a:solidFill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{77B10AC4-224D-4677-8467-E1B9232B70FB}</c15:txfldGUID>
                      <c15:f>Analysis!$CF$176</c15:f>
                      <c15:dlblFieldTableCache>
                        <c:ptCount val="1"/>
                        <c:pt idx="0">
                          <c:v>4.02B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485E-420B-9349-2D34E243B94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Analysis!$CA$170:$CA$176</c:f>
              <c:strCache>
                <c:ptCount val="7"/>
                <c:pt idx="0">
                  <c:v>Customer 01</c:v>
                </c:pt>
                <c:pt idx="1">
                  <c:v>Customer 02</c:v>
                </c:pt>
                <c:pt idx="2">
                  <c:v>Customer 03</c:v>
                </c:pt>
                <c:pt idx="3">
                  <c:v>Customer 04</c:v>
                </c:pt>
                <c:pt idx="4">
                  <c:v>Customer 05</c:v>
                </c:pt>
                <c:pt idx="5">
                  <c:v>Customer 06</c:v>
                </c:pt>
                <c:pt idx="6">
                  <c:v>Customer 07</c:v>
                </c:pt>
              </c:strCache>
            </c:strRef>
          </c:cat>
          <c:val>
            <c:numRef>
              <c:f>Analysis!$CH$170:$CH$176</c:f>
              <c:numCache>
                <c:formatCode>General</c:formatCode>
                <c:ptCount val="7"/>
                <c:pt idx="0">
                  <c:v>5905724701</c:v>
                </c:pt>
                <c:pt idx="1">
                  <c:v>0</c:v>
                </c:pt>
                <c:pt idx="2">
                  <c:v>40225431510</c:v>
                </c:pt>
                <c:pt idx="3">
                  <c:v>7558563087</c:v>
                </c:pt>
                <c:pt idx="4">
                  <c:v>0</c:v>
                </c:pt>
                <c:pt idx="5">
                  <c:v>0</c:v>
                </c:pt>
                <c:pt idx="6">
                  <c:v>5193246510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85E-420B-9349-2D34E243B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000]0.00,,,&quot;B&quot;;[&gt;=1000000]0.0,,&quot;M&quot;;0,&quot;K&quot;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sz="800" b="0">
              <a:latin typeface="Arial"/>
            </a:defRPr>
          </a:pPr>
          <a:endParaRPr lang="en-US"/>
        </a:p>
      </c:txPr>
    </c:legend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vi-VN" sz="1100" b="1">
                <a:latin typeface="Arial"/>
                <a:ea typeface="Arial"/>
                <a:cs typeface="Arial"/>
              </a:rPr>
              <a:t>Sales Representative Portfolio Accountability (VND)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Current / In-Term</c:v>
          </c:tx>
          <c:spPr>
            <a:solidFill>
              <a:srgbClr val="94A3B8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Analysis!$BT$170</c:f>
                  <c:strCache>
                    <c:ptCount val="1"/>
                    <c:pt idx="0">
                      <c:v>10.51B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{64270236-B122-457C-8287-AC89857EBFBA}</c15:txfldGUID>
                      <c15:f>Analysis!$BT$170</c15:f>
                      <c15:dlblFieldTableCache>
                        <c:ptCount val="1"/>
                        <c:pt idx="0">
                          <c:v>10.51B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7036-4D60-BAD6-201848087796}"/>
                </c:ext>
              </c:extLst>
            </c:dLbl>
            <c:dLbl>
              <c:idx val="1"/>
              <c:tx>
                <c:strRef>
                  <c:f>Analysis!$BT$171</c:f>
                  <c:strCache>
                    <c:ptCount val="1"/>
                    <c:pt idx="0">
                      <c:v>28.42B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{DE5E794D-0F5C-410B-9CDA-CC4DD9F27C4A}</c15:txfldGUID>
                      <c15:f>Analysis!$BT$171</c15:f>
                      <c15:dlblFieldTableCache>
                        <c:ptCount val="1"/>
                        <c:pt idx="0">
                          <c:v>28.42B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7036-4D60-BAD6-201848087796}"/>
                </c:ext>
              </c:extLst>
            </c:dLbl>
            <c:dLbl>
              <c:idx val="2"/>
              <c:tx>
                <c:strRef>
                  <c:f>Analysis!$BT$172</c:f>
                  <c:strCache>
                    <c:ptCount val="1"/>
                    <c:pt idx="0">
                      <c:v>2.28B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{43EC9973-9478-444C-9932-FAF2BC94ECF4}</c15:txfldGUID>
                      <c15:f>Analysis!$BT$172</c15:f>
                      <c15:dlblFieldTableCache>
                        <c:ptCount val="1"/>
                        <c:pt idx="0">
                          <c:v>2.28B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036-4D60-BAD6-201848087796}"/>
                </c:ext>
              </c:extLst>
            </c:dLbl>
            <c:dLbl>
              <c:idx val="3"/>
              <c:tx>
                <c:strRef>
                  <c:f>Analysis!$BT$173</c:f>
                  <c:strCache>
                    <c:ptCount val="1"/>
                    <c:pt idx="0">
                      <c:v>43.5M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9CA3AF">
                          <a:alpha val="30000"/>
                        </a:srgbClr>
                      </a:solidFill>
                    </a14:hiddenFill>
                  </a:ext>
                </a:extLst>
              </c:spPr>
              <c:txPr>
                <a:bodyPr wrap="none" lIns="12700" tIns="12700" rIns="12700" bIns="1270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>
                        <a:gd name="adj" fmla="val 25000"/>
                      </a:avLst>
                    </a:prstGeom>
                  </c15:spPr>
                  <c15:dlblFieldTable>
                    <c15:dlblFTEntry>
                      <c15:txfldGUID>{9BBDEEEC-B92A-41A8-BC08-E3D8BD56B25C}</c15:txfldGUID>
                      <c15:f>Analysis!$BT$173</c15:f>
                      <c15:dlblFieldTableCache>
                        <c:ptCount val="1"/>
                        <c:pt idx="0">
                          <c:v>43.5M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036-4D60-BAD6-201848087796}"/>
                </c:ext>
              </c:extLst>
            </c:dLbl>
            <c:dLbl>
              <c:idx val="4"/>
              <c:tx>
                <c:strRef>
                  <c:f>Analysis!$BT$174</c:f>
                  <c:strCache>
                    <c:ptCount val="1"/>
                    <c:pt idx="0">
                      <c:v>325K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9CA3AF">
                          <a:alpha val="30000"/>
                        </a:srgbClr>
                      </a:solidFill>
                    </a14:hiddenFill>
                  </a:ext>
                </a:extLst>
              </c:spPr>
              <c:txPr>
                <a:bodyPr wrap="none" lIns="12700" tIns="12700" rIns="12700" bIns="1270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>
                        <a:gd name="adj" fmla="val 25000"/>
                      </a:avLst>
                    </a:prstGeom>
                  </c15:spPr>
                  <c15:dlblFieldTable>
                    <c15:dlblFTEntry>
                      <c15:txfldGUID>{B943D23C-3988-4511-BFA4-718DC2DD317F}</c15:txfldGUID>
                      <c15:f>Analysis!$BT$174</c15:f>
                      <c15:dlblFieldTableCache>
                        <c:ptCount val="1"/>
                        <c:pt idx="0">
                          <c:v>325K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036-4D60-BAD6-20184808779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72-4234-BF6B-E3B34432505E}"/>
                </c:ext>
              </c:extLst>
            </c:dLbl>
            <c:dLbl>
              <c:idx val="6"/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36-4D60-BAD6-201848087796}"/>
                </c:ext>
              </c:extLst>
            </c:dLbl>
            <c:numFmt formatCode="[&gt;=1000000000]0.00,,,&quot;B&quot;;[&gt;=1000000]0.0,,&quot;M&quot;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Analysis!$G$170:$G$175</c:f>
              <c:strCache>
                <c:ptCount val="6"/>
                <c:pt idx="0">
                  <c:v>Staff 01</c:v>
                </c:pt>
                <c:pt idx="1">
                  <c:v>Staff 02</c:v>
                </c:pt>
                <c:pt idx="2">
                  <c:v>Staff 03</c:v>
                </c:pt>
                <c:pt idx="3">
                  <c:v>Staff 04</c:v>
                </c:pt>
                <c:pt idx="4">
                  <c:v>Staff 05</c:v>
                </c:pt>
                <c:pt idx="5">
                  <c:v>Staff 06</c:v>
                </c:pt>
              </c:strCache>
            </c:strRef>
          </c:cat>
          <c:val>
            <c:numRef>
              <c:f>Analysis!$J$170:$J$175</c:f>
              <c:numCache>
                <c:formatCode>#,##0</c:formatCode>
                <c:ptCount val="6"/>
                <c:pt idx="0">
                  <c:v>10509252379</c:v>
                </c:pt>
                <c:pt idx="1">
                  <c:v>28416993008.999996</c:v>
                </c:pt>
                <c:pt idx="2">
                  <c:v>2283113999</c:v>
                </c:pt>
                <c:pt idx="3">
                  <c:v>43462950</c:v>
                </c:pt>
                <c:pt idx="4">
                  <c:v>324663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36-4D60-BAD6-201848087796}"/>
            </c:ext>
          </c:extLst>
        </c:ser>
        <c:ser>
          <c:idx val="1"/>
          <c:order val="1"/>
          <c:tx>
            <c:v>Overdue &amp; Doubtful</c:v>
          </c:tx>
          <c:spPr>
            <a:solidFill>
              <a:srgbClr val="B91C1C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Analysis!$BU$170</c:f>
                  <c:strCache>
                    <c:ptCount val="1"/>
                    <c:pt idx="0">
                      <c:v>4.11B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{1CEFEBD6-18E7-4E6E-BBE2-EF5A6551348A}</c15:txfldGUID>
                      <c15:f>Analysis!$BU$170</c15:f>
                      <c15:dlblFieldTableCache>
                        <c:ptCount val="1"/>
                        <c:pt idx="0">
                          <c:v>4.11B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036-4D60-BAD6-201848087796}"/>
                </c:ext>
              </c:extLst>
            </c:dLbl>
            <c:dLbl>
              <c:idx val="1"/>
              <c:tx>
                <c:strRef>
                  <c:f>Analysis!$BU$171</c:f>
                  <c:strCache>
                    <c:ptCount val="1"/>
                    <c:pt idx="0">
                      <c:v>1.68B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B91C1C">
                          <a:alpha val="30000"/>
                        </a:srgbClr>
                      </a:solidFill>
                    </a14:hiddenFill>
                  </a:ext>
                </a:extLst>
              </c:spPr>
              <c:txPr>
                <a:bodyPr wrap="none" lIns="12700" tIns="12700" rIns="12700" bIns="1270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oundRect">
                      <a:avLst>
                        <a:gd name="adj" fmla="val 25000"/>
                      </a:avLst>
                    </a:prstGeom>
                  </c15:spPr>
                  <c15:dlblFieldTable>
                    <c15:dlblFTEntry>
                      <c15:txfldGUID>{42496113-1DAA-4DA5-8B36-701060B7DBAE}</c15:txfldGUID>
                      <c15:f>Analysis!$BU$171</c15:f>
                      <c15:dlblFieldTableCache>
                        <c:ptCount val="1"/>
                        <c:pt idx="0">
                          <c:v>1.68B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036-4D60-BAD6-20184808779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72-4234-BF6B-E3B34432505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72-4234-BF6B-E3B34432505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72-4234-BF6B-E3B34432505E}"/>
                </c:ext>
              </c:extLst>
            </c:dLbl>
            <c:dLbl>
              <c:idx val="5"/>
              <c:tx>
                <c:strRef>
                  <c:f>Analysis!$BU$175</c:f>
                  <c:strCache>
                    <c:ptCount val="1"/>
                    <c:pt idx="0">
                      <c:v>4.02B</c:v>
                    </c:pt>
                  </c:strCache>
                </c:strRef>
              </c:tx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 anchorCtr="1">
                  <a:spAutoFit/>
                </a:bodyPr>
                <a:lstStyle/>
                <a:p>
                  <a:pPr algn="ctr">
                    <a:defRPr sz="800" b="1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{4CE45B9A-E7A2-43FA-8C4F-95AA3DAE2EAE}</c15:txfldGUID>
                      <c15:f>Analysis!$BU$175</c15:f>
                      <c15:dlblFieldTableCache>
                        <c:ptCount val="1"/>
                        <c:pt idx="0">
                          <c:v>4.02B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7036-4D60-BAD6-201848087796}"/>
                </c:ext>
              </c:extLst>
            </c:dLbl>
            <c:dLbl>
              <c:idx val="6"/>
              <c:numFmt formatCode="[&gt;=1000000000]0.00,,,&quot; tỷ&quot;;[&gt;=1000000]0.00,,&quot; tr&quot;;0.00,&quot;k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36-4D60-BAD6-201848087796}"/>
                </c:ext>
              </c:extLst>
            </c:dLbl>
            <c:numFmt formatCode="[&gt;=1000000000]0.00,,,&quot;B&quot;;[&gt;=1000000]0.0,,&quot;M&quot;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Analysis!$G$170:$G$175</c:f>
              <c:strCache>
                <c:ptCount val="6"/>
                <c:pt idx="0">
                  <c:v>Staff 01</c:v>
                </c:pt>
                <c:pt idx="1">
                  <c:v>Staff 02</c:v>
                </c:pt>
                <c:pt idx="2">
                  <c:v>Staff 03</c:v>
                </c:pt>
                <c:pt idx="3">
                  <c:v>Staff 04</c:v>
                </c:pt>
                <c:pt idx="4">
                  <c:v>Staff 05</c:v>
                </c:pt>
                <c:pt idx="5">
                  <c:v>Staff 06</c:v>
                </c:pt>
              </c:strCache>
            </c:strRef>
          </c:cat>
          <c:val>
            <c:numRef>
              <c:f>Analysis!$K$170:$K$175</c:f>
              <c:numCache>
                <c:formatCode>#,##0</c:formatCode>
                <c:ptCount val="6"/>
                <c:pt idx="0">
                  <c:v>4105416000</c:v>
                </c:pt>
                <c:pt idx="1">
                  <c:v>1675680000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4021632000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36-4D60-BAD6-201848087796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125"/>
        <c:overlap val="100"/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t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000]0.00,,,&quot;B&quot;;[&gt;=1000000]0.0,,&quot;M&quot;;0,&quot;K&quot;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="0">
              <a:latin typeface="Arial"/>
            </a:defRPr>
          </a:pPr>
          <a:endParaRPr lang="en-US"/>
        </a:p>
      </c:txPr>
    </c:legend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100" b="1">
                <a:latin typeface="Arial"/>
                <a:ea typeface="Arial"/>
                <a:cs typeface="Arial"/>
              </a:rPr>
              <a:t>Upcoming Due in Next 30 Days (VND)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Filtered Balance</c:v>
          </c:tx>
          <c:spPr>
            <a:solidFill>
              <a:srgbClr val="304991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Analysis!$BC$48</c:f>
                  <c:strCache>
                    <c:ptCount val="1"/>
                    <c:pt idx="0">
                      <c:v>595.99 M VND</c:v>
                    </c:pt>
                  </c:strCache>
                </c:strRef>
              </c:tx>
              <c:numFmt formatCode="0.00,,,;\-0.00,,,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{AF66F927-C915-4587-9B95-ECCDB3CE87DC}</c15:txfldGUID>
                      <c15:f>Analysis!$BC$48</c15:f>
                      <c15:dlblFieldTableCache>
                        <c:ptCount val="1"/>
                        <c:pt idx="0">
                          <c:v>595.99 M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BE50-4219-9E2A-21CA87D735EC}"/>
                </c:ext>
              </c:extLst>
            </c:dLbl>
            <c:dLbl>
              <c:idx val="1"/>
              <c:tx>
                <c:strRef>
                  <c:f>Analysis!$BC$49</c:f>
                  <c:strCache>
                    <c:ptCount val="1"/>
                    <c:pt idx="0">
                      <c:v>3.21 B VND</c:v>
                    </c:pt>
                  </c:strCache>
                </c:strRef>
              </c:tx>
              <c:numFmt formatCode="0.00,,,;\-0.00,,,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{B91E3AC4-12E6-4E13-A27F-303B1E8B1E68}</c15:txfldGUID>
                      <c15:f>Analysis!$BC$49</c15:f>
                      <c15:dlblFieldTableCache>
                        <c:ptCount val="1"/>
                        <c:pt idx="0">
                          <c:v>3.21 B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BE50-4219-9E2A-21CA87D735E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A7-492F-8561-4A1BB75D5D5E}"/>
                </c:ext>
              </c:extLst>
            </c:dLbl>
            <c:dLbl>
              <c:idx val="3"/>
              <c:tx>
                <c:strRef>
                  <c:f>Analysis!$BC$51</c:f>
                  <c:strCache>
                    <c:ptCount val="1"/>
                    <c:pt idx="0">
                      <c:v>494.13 M VND</c:v>
                    </c:pt>
                  </c:strCache>
                </c:strRef>
              </c:tx>
              <c:numFmt formatCode="0.00,,,;\-0.00,,,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{588EB302-47F5-4548-A45B-67E009F6CF92}</c15:txfldGUID>
                      <c15:f>Analysis!$BC$51</c15:f>
                      <c15:dlblFieldTableCache>
                        <c:ptCount val="1"/>
                        <c:pt idx="0">
                          <c:v>494.13 M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BE50-4219-9E2A-21CA87D735EC}"/>
                </c:ext>
              </c:extLst>
            </c:dLbl>
            <c:dLbl>
              <c:idx val="4"/>
              <c:tx>
                <c:strRef>
                  <c:f>Analysis!$BC$52</c:f>
                  <c:strCache>
                    <c:ptCount val="1"/>
                    <c:pt idx="0">
                      <c:v>513.16 M VND</c:v>
                    </c:pt>
                  </c:strCache>
                </c:strRef>
              </c:tx>
              <c:numFmt formatCode="0.00,,,;\-0.00,,,;&quot;&quot;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 anchorCtr="1">
                  <a:spAutoFit/>
                </a:bodyPr>
                <a:lstStyle/>
                <a:p>
                  <a:pPr>
                    <a:defRPr sz="800" b="1">
                      <a:solidFill>
                        <a:srgbClr val="30343B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{C22181CD-53EB-4379-8F5F-6A58B39037F5}</c15:txfldGUID>
                      <c15:f>Analysis!$BC$52</c15:f>
                      <c15:dlblFieldTableCache>
                        <c:ptCount val="1"/>
                        <c:pt idx="0">
                          <c:v>513.16 M VND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BE50-4219-9E2A-21CA87D735EC}"/>
                </c:ext>
              </c:extLst>
            </c:dLbl>
            <c:numFmt formatCode="[&gt;=1000000000]0.00,,,&quot;B&quot;;[&gt;=1000000]0.0,,&quot;M&quot;;0,&quot;K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Analysis!$A$48:$A$52</c:f>
              <c:strCache>
                <c:ptCount val="5"/>
                <c:pt idx="0">
                  <c:v>Days 0–6</c:v>
                </c:pt>
                <c:pt idx="1">
                  <c:v>Days 7–13</c:v>
                </c:pt>
                <c:pt idx="2">
                  <c:v>Days 14–20</c:v>
                </c:pt>
                <c:pt idx="3">
                  <c:v>Days 21–27</c:v>
                </c:pt>
                <c:pt idx="4">
                  <c:v>Days 28–30</c:v>
                </c:pt>
              </c:strCache>
            </c:strRef>
          </c:cat>
          <c:val>
            <c:numRef>
              <c:f>Analysis!$B$48:$B$52</c:f>
              <c:numCache>
                <c:formatCode>#,##0</c:formatCode>
                <c:ptCount val="5"/>
                <c:pt idx="0">
                  <c:v>595994037</c:v>
                </c:pt>
                <c:pt idx="1">
                  <c:v>3214802601</c:v>
                </c:pt>
                <c:pt idx="2">
                  <c:v>0</c:v>
                </c:pt>
                <c:pt idx="3">
                  <c:v>494126613</c:v>
                </c:pt>
                <c:pt idx="4">
                  <c:v>513160910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50-4219-9E2A-21CA87D735E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&gt;=1000000000]0.00,,,&quot;B&quot;;[&gt;=1000000]0.0,,&quot;M&quot;;0,&quot;K&quot;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GB" sz="1100" b="1">
                <a:latin typeface="Arial"/>
                <a:ea typeface="Arial"/>
                <a:cs typeface="Arial"/>
              </a:rPr>
              <a:t>Average Overdue Days by Sales Representative (Days)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 Overdue Days</c:v>
          </c:tx>
          <c:spPr>
            <a:solidFill>
              <a:srgbClr val="304991"/>
            </a:solidFill>
            <a:ln>
              <a:noFill/>
            </a:ln>
          </c:spPr>
          <c:invertIfNegative val="1"/>
          <c:dLbls>
            <c:dLbl>
              <c:idx val="0"/>
              <c:tx>
                <c:strRef>
                  <c:f>Analysis!$CI$170</c:f>
                  <c:strCache>
                    <c:ptCount val="1"/>
                    <c:pt idx="0">
                      <c:v>13.04 days</c:v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{A4EEB3FD-EF21-4CA5-A016-A7286D7895BF}</c15:txfldGUID>
                      <c15:f>Analysis!$CI$170</c15:f>
                      <c15:dlblFieldTableCache>
                        <c:ptCount val="1"/>
                        <c:pt idx="0">
                          <c:v>13.04 days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AA35-46F0-8849-D005699383CD}"/>
                </c:ext>
              </c:extLst>
            </c:dLbl>
            <c:dLbl>
              <c:idx val="1"/>
              <c:tx>
                <c:strRef>
                  <c:f>Analysis!$CI$171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{C705321D-0B92-4BF2-9898-DDB08039FC9A}</c15:txfldGUID>
                      <c15:f>Analysis!$CI$171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AA35-46F0-8849-D005699383CD}"/>
                </c:ext>
              </c:extLst>
            </c:dLbl>
            <c:dLbl>
              <c:idx val="2"/>
              <c:tx>
                <c:strRef>
                  <c:f>Analysis!$CI$172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{3DBB0C2B-548C-40F9-B84E-4D759574B20D}</c15:txfldGUID>
                      <c15:f>Analysis!$CI$172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AA35-46F0-8849-D005699383CD}"/>
                </c:ext>
              </c:extLst>
            </c:dLbl>
            <c:dLbl>
              <c:idx val="3"/>
              <c:tx>
                <c:strRef>
                  <c:f>Analysis!$CI$173</c:f>
                  <c:strCache>
                    <c:ptCount val="1"/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{18A72653-6E8B-49AC-8D0F-22DE529BFF74}</c15:txfldGUID>
                      <c15:f>Analysis!$CI$173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AA35-46F0-8849-D005699383CD}"/>
                </c:ext>
              </c:extLst>
            </c:dLbl>
            <c:dLbl>
              <c:idx val="4"/>
              <c:tx>
                <c:strRef>
                  <c:f>Analysis!$CI$174</c:f>
                  <c:strCache>
                    <c:ptCount val="1"/>
                    <c:pt idx="0">
                      <c:v>76 days</c:v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{506C51C7-A2AF-4908-B4BF-BE39C4AFCF7C}</c15:txfldGUID>
                      <c15:f>Analysis!$CI$174</c15:f>
                      <c15:dlblFieldTableCache>
                        <c:ptCount val="1"/>
                        <c:pt idx="0">
                          <c:v>76 days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AA35-46F0-8849-D005699383CD}"/>
                </c:ext>
              </c:extLst>
            </c:dLbl>
            <c:dLbl>
              <c:idx val="5"/>
              <c:tx>
                <c:strRef>
                  <c:f>Analysis!$CI$175</c:f>
                  <c:strCache>
                    <c:ptCount val="1"/>
                    <c:pt idx="0">
                      <c:v>76 days</c:v>
                    </c:pt>
                  </c:strCache>
                </c:strRef>
              </c:tx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800" b="1">
                      <a:solidFill>
                        <a:srgbClr val="0F172A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{6589B40B-F51F-4884-903C-49F26CF7EE54}</c15:txfldGUID>
                      <c15:f>Analysis!$CI$175</c15:f>
                      <c15:dlblFieldTableCache>
                        <c:ptCount val="1"/>
                        <c:pt idx="0">
                          <c:v>76 days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AA35-46F0-8849-D005699383CD}"/>
                </c:ext>
              </c:extLst>
            </c:dLbl>
            <c:numFmt formatCode="0&quot; days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Analysis!$BF$170:$BF$175</c:f>
              <c:strCache>
                <c:ptCount val="6"/>
                <c:pt idx="0">
                  <c:v>Staff 01</c:v>
                </c:pt>
                <c:pt idx="1">
                  <c:v>Staff 03</c:v>
                </c:pt>
                <c:pt idx="2">
                  <c:v>Staff 04</c:v>
                </c:pt>
                <c:pt idx="3">
                  <c:v>Staff 05</c:v>
                </c:pt>
                <c:pt idx="4">
                  <c:v>Staff 06</c:v>
                </c:pt>
                <c:pt idx="5">
                  <c:v>Staff 06</c:v>
                </c:pt>
              </c:strCache>
            </c:strRef>
          </c:cat>
          <c:val>
            <c:numRef>
              <c:f>Analysis!$BG$170:$BG$175</c:f>
              <c:numCache>
                <c:formatCode>General</c:formatCode>
                <c:ptCount val="6"/>
                <c:pt idx="0">
                  <c:v>13.042532814944941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76</c:v>
                </c:pt>
                <c:pt idx="5">
                  <c:v>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D3E-4D32-A816-61562B6FD8F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rot="0"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9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latin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0"/>
    <c:dispBlanksAs val="zero"/>
    <c:showDLblsOverMax val="1"/>
  </c:chart>
  <c:spPr>
    <a:ln w="9525">
      <a:noFill/>
    </a:ln>
  </c:spPr>
  <c:txPr>
    <a:bodyPr/>
    <a:lstStyle/>
    <a:p>
      <a:pPr>
        <a:defRPr sz="900" b="0">
          <a:latin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5</xdr:col>
      <xdr:colOff>440690</xdr:colOff>
      <xdr:row>19</xdr:row>
      <xdr:rowOff>50243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91B499ED-E20C-47AF-9C15-C5227148D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742950</xdr:colOff>
      <xdr:row>12</xdr:row>
      <xdr:rowOff>0</xdr:rowOff>
    </xdr:from>
    <xdr:to>
      <xdr:col>9</xdr:col>
      <xdr:colOff>186690</xdr:colOff>
      <xdr:row>19</xdr:row>
      <xdr:rowOff>50243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392AD7E6-7A85-4A6E-94D9-0FFCC9E0B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488950</xdr:colOff>
      <xdr:row>12</xdr:row>
      <xdr:rowOff>0</xdr:rowOff>
    </xdr:from>
    <xdr:to>
      <xdr:col>14</xdr:col>
      <xdr:colOff>320040</xdr:colOff>
      <xdr:row>19</xdr:row>
      <xdr:rowOff>50243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D5CCEDAE-618B-4B89-8E50-C12DE489AC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594285</xdr:colOff>
      <xdr:row>28</xdr:row>
      <xdr:rowOff>104962</xdr:rowOff>
    </xdr:from>
    <xdr:to>
      <xdr:col>17</xdr:col>
      <xdr:colOff>222624</xdr:colOff>
      <xdr:row>41</xdr:row>
      <xdr:rowOff>95250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A0D0ABCB-711B-4814-8E45-F17988C2F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15688</xdr:colOff>
      <xdr:row>28</xdr:row>
      <xdr:rowOff>104962</xdr:rowOff>
    </xdr:from>
    <xdr:to>
      <xdr:col>9</xdr:col>
      <xdr:colOff>594285</xdr:colOff>
      <xdr:row>41</xdr:row>
      <xdr:rowOff>95250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D0A21F8E-9513-44E9-9F38-D845462E3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15688</xdr:colOff>
      <xdr:row>43</xdr:row>
      <xdr:rowOff>93756</xdr:rowOff>
    </xdr:from>
    <xdr:to>
      <xdr:col>9</xdr:col>
      <xdr:colOff>594285</xdr:colOff>
      <xdr:row>56</xdr:row>
      <xdr:rowOff>84044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55D43B32-F604-4E27-8425-FB3C4440C5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594285</xdr:colOff>
      <xdr:row>43</xdr:row>
      <xdr:rowOff>93756</xdr:rowOff>
    </xdr:from>
    <xdr:to>
      <xdr:col>17</xdr:col>
      <xdr:colOff>222624</xdr:colOff>
      <xdr:row>56</xdr:row>
      <xdr:rowOff>84044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86185E6E-1C0E-4EA0-B3BD-CB762118D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58</xdr:row>
      <xdr:rowOff>82550</xdr:rowOff>
    </xdr:from>
    <xdr:to>
      <xdr:col>8</xdr:col>
      <xdr:colOff>800100</xdr:colOff>
      <xdr:row>65</xdr:row>
      <xdr:rowOff>190500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23D98A8D-DC7D-483B-BBEF-66E83A60E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223664</xdr:colOff>
      <xdr:row>15</xdr:row>
      <xdr:rowOff>212845</xdr:rowOff>
    </xdr:from>
    <xdr:to>
      <xdr:col>4</xdr:col>
      <xdr:colOff>553576</xdr:colOff>
      <xdr:row>17</xdr:row>
      <xdr:rowOff>131883</xdr:rowOff>
    </xdr:to>
    <xdr:sp macro="" textlink="Dashboard!$AH$1">
      <xdr:nvSpPr>
        <xdr:cNvPr id="25" name="GaugePercent_1">
          <a:extLst>
            <a:ext uri="{FF2B5EF4-FFF2-40B4-BE49-F238E27FC236}">
              <a16:creationId xmlns:a16="http://schemas.microsoft.com/office/drawing/2014/main" id="{1E82AF02-0D8C-1151-6333-343A05B11E7A}"/>
            </a:ext>
          </a:extLst>
        </xdr:cNvPr>
        <xdr:cNvSpPr/>
      </xdr:nvSpPr>
      <xdr:spPr>
        <a:xfrm>
          <a:off x="1055514" y="5191245"/>
          <a:ext cx="1574512" cy="503238"/>
        </a:xfrm>
        <a:prstGeom prst="roundRect">
          <a:avLst>
            <a:gd name="adj" fmla="val 32500"/>
          </a:avLst>
        </a:prstGeom>
        <a:noFill/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2500" b="1" i="0" u="none" strike="noStrike">
              <a:solidFill>
                <a:srgbClr val="0F172A"/>
              </a:solidFill>
              <a:latin typeface="Arial" panose="02020603050405020304" pitchFamily="18" charset="0"/>
              <a:cs typeface="Arial"/>
            </a:rPr>
            <a:t>11.3%</a:t>
          </a:r>
          <a:endParaRPr lang="en-GB" sz="2712" b="1">
            <a:solidFill>
              <a:srgbClr val="30343B"/>
            </a:solidFill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19</xdr:row>
      <xdr:rowOff>50243</xdr:rowOff>
    </xdr:from>
    <xdr:to>
      <xdr:col>5</xdr:col>
      <xdr:colOff>440690</xdr:colOff>
      <xdr:row>19</xdr:row>
      <xdr:rowOff>273763</xdr:rowOff>
    </xdr:to>
    <xdr:sp macro="" textlink="Dashboard!$AE$1">
      <xdr:nvSpPr>
        <xdr:cNvPr id="26" name="GaugeDetail_1_29">
          <a:extLst>
            <a:ext uri="{FF2B5EF4-FFF2-40B4-BE49-F238E27FC236}">
              <a16:creationId xmlns:a16="http://schemas.microsoft.com/office/drawing/2014/main" id="{27344D2B-3C1B-6420-3B62-1CC13439F384}"/>
            </a:ext>
          </a:extLst>
        </xdr:cNvPr>
        <xdr:cNvSpPr txBox="1"/>
      </xdr:nvSpPr>
      <xdr:spPr>
        <a:xfrm>
          <a:off x="209550" y="472701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Current: 5.78B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19</xdr:row>
      <xdr:rowOff>273763</xdr:rowOff>
    </xdr:from>
    <xdr:to>
      <xdr:col>5</xdr:col>
      <xdr:colOff>440690</xdr:colOff>
      <xdr:row>20</xdr:row>
      <xdr:rowOff>211533</xdr:rowOff>
    </xdr:to>
    <xdr:sp macro="" textlink="Dashboard!$AF$1">
      <xdr:nvSpPr>
        <xdr:cNvPr id="27" name="GaugeDetail_1_30">
          <a:extLst>
            <a:ext uri="{FF2B5EF4-FFF2-40B4-BE49-F238E27FC236}">
              <a16:creationId xmlns:a16="http://schemas.microsoft.com/office/drawing/2014/main" id="{80D05E9D-993A-F815-EBA1-0B0EB0A20CBE}"/>
            </a:ext>
          </a:extLst>
        </xdr:cNvPr>
        <xdr:cNvSpPr txBox="1"/>
      </xdr:nvSpPr>
      <xdr:spPr>
        <a:xfrm>
          <a:off x="209550" y="495053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Prior: 5.83B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20</xdr:row>
      <xdr:rowOff>211533</xdr:rowOff>
    </xdr:from>
    <xdr:to>
      <xdr:col>5</xdr:col>
      <xdr:colOff>440690</xdr:colOff>
      <xdr:row>21</xdr:row>
      <xdr:rowOff>149303</xdr:rowOff>
    </xdr:to>
    <xdr:sp macro="" textlink="Dashboard!$AA$1">
      <xdr:nvSpPr>
        <xdr:cNvPr id="28" name="GaugeDetail_1_31">
          <a:extLst>
            <a:ext uri="{FF2B5EF4-FFF2-40B4-BE49-F238E27FC236}">
              <a16:creationId xmlns:a16="http://schemas.microsoft.com/office/drawing/2014/main" id="{4DB46C75-04A2-B487-EB57-79DBDB798150}"/>
            </a:ext>
          </a:extLst>
        </xdr:cNvPr>
        <xdr:cNvSpPr txBox="1"/>
      </xdr:nvSpPr>
      <xdr:spPr>
        <a:xfrm>
          <a:off x="209550" y="517405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6B728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751537</xdr:colOff>
      <xdr:row>15</xdr:row>
      <xdr:rowOff>212845</xdr:rowOff>
    </xdr:from>
    <xdr:to>
      <xdr:col>8</xdr:col>
      <xdr:colOff>178103</xdr:colOff>
      <xdr:row>17</xdr:row>
      <xdr:rowOff>131883</xdr:rowOff>
    </xdr:to>
    <xdr:sp macro="" textlink="Dashboard!$AH$2">
      <xdr:nvSpPr>
        <xdr:cNvPr id="30" name="GaugePercent_2">
          <a:extLst>
            <a:ext uri="{FF2B5EF4-FFF2-40B4-BE49-F238E27FC236}">
              <a16:creationId xmlns:a16="http://schemas.microsoft.com/office/drawing/2014/main" id="{7F09B257-BC7F-187D-438C-EECD1DB36CF3}"/>
            </a:ext>
          </a:extLst>
        </xdr:cNvPr>
        <xdr:cNvSpPr/>
      </xdr:nvSpPr>
      <xdr:spPr>
        <a:xfrm>
          <a:off x="4732987" y="5191245"/>
          <a:ext cx="1331566" cy="503238"/>
        </a:xfrm>
        <a:prstGeom prst="roundRect">
          <a:avLst>
            <a:gd name="adj" fmla="val 32500"/>
          </a:avLst>
        </a:prstGeom>
        <a:noFill/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2500" b="1" i="0" u="none" strike="noStrike">
              <a:solidFill>
                <a:srgbClr val="0F172A"/>
              </a:solidFill>
              <a:latin typeface="Arial" panose="02020603050405020304" pitchFamily="18" charset="0"/>
              <a:cs typeface="Arial"/>
            </a:rPr>
            <a:t>7.9%</a:t>
          </a:r>
          <a:endParaRPr lang="en-GB" sz="2728" b="1">
            <a:solidFill>
              <a:srgbClr val="30343B"/>
            </a:solidFill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742950</xdr:colOff>
      <xdr:row>19</xdr:row>
      <xdr:rowOff>50243</xdr:rowOff>
    </xdr:from>
    <xdr:to>
      <xdr:col>9</xdr:col>
      <xdr:colOff>186690</xdr:colOff>
      <xdr:row>19</xdr:row>
      <xdr:rowOff>273763</xdr:rowOff>
    </xdr:to>
    <xdr:sp macro="" textlink="Dashboard!$AE$2">
      <xdr:nvSpPr>
        <xdr:cNvPr id="34" name="GaugeDetail_2_29">
          <a:extLst>
            <a:ext uri="{FF2B5EF4-FFF2-40B4-BE49-F238E27FC236}">
              <a16:creationId xmlns:a16="http://schemas.microsoft.com/office/drawing/2014/main" id="{E7DE9914-9D06-8FAF-C4FF-AADDCD3256F3}"/>
            </a:ext>
          </a:extLst>
        </xdr:cNvPr>
        <xdr:cNvSpPr txBox="1"/>
      </xdr:nvSpPr>
      <xdr:spPr>
        <a:xfrm>
          <a:off x="3629025" y="472701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Current: 4.02B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742950</xdr:colOff>
      <xdr:row>19</xdr:row>
      <xdr:rowOff>273763</xdr:rowOff>
    </xdr:from>
    <xdr:to>
      <xdr:col>9</xdr:col>
      <xdr:colOff>186690</xdr:colOff>
      <xdr:row>20</xdr:row>
      <xdr:rowOff>211533</xdr:rowOff>
    </xdr:to>
    <xdr:sp macro="" textlink="Dashboard!$AF$2">
      <xdr:nvSpPr>
        <xdr:cNvPr id="35" name="GaugeDetail_2_30">
          <a:extLst>
            <a:ext uri="{FF2B5EF4-FFF2-40B4-BE49-F238E27FC236}">
              <a16:creationId xmlns:a16="http://schemas.microsoft.com/office/drawing/2014/main" id="{FAFD1F0F-1B33-BB4F-932A-CEEC38F719F4}"/>
            </a:ext>
          </a:extLst>
        </xdr:cNvPr>
        <xdr:cNvSpPr txBox="1"/>
      </xdr:nvSpPr>
      <xdr:spPr>
        <a:xfrm>
          <a:off x="3629025" y="495053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Prior: 4.10B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742950</xdr:colOff>
      <xdr:row>20</xdr:row>
      <xdr:rowOff>211533</xdr:rowOff>
    </xdr:from>
    <xdr:to>
      <xdr:col>9</xdr:col>
      <xdr:colOff>186690</xdr:colOff>
      <xdr:row>21</xdr:row>
      <xdr:rowOff>149303</xdr:rowOff>
    </xdr:to>
    <xdr:sp macro="" textlink="Dashboard!$AA$2">
      <xdr:nvSpPr>
        <xdr:cNvPr id="36" name="GaugeDetail_2_31">
          <a:extLst>
            <a:ext uri="{FF2B5EF4-FFF2-40B4-BE49-F238E27FC236}">
              <a16:creationId xmlns:a16="http://schemas.microsoft.com/office/drawing/2014/main" id="{AD34D425-F6D5-7CBA-7CB2-A37336EAEB32}"/>
            </a:ext>
          </a:extLst>
        </xdr:cNvPr>
        <xdr:cNvSpPr txBox="1"/>
      </xdr:nvSpPr>
      <xdr:spPr>
        <a:xfrm>
          <a:off x="3629025" y="517405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6B728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361020</xdr:colOff>
      <xdr:row>15</xdr:row>
      <xdr:rowOff>212845</xdr:rowOff>
    </xdr:from>
    <xdr:to>
      <xdr:col>13</xdr:col>
      <xdr:colOff>111420</xdr:colOff>
      <xdr:row>17</xdr:row>
      <xdr:rowOff>131883</xdr:rowOff>
    </xdr:to>
    <xdr:sp macro="" textlink="Dashboard!$AH$3">
      <xdr:nvSpPr>
        <xdr:cNvPr id="46" name="GaugePercent_3">
          <a:extLst>
            <a:ext uri="{FF2B5EF4-FFF2-40B4-BE49-F238E27FC236}">
              <a16:creationId xmlns:a16="http://schemas.microsoft.com/office/drawing/2014/main" id="{99DECA6A-CE5B-455F-AA92-5407FE8F2E05}"/>
            </a:ext>
          </a:extLst>
        </xdr:cNvPr>
        <xdr:cNvSpPr/>
      </xdr:nvSpPr>
      <xdr:spPr>
        <a:xfrm>
          <a:off x="8152470" y="5191245"/>
          <a:ext cx="1604600" cy="503238"/>
        </a:xfrm>
        <a:prstGeom prst="roundRect">
          <a:avLst>
            <a:gd name="adj" fmla="val 32500"/>
          </a:avLst>
        </a:prstGeom>
        <a:noFill/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2500" b="1" i="0" u="none" strike="noStrike">
              <a:solidFill>
                <a:srgbClr val="0F172A"/>
              </a:solidFill>
              <a:latin typeface="Arial" panose="02020603050405020304" pitchFamily="18" charset="0"/>
              <a:cs typeface="Arial"/>
            </a:rPr>
            <a:t>19.2%</a:t>
          </a:r>
          <a:endParaRPr lang="en-GB" sz="2715" b="1">
            <a:solidFill>
              <a:srgbClr val="30343B"/>
            </a:solidFill>
            <a:latin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488950</xdr:colOff>
      <xdr:row>19</xdr:row>
      <xdr:rowOff>50243</xdr:rowOff>
    </xdr:from>
    <xdr:to>
      <xdr:col>14</xdr:col>
      <xdr:colOff>320040</xdr:colOff>
      <xdr:row>19</xdr:row>
      <xdr:rowOff>273763</xdr:rowOff>
    </xdr:to>
    <xdr:sp macro="" textlink="Dashboard!$AE$3">
      <xdr:nvSpPr>
        <xdr:cNvPr id="47" name="GaugeDetail_3_29">
          <a:extLst>
            <a:ext uri="{FF2B5EF4-FFF2-40B4-BE49-F238E27FC236}">
              <a16:creationId xmlns:a16="http://schemas.microsoft.com/office/drawing/2014/main" id="{96232991-0EC8-B10B-33DC-4B5D85834B8C}"/>
            </a:ext>
          </a:extLst>
        </xdr:cNvPr>
        <xdr:cNvSpPr txBox="1"/>
      </xdr:nvSpPr>
      <xdr:spPr>
        <a:xfrm>
          <a:off x="6994525" y="472701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Current: 9.80B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488950</xdr:colOff>
      <xdr:row>19</xdr:row>
      <xdr:rowOff>273763</xdr:rowOff>
    </xdr:from>
    <xdr:to>
      <xdr:col>14</xdr:col>
      <xdr:colOff>320040</xdr:colOff>
      <xdr:row>20</xdr:row>
      <xdr:rowOff>211533</xdr:rowOff>
    </xdr:to>
    <xdr:sp macro="" textlink="Dashboard!$AF$3">
      <xdr:nvSpPr>
        <xdr:cNvPr id="48" name="GaugeDetail_3_30">
          <a:extLst>
            <a:ext uri="{FF2B5EF4-FFF2-40B4-BE49-F238E27FC236}">
              <a16:creationId xmlns:a16="http://schemas.microsoft.com/office/drawing/2014/main" id="{FC4D62F8-8313-2C85-2CFC-1C95064F7C4A}"/>
            </a:ext>
          </a:extLst>
        </xdr:cNvPr>
        <xdr:cNvSpPr txBox="1"/>
      </xdr:nvSpPr>
      <xdr:spPr>
        <a:xfrm>
          <a:off x="6994525" y="495053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r>
            <a:rPr lang="en-US" sz="1050" b="0" i="0" u="none" strike="noStrike">
              <a:solidFill>
                <a:srgbClr val="64748B"/>
              </a:solidFill>
              <a:latin typeface="Arial" panose="020B0604020202020204" pitchFamily="34" charset="0"/>
              <a:cs typeface="Arial"/>
            </a:rPr>
            <a:t>Prior: 9.93B VND</a:t>
          </a:r>
          <a:endParaRPr lang="en-GB" sz="1000" b="0">
            <a:solidFill>
              <a:srgbClr val="223D79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488950</xdr:colOff>
      <xdr:row>20</xdr:row>
      <xdr:rowOff>211533</xdr:rowOff>
    </xdr:from>
    <xdr:to>
      <xdr:col>14</xdr:col>
      <xdr:colOff>320040</xdr:colOff>
      <xdr:row>21</xdr:row>
      <xdr:rowOff>149303</xdr:rowOff>
    </xdr:to>
    <xdr:sp macro="" textlink="Dashboard!$AA$3">
      <xdr:nvSpPr>
        <xdr:cNvPr id="49" name="GaugeDetail_3_31">
          <a:extLst>
            <a:ext uri="{FF2B5EF4-FFF2-40B4-BE49-F238E27FC236}">
              <a16:creationId xmlns:a16="http://schemas.microsoft.com/office/drawing/2014/main" id="{1C91C0F1-0EE3-2910-21CF-04D7273E313A}"/>
            </a:ext>
          </a:extLst>
        </xdr:cNvPr>
        <xdr:cNvSpPr txBox="1"/>
      </xdr:nvSpPr>
      <xdr:spPr>
        <a:xfrm>
          <a:off x="6994525" y="517405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6B7280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20</xdr:row>
      <xdr:rowOff>211533</xdr:rowOff>
    </xdr:from>
    <xdr:to>
      <xdr:col>5</xdr:col>
      <xdr:colOff>440690</xdr:colOff>
      <xdr:row>21</xdr:row>
      <xdr:rowOff>149303</xdr:rowOff>
    </xdr:to>
    <xdr:sp macro="" textlink="Dashboard!$AB$1">
      <xdr:nvSpPr>
        <xdr:cNvPr id="16" name="GaugeDetail_1_31_Up">
          <a:extLst>
            <a:ext uri="{FF2B5EF4-FFF2-40B4-BE49-F238E27FC236}">
              <a16:creationId xmlns:a16="http://schemas.microsoft.com/office/drawing/2014/main" id="{52C3D136-1F9D-7076-FA22-945E900ADA91}"/>
            </a:ext>
          </a:extLst>
        </xdr:cNvPr>
        <xdr:cNvSpPr txBox="1"/>
      </xdr:nvSpPr>
      <xdr:spPr>
        <a:xfrm>
          <a:off x="209550" y="517405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B91C1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20</xdr:row>
      <xdr:rowOff>211533</xdr:rowOff>
    </xdr:from>
    <xdr:to>
      <xdr:col>5</xdr:col>
      <xdr:colOff>440690</xdr:colOff>
      <xdr:row>21</xdr:row>
      <xdr:rowOff>149303</xdr:rowOff>
    </xdr:to>
    <xdr:sp macro="" textlink="Dashboard!$AC$1">
      <xdr:nvSpPr>
        <xdr:cNvPr id="17" name="GaugeDetail_1_31_Down">
          <a:extLst>
            <a:ext uri="{FF2B5EF4-FFF2-40B4-BE49-F238E27FC236}">
              <a16:creationId xmlns:a16="http://schemas.microsoft.com/office/drawing/2014/main" id="{A627D8F6-CF93-8DC3-15D6-C382679AB945}"/>
            </a:ext>
          </a:extLst>
        </xdr:cNvPr>
        <xdr:cNvSpPr txBox="1"/>
      </xdr:nvSpPr>
      <xdr:spPr>
        <a:xfrm>
          <a:off x="209550" y="5174058"/>
          <a:ext cx="3117215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15803D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742950</xdr:colOff>
      <xdr:row>20</xdr:row>
      <xdr:rowOff>211533</xdr:rowOff>
    </xdr:from>
    <xdr:to>
      <xdr:col>9</xdr:col>
      <xdr:colOff>186690</xdr:colOff>
      <xdr:row>21</xdr:row>
      <xdr:rowOff>149303</xdr:rowOff>
    </xdr:to>
    <xdr:sp macro="" textlink="Dashboard!$AB$2">
      <xdr:nvSpPr>
        <xdr:cNvPr id="18" name="GaugeDetail_2_31_Up">
          <a:extLst>
            <a:ext uri="{FF2B5EF4-FFF2-40B4-BE49-F238E27FC236}">
              <a16:creationId xmlns:a16="http://schemas.microsoft.com/office/drawing/2014/main" id="{01BE19E9-9342-8EE7-5613-BC88891D1D7D}"/>
            </a:ext>
          </a:extLst>
        </xdr:cNvPr>
        <xdr:cNvSpPr txBox="1"/>
      </xdr:nvSpPr>
      <xdr:spPr>
        <a:xfrm>
          <a:off x="3629025" y="517405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B91C1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742950</xdr:colOff>
      <xdr:row>20</xdr:row>
      <xdr:rowOff>211533</xdr:rowOff>
    </xdr:from>
    <xdr:to>
      <xdr:col>9</xdr:col>
      <xdr:colOff>186690</xdr:colOff>
      <xdr:row>21</xdr:row>
      <xdr:rowOff>149303</xdr:rowOff>
    </xdr:to>
    <xdr:sp macro="" textlink="Dashboard!$AC$2">
      <xdr:nvSpPr>
        <xdr:cNvPr id="31" name="GaugeDetail_2_31_Down">
          <a:extLst>
            <a:ext uri="{FF2B5EF4-FFF2-40B4-BE49-F238E27FC236}">
              <a16:creationId xmlns:a16="http://schemas.microsoft.com/office/drawing/2014/main" id="{8514E6E8-2A30-3449-CF2D-A5E36AE617A6}"/>
            </a:ext>
          </a:extLst>
        </xdr:cNvPr>
        <xdr:cNvSpPr txBox="1"/>
      </xdr:nvSpPr>
      <xdr:spPr>
        <a:xfrm>
          <a:off x="3629025" y="5174058"/>
          <a:ext cx="306324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15803D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488950</xdr:colOff>
      <xdr:row>20</xdr:row>
      <xdr:rowOff>211533</xdr:rowOff>
    </xdr:from>
    <xdr:to>
      <xdr:col>14</xdr:col>
      <xdr:colOff>320040</xdr:colOff>
      <xdr:row>21</xdr:row>
      <xdr:rowOff>149303</xdr:rowOff>
    </xdr:to>
    <xdr:sp macro="" textlink="Dashboard!$AB$3">
      <xdr:nvSpPr>
        <xdr:cNvPr id="32" name="GaugeDetail_3_31_Up">
          <a:extLst>
            <a:ext uri="{FF2B5EF4-FFF2-40B4-BE49-F238E27FC236}">
              <a16:creationId xmlns:a16="http://schemas.microsoft.com/office/drawing/2014/main" id="{E508C04A-62E9-AB6E-6A34-4DD0B4FB72D2}"/>
            </a:ext>
          </a:extLst>
        </xdr:cNvPr>
        <xdr:cNvSpPr txBox="1"/>
      </xdr:nvSpPr>
      <xdr:spPr>
        <a:xfrm>
          <a:off x="6994525" y="517405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B91C1C"/>
            </a:solidFill>
            <a:latin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488950</xdr:colOff>
      <xdr:row>20</xdr:row>
      <xdr:rowOff>211533</xdr:rowOff>
    </xdr:from>
    <xdr:to>
      <xdr:col>14</xdr:col>
      <xdr:colOff>320040</xdr:colOff>
      <xdr:row>21</xdr:row>
      <xdr:rowOff>149303</xdr:rowOff>
    </xdr:to>
    <xdr:sp macro="" textlink="Dashboard!$AC$3">
      <xdr:nvSpPr>
        <xdr:cNvPr id="33" name="GaugeDetail_3_31_Down">
          <a:extLst>
            <a:ext uri="{FF2B5EF4-FFF2-40B4-BE49-F238E27FC236}">
              <a16:creationId xmlns:a16="http://schemas.microsoft.com/office/drawing/2014/main" id="{F481A264-A595-7383-004F-638672ADD1BA}"/>
            </a:ext>
          </a:extLst>
        </xdr:cNvPr>
        <xdr:cNvSpPr txBox="1"/>
      </xdr:nvSpPr>
      <xdr:spPr>
        <a:xfrm>
          <a:off x="6994525" y="5174058"/>
          <a:ext cx="3107690" cy="2235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0" tIns="0" rIns="0" bIns="0" rtlCol="0" anchor="ctr"/>
        <a:lstStyle/>
        <a:p>
          <a:pPr algn="ctr"/>
          <a:endParaRPr lang="en-GB" sz="900" b="0">
            <a:solidFill>
              <a:srgbClr val="15803D"/>
            </a:solidFill>
            <a:latin typeface="Arial" panose="020B0604020202020204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E283-ABF5-4758-A8C6-75CF5B82BB7E}">
  <sheetPr>
    <tabColor rgb="FF17365D"/>
  </sheetPr>
  <dimension ref="A1:AH95"/>
  <sheetViews>
    <sheetView showGridLines="0" tabSelected="1" zoomScaleNormal="100" workbookViewId="0">
      <pane ySplit="3" topLeftCell="A4" activePane="bottomLeft" state="frozenSplit"/>
      <selection pane="bottomLeft" activeCell="R10" sqref="R10"/>
    </sheetView>
  </sheetViews>
  <sheetFormatPr defaultColWidth="8.7265625" defaultRowHeight="14"/>
  <cols>
    <col min="1" max="1" width="3.1796875" style="8" customWidth="1"/>
    <col min="2" max="4" width="8.81640625" style="8" customWidth="1"/>
    <col min="5" max="11" width="13.54296875" style="8" customWidth="1"/>
    <col min="12" max="13" width="6.54296875" style="8" customWidth="1"/>
    <col min="14" max="16" width="8.81640625" style="8" customWidth="1"/>
    <col min="17" max="25" width="10.81640625" style="8" customWidth="1"/>
    <col min="26" max="34" width="0" style="8" hidden="1" customWidth="1"/>
    <col min="35" max="16384" width="8.7265625" style="8"/>
  </cols>
  <sheetData>
    <row r="1" spans="1:34" ht="34" customHeight="1">
      <c r="A1" s="27"/>
      <c r="B1" s="77" t="s">
        <v>0</v>
      </c>
      <c r="C1" s="77"/>
      <c r="D1" s="77"/>
      <c r="E1" s="77"/>
      <c r="F1" s="77"/>
      <c r="G1" s="77"/>
      <c r="H1" s="77"/>
      <c r="I1" s="77"/>
      <c r="J1" s="77"/>
      <c r="K1" s="77"/>
      <c r="N1" s="80" t="s">
        <v>1</v>
      </c>
      <c r="O1" s="80"/>
      <c r="P1" s="39" t="s">
        <v>2</v>
      </c>
      <c r="Q1" s="40"/>
      <c r="R1" s="40"/>
      <c r="AA1" s="28" t="str">
        <f>IF(Analysis!D7=0,AD1,"")</f>
        <v/>
      </c>
      <c r="AB1" s="28" t="str">
        <f>IF(Analysis!D7&gt;0,AD1,"")</f>
        <v/>
      </c>
      <c r="AC1" s="28" t="str">
        <f>IF(Analysis!D7&lt;0,AD1,"")</f>
        <v>-0.05B (-0.8%)</v>
      </c>
      <c r="AD1" s="28" t="str">
        <f>TEXT(Analysis!D7/1000000000,"+0.00;-0.00;0.00")&amp;"B ("&amp;TEXT(Analysis!E7,"+0.0%;-0.0%;0.0%")&amp;")"</f>
        <v>-0.05B (-0.8%)</v>
      </c>
      <c r="AE1" s="28" t="str">
        <f>"Current: "&amp;TEXT(Analysis!B7/1000000000,"0.00")&amp;"B VND"</f>
        <v>Current: 5.78B VND</v>
      </c>
      <c r="AF1" s="28" t="str">
        <f>"Prior: "&amp;TEXT(Analysis!C7/1000000000,"0.00")&amp;"B VND"</f>
        <v>Prior: 5.83B VND</v>
      </c>
      <c r="AG1" s="28" t="s">
        <v>3</v>
      </c>
      <c r="AH1" s="28" t="str">
        <f>TEXT(Analysis!B16,"0.0%")</f>
        <v>11.3%</v>
      </c>
    </row>
    <row r="2" spans="1:34" ht="17.5" customHeight="1">
      <c r="A2" s="27"/>
      <c r="B2" s="62" t="s">
        <v>4</v>
      </c>
      <c r="C2" s="62"/>
      <c r="D2" s="47">
        <v>45777</v>
      </c>
      <c r="E2" s="41"/>
      <c r="F2" s="41"/>
      <c r="G2" s="29"/>
      <c r="H2" s="29"/>
      <c r="I2" s="29"/>
      <c r="J2" s="29"/>
      <c r="K2" s="29"/>
      <c r="N2" s="80" t="s">
        <v>5</v>
      </c>
      <c r="O2" s="80"/>
      <c r="P2" s="39" t="s">
        <v>2</v>
      </c>
      <c r="Q2" s="40"/>
      <c r="R2" s="40"/>
      <c r="AA2" s="28" t="str">
        <f>IF(Analysis!D8=0,AD2,"")</f>
        <v/>
      </c>
      <c r="AB2" s="28" t="str">
        <f>IF(Analysis!D8&gt;0,AD2,"")</f>
        <v/>
      </c>
      <c r="AC2" s="28" t="str">
        <f>IF(Analysis!D8&lt;0,AD2,"")</f>
        <v>-0.08B (-1.9%)</v>
      </c>
      <c r="AD2" s="28" t="str">
        <f>TEXT(Analysis!D8/1000000000,"+0.00;-0.00;0.00")&amp;"B ("&amp;TEXT(Analysis!E8,"+0.0%;-0.0%;0.0%")&amp;")"</f>
        <v>-0.08B (-1.9%)</v>
      </c>
      <c r="AE2" s="28" t="str">
        <f>"Current: "&amp;TEXT(Analysis!B8/1000000000,"0.00")&amp;"B VND"</f>
        <v>Current: 4.02B VND</v>
      </c>
      <c r="AF2" s="28" t="str">
        <f>"Prior: "&amp;TEXT(Analysis!C8/1000000000,"0.00")&amp;"B VND"</f>
        <v>Prior: 4.10B VND</v>
      </c>
      <c r="AG2" s="28" t="s">
        <v>6</v>
      </c>
      <c r="AH2" s="28" t="str">
        <f>TEXT(Analysis!B17,"0.0%")</f>
        <v>7.9%</v>
      </c>
    </row>
    <row r="3" spans="1:34" ht="17.5" customHeight="1">
      <c r="A3" s="27"/>
      <c r="B3" s="62" t="s">
        <v>7</v>
      </c>
      <c r="C3" s="62"/>
      <c r="D3" s="62"/>
      <c r="E3" s="62"/>
      <c r="F3" s="62"/>
      <c r="G3" s="62"/>
      <c r="H3" s="62"/>
      <c r="I3" s="62"/>
      <c r="J3" s="62"/>
      <c r="K3" s="62"/>
      <c r="L3" s="43"/>
      <c r="M3" s="43"/>
      <c r="N3" s="80" t="s">
        <v>8</v>
      </c>
      <c r="O3" s="80"/>
      <c r="P3" s="39" t="s">
        <v>2</v>
      </c>
      <c r="Q3" s="40"/>
      <c r="R3" s="40"/>
      <c r="AA3" s="28" t="str">
        <f>IF(Analysis!D9=0,AD3,"")</f>
        <v/>
      </c>
      <c r="AB3" s="28" t="str">
        <f>IF(Analysis!D9&gt;0,AD3,"")</f>
        <v/>
      </c>
      <c r="AC3" s="28" t="str">
        <f>IF(Analysis!D9&lt;0,AD3,"")</f>
        <v>-0.13B (-1.3%)</v>
      </c>
      <c r="AD3" s="28" t="str">
        <f>TEXT(Analysis!D9/1000000000,"+0.00;-0.00;0.00")&amp;"B ("&amp;TEXT(Analysis!E9,"+0.0%;-0.0%;0.0%")&amp;")"</f>
        <v>-0.13B (-1.3%)</v>
      </c>
      <c r="AE3" s="28" t="str">
        <f>"Current: "&amp;TEXT(Analysis!B9/1000000000,"0.00")&amp;"B VND"</f>
        <v>Current: 9.80B VND</v>
      </c>
      <c r="AF3" s="28" t="str">
        <f>"Prior: "&amp;TEXT(Analysis!C9/1000000000,"0.00")&amp;"B VND"</f>
        <v>Prior: 9.93B VND</v>
      </c>
      <c r="AG3" s="28" t="s">
        <v>9</v>
      </c>
      <c r="AH3" s="28" t="str">
        <f>TEXT(Analysis!B18,"0.0%")</f>
        <v>19.2%</v>
      </c>
    </row>
    <row r="4" spans="1:34" ht="4" customHeight="1">
      <c r="A4" s="27"/>
      <c r="B4" s="29"/>
      <c r="C4" s="29"/>
      <c r="D4" s="29"/>
      <c r="E4" s="29"/>
      <c r="F4" s="29"/>
      <c r="G4" s="29"/>
      <c r="H4" s="29"/>
      <c r="I4" s="29"/>
      <c r="J4" s="29"/>
      <c r="K4" s="29"/>
      <c r="N4" s="31"/>
      <c r="O4" s="31"/>
    </row>
    <row r="5" spans="1:34" ht="3" customHeight="1">
      <c r="A5" s="27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34" s="10" customFormat="1" ht="34" customHeight="1">
      <c r="A6" s="33"/>
      <c r="B6" s="63" t="s">
        <v>10</v>
      </c>
      <c r="C6" s="64"/>
      <c r="D6" s="64"/>
      <c r="E6" s="63" t="s">
        <v>11</v>
      </c>
      <c r="F6" s="64"/>
      <c r="G6" s="63" t="s">
        <v>12</v>
      </c>
      <c r="H6" s="64"/>
      <c r="I6" s="63" t="s">
        <v>13</v>
      </c>
      <c r="J6" s="64"/>
      <c r="K6" s="63" t="s">
        <v>14</v>
      </c>
      <c r="L6" s="64"/>
      <c r="M6" s="64"/>
      <c r="N6" s="63" t="s">
        <v>15</v>
      </c>
      <c r="O6" s="64"/>
      <c r="P6" s="64"/>
      <c r="Z6" s="36">
        <f>Analysis!D6</f>
        <v>17123355003</v>
      </c>
    </row>
    <row r="7" spans="1:34" ht="20" customHeight="1">
      <c r="A7" s="27"/>
      <c r="B7" s="65" t="str">
        <f>TEXT(Analysis!B6/1000000000,"0.00")&amp;"B VND"</f>
        <v>51.06B VND</v>
      </c>
      <c r="C7" s="66"/>
      <c r="D7" s="66"/>
      <c r="E7" s="67" t="str">
        <f>TEXT(Analysis!B56,"0.0")&amp;" Days"</f>
        <v>39.5 Days</v>
      </c>
      <c r="F7" s="68"/>
      <c r="G7" s="69" t="str">
        <f>TEXT(Analysis!B57,"0.0%")</f>
        <v>41.0%</v>
      </c>
      <c r="H7" s="70"/>
      <c r="I7" s="69" t="str">
        <f>TEXT(Analysis!B58,"0.0%")</f>
        <v>76.5%</v>
      </c>
      <c r="J7" s="70"/>
      <c r="K7" s="69" t="str">
        <f>TEXT(Analysis!B59,"0.0%")</f>
        <v>91.5%</v>
      </c>
      <c r="L7" s="70"/>
      <c r="M7" s="70"/>
      <c r="N7" s="65" t="str">
        <f>TEXT(Analysis!B11/1000000000,"0.00")&amp;"B VND"</f>
        <v>3.81B VND</v>
      </c>
      <c r="O7" s="66"/>
      <c r="P7" s="66"/>
    </row>
    <row r="8" spans="1:34" ht="20" customHeight="1">
      <c r="A8" s="27"/>
      <c r="B8" s="66"/>
      <c r="C8" s="66"/>
      <c r="D8" s="66"/>
      <c r="E8" s="68"/>
      <c r="F8" s="68"/>
      <c r="G8" s="70"/>
      <c r="H8" s="70"/>
      <c r="I8" s="70"/>
      <c r="J8" s="70"/>
      <c r="K8" s="70"/>
      <c r="L8" s="70"/>
      <c r="M8" s="70"/>
      <c r="N8" s="66"/>
      <c r="O8" s="66"/>
      <c r="P8" s="66"/>
    </row>
    <row r="9" spans="1:34" ht="23" customHeight="1">
      <c r="A9" s="27"/>
      <c r="B9" s="71" t="str">
        <f>"Prior: "&amp;TEXT(Analysis!C6/1000000000,"0.00")&amp;"B VND"</f>
        <v>Prior: 33.93B VND</v>
      </c>
      <c r="C9" s="72"/>
      <c r="D9" s="72"/>
      <c r="E9" s="71" t="str">
        <f>"Prior: "&amp;TEXT(Analysis!C56,"0.0")&amp;" Days"</f>
        <v>Prior: 40.0 Days</v>
      </c>
      <c r="F9" s="72"/>
      <c r="G9" s="71" t="str">
        <f>"Prior: "&amp;TEXT(Analysis!C57,"0.0%")</f>
        <v>Prior: 41.3%</v>
      </c>
      <c r="H9" s="72"/>
      <c r="I9" s="71" t="str">
        <f>"Prior: "&amp;TEXT(Analysis!C58,"0.0%")</f>
        <v>Prior: 69.9%</v>
      </c>
      <c r="J9" s="72"/>
      <c r="K9" s="71" t="str">
        <f>"Prior: "&amp;TEXT(Analysis!C59,"0.0%")</f>
        <v>Prior: 95.3%</v>
      </c>
      <c r="L9" s="72"/>
      <c r="M9" s="72"/>
      <c r="N9" s="71" t="str">
        <f>"Prior: "&amp;TEXT(Analysis!C11/1000000000,"0.00")&amp;"B VND"</f>
        <v>Prior: 3.35B VND</v>
      </c>
      <c r="O9" s="72"/>
      <c r="P9" s="72"/>
    </row>
    <row r="10" spans="1:34" ht="22" customHeight="1">
      <c r="A10" s="27"/>
      <c r="B10" s="73" t="str">
        <f>TEXT(Analysis!D6/1000000000,"+0.00;-0.00;0.00")&amp;"B ("&amp;TEXT(Analysis!E6,"+0.0%;-0.0%;0.0%")&amp;")"</f>
        <v>+17.12B (+50.5%)</v>
      </c>
      <c r="C10" s="74"/>
      <c r="D10" s="74"/>
      <c r="E10" s="75" t="str">
        <f>TEXT(Analysis!D56,"+0.0;-0.0;0.0")&amp;" Days ("&amp;TEXT(Analysis!E56,"+0.0%;-0.0%;0.0%")&amp;")"</f>
        <v>-0.5 Days (-1.3%)</v>
      </c>
      <c r="F10" s="74"/>
      <c r="G10" s="76" t="str">
        <f>TEXT(Analysis!D57*100,"+0.0;-0.0;0.0")&amp;" pp"</f>
        <v>-0.3 pp</v>
      </c>
      <c r="H10" s="59"/>
      <c r="I10" s="58" t="str">
        <f>TEXT(Analysis!D58*100,"+0.0;-0.0;0.0")&amp;" pp"</f>
        <v>+6.6 pp</v>
      </c>
      <c r="J10" s="59"/>
      <c r="K10" s="60" t="str">
        <f>TEXT(Analysis!D59*100,"+0.0;-0.0;0.0")&amp;" pp"</f>
        <v>-3.7 pp</v>
      </c>
      <c r="L10" s="59"/>
      <c r="M10" s="59"/>
      <c r="N10" s="81" t="str">
        <f>TEXT(Analysis!D11/1000000000,"+0.00;-0.00;0.00")&amp;"B ("&amp;TEXT(Analysis!E11,"+0.0%;-0.0%;0.0%")&amp;")"</f>
        <v>+0.47B (+13.9%)</v>
      </c>
      <c r="O10" s="59"/>
      <c r="P10" s="59"/>
    </row>
    <row r="11" spans="1:34" ht="7" customHeight="1">
      <c r="A11" s="27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Z11" s="38">
        <f>Analysis!D11</f>
        <v>465130869.00000048</v>
      </c>
    </row>
    <row r="12" spans="1:34" ht="23" customHeight="1">
      <c r="A12" s="27"/>
      <c r="B12" s="56" t="s">
        <v>3</v>
      </c>
      <c r="C12" s="57"/>
      <c r="D12" s="57"/>
      <c r="E12" s="57"/>
      <c r="F12" s="57"/>
      <c r="G12" s="56" t="s">
        <v>6</v>
      </c>
      <c r="H12" s="57"/>
      <c r="I12" s="57"/>
      <c r="J12" s="57"/>
      <c r="K12" s="56" t="s">
        <v>9</v>
      </c>
      <c r="L12" s="57"/>
      <c r="M12" s="57"/>
      <c r="N12" s="57"/>
      <c r="O12" s="57"/>
      <c r="P12" s="57"/>
    </row>
    <row r="13" spans="1:34" ht="23.1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34" ht="23.1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/>
    </row>
    <row r="15" spans="1:34" ht="23.15" customHeight="1">
      <c r="A15" s="27"/>
      <c r="B15" s="34"/>
      <c r="C15" s="27"/>
      <c r="D15" s="27"/>
      <c r="E15" s="34"/>
      <c r="F15" s="27"/>
      <c r="G15" s="34"/>
      <c r="H15" s="27"/>
      <c r="I15" s="34"/>
      <c r="J15" s="27"/>
      <c r="K15" s="34"/>
      <c r="L15" s="27"/>
      <c r="M15" s="27"/>
      <c r="N15" s="34"/>
      <c r="O15" s="27"/>
      <c r="P15"/>
    </row>
    <row r="16" spans="1:34" ht="23.1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/>
    </row>
    <row r="17" spans="1:16" ht="23.1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/>
    </row>
    <row r="18" spans="1:16" ht="23.1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/>
    </row>
    <row r="19" spans="1:16" ht="23.1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ht="20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ht="19" customHeight="1">
      <c r="A21" s="27"/>
      <c r="B21" s="61" t="str">
        <f>TEXT(Analysis!B16,"0.0%")</f>
        <v>11.3%</v>
      </c>
      <c r="C21" s="61"/>
      <c r="D21" s="61"/>
      <c r="E21" s="61"/>
      <c r="F21" s="61"/>
      <c r="G21" s="61" t="str">
        <f>TEXT(Analysis!B17,"0.0%")</f>
        <v>7.9%</v>
      </c>
      <c r="H21" s="61"/>
      <c r="I21" s="61"/>
      <c r="J21" s="61"/>
      <c r="K21" s="61" t="str">
        <f>TEXT(Analysis!B18,"0.0%")</f>
        <v>19.2%</v>
      </c>
      <c r="L21" s="61"/>
      <c r="M21" s="61"/>
      <c r="N21" s="61"/>
      <c r="O21" s="61"/>
      <c r="P21" s="61"/>
    </row>
    <row r="22" spans="1:16" ht="17" customHeight="1">
      <c r="A22" s="27"/>
      <c r="B22" s="48" t="str">
        <f>"Current: "&amp;TEXT(Analysis!B7/1000000000,"0.00")&amp;" B VND"</f>
        <v>Current: 5.78 B VND</v>
      </c>
      <c r="C22" s="48"/>
      <c r="D22" s="48"/>
      <c r="E22" s="48"/>
      <c r="F22" s="48"/>
      <c r="G22" s="48" t="str">
        <f>"Current: "&amp;TEXT(Analysis!B8/1000000000,"0.00")&amp;" B VND"</f>
        <v>Current: 4.02 B VND</v>
      </c>
      <c r="H22" s="48"/>
      <c r="I22" s="48"/>
      <c r="J22" s="48"/>
      <c r="K22" s="48" t="str">
        <f>"Current: "&amp;TEXT(Analysis!B9/1000000000,"0.00")&amp;" B VND"</f>
        <v>Current: 9.80 B VND</v>
      </c>
      <c r="L22" s="48"/>
      <c r="M22" s="48"/>
      <c r="N22" s="48"/>
      <c r="O22" s="48"/>
      <c r="P22" s="48"/>
    </row>
    <row r="23" spans="1:16" ht="3" customHeight="1">
      <c r="A23" s="27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ht="3" customHeight="1">
      <c r="A24" s="27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ht="3" customHeight="1">
      <c r="A25" s="27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ht="3" customHeight="1">
      <c r="A26" s="27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 s="27"/>
      <c r="B27" s="78" t="s">
        <v>16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</row>
    <row r="28" spans="1:16">
      <c r="A28" s="27"/>
      <c r="B28" s="78" t="s">
        <v>17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</row>
    <row r="29" spans="1:16" ht="23.1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ht="23.1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ht="23.1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ht="23.1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ht="23.1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ht="23.1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 ht="23.1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1:16" ht="23.1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16" ht="23.1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ht="23.1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spans="1:16" ht="23.15" customHeight="1">
      <c r="A39" s="27"/>
      <c r="B39" s="27"/>
      <c r="C39" s="27"/>
      <c r="D39" s="27"/>
      <c r="E39" s="27"/>
      <c r="F39" s="27"/>
      <c r="G39" s="27"/>
      <c r="H39" s="27"/>
      <c r="I39" s="27"/>
      <c r="J39" s="79"/>
      <c r="K39" s="79"/>
      <c r="L39" s="79"/>
      <c r="M39" s="79"/>
      <c r="N39" s="79"/>
      <c r="O39" s="79"/>
      <c r="P39" s="79"/>
    </row>
    <row r="40" spans="1:16" ht="23.1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ht="23.1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spans="1:16" ht="23.1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ht="23.1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ht="23.1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ht="23.1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ht="23.1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ht="23.1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ht="23.1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26" ht="23.1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26" ht="23.1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26" ht="23.1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26" ht="23.1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26" ht="23.1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26" ht="23.1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26" ht="23.15" customHeight="1">
      <c r="A55" s="27"/>
      <c r="B55" s="27"/>
      <c r="C55" s="27"/>
      <c r="D55" s="27"/>
      <c r="E55" s="27"/>
      <c r="F55" s="27"/>
      <c r="G55" s="27"/>
      <c r="H55" s="27"/>
      <c r="I55" s="27"/>
      <c r="J55" s="44"/>
      <c r="K55" s="44"/>
      <c r="L55" s="44"/>
      <c r="M55" s="44"/>
      <c r="N55" s="44"/>
      <c r="O55" s="44"/>
      <c r="P55" s="44"/>
    </row>
    <row r="56" spans="1:26" ht="23.15" customHeight="1">
      <c r="A56" s="27"/>
      <c r="B56" s="27"/>
      <c r="C56" s="27"/>
      <c r="D56" s="27"/>
      <c r="E56" s="27"/>
      <c r="F56" s="27"/>
      <c r="G56" s="27"/>
      <c r="H56" s="27"/>
      <c r="I56" s="27"/>
      <c r="J56" s="44"/>
      <c r="K56" s="44"/>
      <c r="L56" s="44"/>
      <c r="M56" s="44"/>
      <c r="N56" s="44"/>
      <c r="O56" s="44"/>
      <c r="P56" s="44"/>
      <c r="Z56" s="37">
        <f>Analysis!D56</f>
        <v>-0.52699736089584093</v>
      </c>
    </row>
    <row r="57" spans="1:26" ht="23.15" customHeight="1">
      <c r="A57" s="27"/>
      <c r="B57" s="27"/>
      <c r="C57" s="27"/>
      <c r="D57" s="27"/>
      <c r="E57" s="27"/>
      <c r="F57" s="27"/>
      <c r="G57" s="27"/>
      <c r="H57" s="27"/>
      <c r="I57" s="27"/>
      <c r="J57" s="44"/>
      <c r="K57" s="44"/>
      <c r="L57" s="44"/>
      <c r="M57" s="44"/>
      <c r="N57" s="44"/>
      <c r="O57" s="44"/>
      <c r="P57" s="44"/>
      <c r="Z57" s="28">
        <f>Analysis!D57</f>
        <v>-2.6233794657966603E-3</v>
      </c>
    </row>
    <row r="58" spans="1:26" ht="23.15" customHeight="1">
      <c r="A58" s="27"/>
      <c r="B58" s="27"/>
      <c r="C58" s="27"/>
      <c r="D58" s="27"/>
      <c r="E58" s="27"/>
      <c r="F58" s="27"/>
      <c r="G58" s="27"/>
      <c r="H58" s="27"/>
      <c r="I58" s="27"/>
      <c r="J58" s="44"/>
      <c r="K58" s="44"/>
      <c r="L58" s="44"/>
      <c r="M58" s="44"/>
      <c r="N58" s="44"/>
      <c r="O58" s="44"/>
      <c r="P58" s="44"/>
      <c r="Z58" s="28">
        <f>Analysis!D58</f>
        <v>6.5755063433435956E-2</v>
      </c>
    </row>
    <row r="59" spans="1:26" ht="23.15" customHeight="1">
      <c r="A59" s="27"/>
      <c r="B59" s="27"/>
      <c r="C59" s="27"/>
      <c r="D59" s="27"/>
      <c r="E59" s="27"/>
      <c r="F59" s="27"/>
      <c r="G59" s="27"/>
      <c r="H59" s="27"/>
      <c r="I59" s="27"/>
      <c r="J59" s="44"/>
      <c r="K59" s="44"/>
      <c r="L59" s="44"/>
      <c r="M59" s="44"/>
      <c r="N59" s="44"/>
      <c r="O59" s="44"/>
      <c r="P59" s="44"/>
      <c r="Z59" s="28">
        <f>Analysis!D59</f>
        <v>-3.74993266533723E-2</v>
      </c>
    </row>
    <row r="60" spans="1:26" ht="23.15" customHeight="1">
      <c r="A60" s="27"/>
      <c r="B60" s="27"/>
      <c r="C60" s="27"/>
      <c r="D60" s="27"/>
      <c r="E60" s="27"/>
      <c r="F60" s="27"/>
      <c r="G60" s="27"/>
      <c r="H60" s="27"/>
      <c r="I60" s="27"/>
      <c r="J60" s="44"/>
      <c r="K60" s="44"/>
      <c r="L60" s="44"/>
      <c r="M60" s="44"/>
      <c r="N60" s="44"/>
      <c r="O60" s="44"/>
      <c r="P60" s="44"/>
    </row>
    <row r="61" spans="1:26" ht="23.15" customHeight="1">
      <c r="A61" s="27"/>
      <c r="B61" s="27"/>
      <c r="C61" s="27"/>
      <c r="D61" s="27"/>
      <c r="E61" s="27"/>
      <c r="F61" s="27"/>
      <c r="G61" s="27"/>
      <c r="H61" s="27"/>
      <c r="I61" s="27"/>
      <c r="J61" s="44"/>
      <c r="K61" s="44"/>
      <c r="L61" s="44"/>
      <c r="M61" s="44"/>
      <c r="N61" s="44"/>
      <c r="O61" s="44"/>
      <c r="P61" s="44"/>
    </row>
    <row r="62" spans="1:26" ht="23.15" customHeight="1">
      <c r="A62" s="27"/>
      <c r="B62" s="27"/>
      <c r="C62" s="27"/>
      <c r="D62" s="27"/>
      <c r="E62" s="27"/>
      <c r="F62" s="27"/>
      <c r="G62" s="27"/>
      <c r="H62" s="27"/>
      <c r="I62" s="27"/>
      <c r="J62" s="44"/>
      <c r="K62" s="44"/>
      <c r="L62" s="44"/>
      <c r="M62" s="44"/>
      <c r="N62" s="44"/>
      <c r="O62" s="44"/>
      <c r="P62" s="44"/>
    </row>
    <row r="63" spans="1:26" ht="23.15" customHeight="1">
      <c r="A63" s="27"/>
      <c r="B63" s="27"/>
      <c r="C63" s="27"/>
      <c r="D63" s="27"/>
      <c r="E63" s="27"/>
      <c r="F63" s="27"/>
      <c r="G63" s="27"/>
      <c r="H63" s="27"/>
      <c r="I63" s="27"/>
      <c r="J63" s="35"/>
      <c r="K63" s="35"/>
      <c r="L63" s="35"/>
      <c r="M63" s="35"/>
      <c r="N63" s="35"/>
      <c r="O63" s="35"/>
      <c r="P63" s="35"/>
    </row>
    <row r="64" spans="1:26" ht="23.15" customHeight="1">
      <c r="A64" s="27"/>
      <c r="B64" s="27"/>
      <c r="C64" s="27"/>
      <c r="D64" s="27"/>
      <c r="E64" s="27"/>
      <c r="F64" s="27"/>
      <c r="G64" s="27"/>
      <c r="H64" s="27"/>
      <c r="I64" s="27"/>
      <c r="J64" s="30"/>
      <c r="K64" s="30"/>
      <c r="L64" s="30"/>
      <c r="M64" s="30"/>
      <c r="N64" s="30"/>
      <c r="O64" s="30"/>
      <c r="P64" s="30"/>
    </row>
    <row r="65" spans="1:17" ht="23.15" customHeight="1">
      <c r="A65" s="27"/>
      <c r="B65" s="27"/>
      <c r="C65" s="27"/>
      <c r="D65" s="27"/>
      <c r="E65" s="27"/>
      <c r="F65" s="27"/>
      <c r="G65" s="27"/>
      <c r="H65" s="27"/>
      <c r="I65" s="27"/>
      <c r="J65" s="30"/>
      <c r="K65" s="30"/>
      <c r="L65" s="30"/>
      <c r="M65" s="30"/>
      <c r="N65" s="30"/>
      <c r="O65" s="30"/>
      <c r="P65" s="30"/>
    </row>
    <row r="66" spans="1:17" ht="23.1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</row>
    <row r="67" spans="1:17" ht="36" customHeight="1">
      <c r="A67" s="2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7" ht="23.15" customHeight="1">
      <c r="A68" s="27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7" ht="42" customHeight="1">
      <c r="A69" s="27"/>
      <c r="B69" s="54" t="s">
        <v>18</v>
      </c>
      <c r="C69" s="54"/>
      <c r="D69" s="54" t="s">
        <v>19</v>
      </c>
      <c r="E69" s="54"/>
      <c r="F69" s="49" t="s">
        <v>20</v>
      </c>
      <c r="G69" s="49" t="s">
        <v>21</v>
      </c>
      <c r="H69" s="49" t="s">
        <v>22</v>
      </c>
      <c r="I69" s="42"/>
      <c r="J69" s="49" t="s">
        <v>23</v>
      </c>
      <c r="K69" s="49" t="s">
        <v>19</v>
      </c>
      <c r="L69" s="54" t="s">
        <v>20</v>
      </c>
      <c r="M69" s="54"/>
      <c r="N69" s="54" t="s">
        <v>21</v>
      </c>
      <c r="O69" s="54"/>
      <c r="P69" s="54" t="s">
        <v>22</v>
      </c>
      <c r="Q69" s="54"/>
    </row>
    <row r="70" spans="1:17" ht="24" customHeight="1">
      <c r="A70" s="27"/>
      <c r="B70" s="45" t="s">
        <v>24</v>
      </c>
      <c r="C70" s="50"/>
      <c r="D70" s="55">
        <f>Analysis!B170</f>
        <v>2000343001</v>
      </c>
      <c r="E70" s="55"/>
      <c r="F70" s="46">
        <f>Analysis!C170</f>
        <v>1603172748</v>
      </c>
      <c r="G70" s="46">
        <f>Analysis!D170</f>
        <v>450339000</v>
      </c>
      <c r="H70" s="46">
        <f>Analysis!E170</f>
        <v>1550004001</v>
      </c>
      <c r="I70" s="42"/>
      <c r="J70" s="45" t="s">
        <v>25</v>
      </c>
      <c r="K70" s="46">
        <f>Analysis!H170</f>
        <v>14614668379</v>
      </c>
      <c r="L70" s="55">
        <f>Analysis!I170</f>
        <v>14415882833.000004</v>
      </c>
      <c r="M70" s="55"/>
      <c r="N70" s="55">
        <f>Analysis!J170</f>
        <v>10509252379</v>
      </c>
      <c r="O70" s="55"/>
      <c r="P70" s="55">
        <f>Analysis!K170</f>
        <v>4105416000</v>
      </c>
      <c r="Q70" s="55"/>
    </row>
    <row r="71" spans="1:17" ht="24" customHeight="1">
      <c r="A71" s="27"/>
      <c r="B71" s="45" t="s">
        <v>26</v>
      </c>
      <c r="C71" s="50"/>
      <c r="D71" s="55">
        <f>Analysis!B171</f>
        <v>2283113999</v>
      </c>
      <c r="E71" s="55"/>
      <c r="F71" s="46">
        <f>Analysis!C171</f>
        <v>0</v>
      </c>
      <c r="G71" s="46">
        <f>Analysis!D171</f>
        <v>2283113999</v>
      </c>
      <c r="H71" s="46">
        <f>Analysis!E171</f>
        <v>0</v>
      </c>
      <c r="I71" s="42"/>
      <c r="J71" s="45" t="s">
        <v>27</v>
      </c>
      <c r="K71" s="46">
        <f>Analysis!H171</f>
        <v>30092673008.999996</v>
      </c>
      <c r="L71" s="55">
        <f>Analysis!I171</f>
        <v>15416999424.999998</v>
      </c>
      <c r="M71" s="55"/>
      <c r="N71" s="55">
        <f>Analysis!J171</f>
        <v>28416993008.999996</v>
      </c>
      <c r="O71" s="55"/>
      <c r="P71" s="55">
        <f>Analysis!K171</f>
        <v>1675680000</v>
      </c>
      <c r="Q71" s="55"/>
    </row>
    <row r="72" spans="1:17" ht="24" customHeight="1">
      <c r="A72" s="27"/>
      <c r="B72" s="45" t="s">
        <v>28</v>
      </c>
      <c r="C72" s="50"/>
      <c r="D72" s="55">
        <f>Analysis!B172</f>
        <v>39053817000</v>
      </c>
      <c r="E72" s="55"/>
      <c r="F72" s="46">
        <f>Analysis!C172</f>
        <v>23724532599.000008</v>
      </c>
      <c r="G72" s="46">
        <f>Analysis!D172</f>
        <v>36498405001</v>
      </c>
      <c r="H72" s="46">
        <f>Analysis!E172</f>
        <v>2555411999</v>
      </c>
      <c r="I72" s="42"/>
      <c r="J72" s="45" t="s">
        <v>29</v>
      </c>
      <c r="K72" s="46">
        <f>Analysis!H172</f>
        <v>2283113999</v>
      </c>
      <c r="L72" s="55">
        <f>Analysis!I172</f>
        <v>0</v>
      </c>
      <c r="M72" s="55"/>
      <c r="N72" s="55">
        <f>Analysis!J172</f>
        <v>2283113999</v>
      </c>
      <c r="O72" s="55"/>
      <c r="P72" s="55">
        <f>Analysis!K172</f>
        <v>0</v>
      </c>
      <c r="Q72" s="55"/>
    </row>
    <row r="73" spans="1:17" ht="24" customHeight="1">
      <c r="A73" s="27"/>
      <c r="B73" s="45" t="s">
        <v>30</v>
      </c>
      <c r="C73" s="50"/>
      <c r="D73" s="55">
        <f>Analysis!B173</f>
        <v>3653181387.0000005</v>
      </c>
      <c r="E73" s="55"/>
      <c r="F73" s="46">
        <f>Analysis!C173</f>
        <v>4505176911</v>
      </c>
      <c r="G73" s="46">
        <f>Analysis!D173</f>
        <v>1977501387</v>
      </c>
      <c r="H73" s="46">
        <f>Analysis!E173</f>
        <v>1675680000</v>
      </c>
      <c r="I73" s="42"/>
      <c r="J73" s="45" t="s">
        <v>31</v>
      </c>
      <c r="K73" s="46">
        <f>Analysis!H173</f>
        <v>43462950</v>
      </c>
      <c r="L73" s="55">
        <f>Analysis!I173</f>
        <v>0</v>
      </c>
      <c r="M73" s="55"/>
      <c r="N73" s="55">
        <f>Analysis!J173</f>
        <v>43462950</v>
      </c>
      <c r="O73" s="55"/>
      <c r="P73" s="55">
        <f>Analysis!K173</f>
        <v>0</v>
      </c>
      <c r="Q73" s="55"/>
    </row>
    <row r="74" spans="1:17" ht="24" customHeight="1">
      <c r="A74" s="27"/>
      <c r="B74" s="45" t="s">
        <v>32</v>
      </c>
      <c r="C74" s="50"/>
      <c r="D74" s="55">
        <f>Analysis!B174</f>
        <v>43462950</v>
      </c>
      <c r="E74" s="55"/>
      <c r="F74" s="46">
        <f>Analysis!C174</f>
        <v>0</v>
      </c>
      <c r="G74" s="46">
        <f>Analysis!D174</f>
        <v>43462950</v>
      </c>
      <c r="H74" s="46">
        <f>Analysis!E174</f>
        <v>0</v>
      </c>
      <c r="I74" s="42"/>
      <c r="J74" s="45" t="s">
        <v>33</v>
      </c>
      <c r="K74" s="46">
        <f>Analysis!H174</f>
        <v>324663</v>
      </c>
      <c r="L74" s="55">
        <f>Analysis!I174</f>
        <v>333943</v>
      </c>
      <c r="M74" s="55"/>
      <c r="N74" s="55">
        <f>Analysis!J174</f>
        <v>324663</v>
      </c>
      <c r="O74" s="55"/>
      <c r="P74" s="55">
        <f>Analysis!K174</f>
        <v>0</v>
      </c>
      <c r="Q74" s="55"/>
    </row>
    <row r="75" spans="1:17" ht="24" customHeight="1">
      <c r="A75" s="27"/>
      <c r="B75" s="45" t="s">
        <v>34</v>
      </c>
      <c r="C75" s="50"/>
      <c r="D75" s="55">
        <f>Analysis!B175</f>
        <v>324663</v>
      </c>
      <c r="E75" s="55"/>
      <c r="F75" s="46">
        <f>Analysis!C175</f>
        <v>333943</v>
      </c>
      <c r="G75" s="46">
        <f>Analysis!D175</f>
        <v>324663</v>
      </c>
      <c r="H75" s="46">
        <f>Analysis!E175</f>
        <v>0</v>
      </c>
      <c r="I75" s="42"/>
      <c r="J75" s="45" t="s">
        <v>35</v>
      </c>
      <c r="K75" s="46">
        <f>Analysis!H175</f>
        <v>4021632000</v>
      </c>
      <c r="L75" s="55">
        <f>Analysis!I175</f>
        <v>4099303796</v>
      </c>
      <c r="M75" s="55"/>
      <c r="N75" s="55">
        <f>Analysis!J175</f>
        <v>0</v>
      </c>
      <c r="O75" s="55"/>
      <c r="P75" s="55">
        <f>Analysis!K175</f>
        <v>4021632000</v>
      </c>
      <c r="Q75" s="55"/>
    </row>
    <row r="76" spans="1:17" ht="24" customHeight="1">
      <c r="A76" s="27"/>
      <c r="B76" s="45" t="s">
        <v>36</v>
      </c>
      <c r="C76" s="50"/>
      <c r="D76" s="55">
        <f>Analysis!B176</f>
        <v>4021632000</v>
      </c>
      <c r="E76" s="55"/>
      <c r="F76" s="46">
        <f>Analysis!C176</f>
        <v>4099303796</v>
      </c>
      <c r="G76" s="46">
        <f>Analysis!D176</f>
        <v>0</v>
      </c>
      <c r="H76" s="46">
        <f>Analysis!E176</f>
        <v>4021632000</v>
      </c>
      <c r="I76" s="42"/>
      <c r="J76" s="42"/>
      <c r="K76" s="42"/>
      <c r="L76" s="42"/>
      <c r="M76" s="42"/>
      <c r="N76" s="42"/>
      <c r="O76" s="42"/>
      <c r="P76" s="42"/>
      <c r="Q76" s="42"/>
    </row>
    <row r="77" spans="1:17" ht="23.15" customHeight="1">
      <c r="A77" s="2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7" ht="23.15" customHeight="1">
      <c r="A78" s="27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7" ht="24" customHeight="1">
      <c r="A79" s="27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7" ht="24" customHeight="1">
      <c r="A80" s="27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7" ht="24" customHeight="1">
      <c r="A81" s="27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7" ht="24" customHeight="1">
      <c r="A82" s="27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7" ht="24" customHeight="1">
      <c r="A83" s="27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7" ht="24" customHeight="1">
      <c r="A84" s="27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7" ht="24" customHeight="1">
      <c r="A85" s="27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7" ht="42" customHeight="1">
      <c r="A86" s="27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1:17" ht="24" customHeight="1">
      <c r="A87" s="2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1:17" ht="24" customHeight="1">
      <c r="A88" s="27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1:17" ht="24" customHeight="1">
      <c r="A89" s="27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1:17" ht="24" customHeight="1">
      <c r="A90" s="27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1:17" ht="24" customHeight="1">
      <c r="A91" s="27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1:17" ht="24" customHeight="1">
      <c r="A92" s="27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1:17" ht="24" customHeight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1:17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7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</sheetData>
  <mergeCells count="69">
    <mergeCell ref="D76:E76"/>
    <mergeCell ref="N70:O70"/>
    <mergeCell ref="D73:E73"/>
    <mergeCell ref="N72:O72"/>
    <mergeCell ref="N73:O73"/>
    <mergeCell ref="L74:M74"/>
    <mergeCell ref="L75:M75"/>
    <mergeCell ref="N75:O75"/>
    <mergeCell ref="N71:O71"/>
    <mergeCell ref="D74:E74"/>
    <mergeCell ref="D72:E72"/>
    <mergeCell ref="B69:C69"/>
    <mergeCell ref="D69:E69"/>
    <mergeCell ref="D70:E70"/>
    <mergeCell ref="D71:E71"/>
    <mergeCell ref="D75:E75"/>
    <mergeCell ref="B1:K1"/>
    <mergeCell ref="B27:P27"/>
    <mergeCell ref="B28:P28"/>
    <mergeCell ref="J39:P39"/>
    <mergeCell ref="N1:O1"/>
    <mergeCell ref="N2:O2"/>
    <mergeCell ref="N3:O3"/>
    <mergeCell ref="N10:P10"/>
    <mergeCell ref="B9:D9"/>
    <mergeCell ref="E9:F9"/>
    <mergeCell ref="G9:H9"/>
    <mergeCell ref="N6:P6"/>
    <mergeCell ref="K12:P12"/>
    <mergeCell ref="B21:F21"/>
    <mergeCell ref="G21:J21"/>
    <mergeCell ref="N7:P8"/>
    <mergeCell ref="I9:J9"/>
    <mergeCell ref="K9:M9"/>
    <mergeCell ref="N9:P9"/>
    <mergeCell ref="B10:D10"/>
    <mergeCell ref="E10:F10"/>
    <mergeCell ref="G10:H10"/>
    <mergeCell ref="B7:D8"/>
    <mergeCell ref="E7:F8"/>
    <mergeCell ref="G7:H8"/>
    <mergeCell ref="I7:J8"/>
    <mergeCell ref="K7:M8"/>
    <mergeCell ref="B2:C2"/>
    <mergeCell ref="B6:D6"/>
    <mergeCell ref="E6:F6"/>
    <mergeCell ref="G6:H6"/>
    <mergeCell ref="B3:K3"/>
    <mergeCell ref="I6:J6"/>
    <mergeCell ref="K6:M6"/>
    <mergeCell ref="B12:F12"/>
    <mergeCell ref="I10:J10"/>
    <mergeCell ref="K10:M10"/>
    <mergeCell ref="G12:J12"/>
    <mergeCell ref="K21:P21"/>
    <mergeCell ref="L69:M69"/>
    <mergeCell ref="L73:M73"/>
    <mergeCell ref="L70:M70"/>
    <mergeCell ref="L71:M71"/>
    <mergeCell ref="L72:M72"/>
    <mergeCell ref="N69:O69"/>
    <mergeCell ref="P69:Q69"/>
    <mergeCell ref="P75:Q75"/>
    <mergeCell ref="P72:Q72"/>
    <mergeCell ref="P73:Q73"/>
    <mergeCell ref="N74:O74"/>
    <mergeCell ref="P74:Q74"/>
    <mergeCell ref="P70:Q70"/>
    <mergeCell ref="P71:Q71"/>
  </mergeCells>
  <conditionalFormatting sqref="E10:F10">
    <cfRule type="expression" dxfId="3" priority="1" stopIfTrue="1">
      <formula>AND(ISNUMBER($Z$56),$Z$56&gt;0)</formula>
    </cfRule>
    <cfRule type="expression" dxfId="2" priority="2" stopIfTrue="1">
      <formula>AND(ISNUMBER($Z$56),$Z$56&lt;0)</formula>
    </cfRule>
  </conditionalFormatting>
  <conditionalFormatting sqref="G10:H10">
    <cfRule type="expression" dxfId="1" priority="3" stopIfTrue="1">
      <formula>AND(ISNUMBER($Z$57),$Z$57&gt;0)</formula>
    </cfRule>
    <cfRule type="expression" dxfId="0" priority="4" stopIfTrue="1">
      <formula>AND(ISNUMBER($Z$57),$Z$57&lt;0)</formula>
    </cfRule>
  </conditionalFormatting>
  <dataValidations count="3">
    <dataValidation type="list" allowBlank="1" showInputMessage="1" showErrorMessage="1" sqref="P3" xr:uid="{D089B9FC-BD23-4E75-B46E-CFE5D56A2F75}">
      <formula1>"All,Not due,Due in 10 days,Due in 30 days,Overdue 1-60 days,Over 60 days,All overdue"</formula1>
    </dataValidation>
    <dataValidation type="list" allowBlank="1" showInputMessage="1" showErrorMessage="1" sqref="P1" xr:uid="{38531A9A-FD20-4612-8D87-12D76F9EB2C3}">
      <formula1>"All,Customer 01,Client CUST0060 (Commercial Facade),Customer 03,Customer 04,Customer 05,Customer 06,Customer 07"</formula1>
    </dataValidation>
    <dataValidation type="list" allowBlank="1" showInputMessage="1" showErrorMessage="1" sqref="P2" xr:uid="{8C4F3FE4-F1B1-4A0C-8EFB-7423E5C1144C}">
      <formula1>"All,Staff 01,Staff 02,Staff 03,Staff 04,Staff 05,Staff 06"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O160"/>
  <sheetViews>
    <sheetView showGridLines="0" workbookViewId="0">
      <pane ySplit="5" topLeftCell="A126" activePane="bottomLeft" state="frozen"/>
      <selection pane="bottomLeft" activeCell="E28" sqref="E28"/>
    </sheetView>
  </sheetViews>
  <sheetFormatPr defaultRowHeight="14"/>
  <cols>
    <col min="1" max="1" width="18" customWidth="1"/>
    <col min="2" max="2" width="60" customWidth="1"/>
    <col min="3" max="11" width="18" customWidth="1"/>
    <col min="12" max="13" width="52" customWidth="1"/>
    <col min="14" max="15" width="18" customWidth="1"/>
    <col min="16" max="16" width="42" customWidth="1"/>
    <col min="17" max="23" width="18" customWidth="1"/>
    <col min="25" max="31" width="0" hidden="1" customWidth="1"/>
  </cols>
  <sheetData>
    <row r="1" spans="1:4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1"/>
      <c r="C3" s="1"/>
      <c r="D3" s="4">
        <v>45777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38.15" customHeight="1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23</v>
      </c>
      <c r="K5" s="3" t="s">
        <v>47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52</v>
      </c>
      <c r="Q5" s="3" t="s">
        <v>53</v>
      </c>
      <c r="R5" s="3" t="s">
        <v>54</v>
      </c>
      <c r="S5" s="3" t="s">
        <v>55</v>
      </c>
      <c r="T5" s="3" t="s">
        <v>56</v>
      </c>
      <c r="U5" s="3" t="s">
        <v>57</v>
      </c>
      <c r="V5" s="3" t="s">
        <v>58</v>
      </c>
      <c r="W5" s="3" t="s">
        <v>59</v>
      </c>
      <c r="X5" s="1"/>
      <c r="Y5" s="1" t="s">
        <v>60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 t="s">
        <v>24</v>
      </c>
      <c r="B6" s="1" t="s">
        <v>61</v>
      </c>
      <c r="C6" s="1" t="s">
        <v>62</v>
      </c>
      <c r="D6" s="1" t="s">
        <v>63</v>
      </c>
      <c r="E6" s="4">
        <v>45724</v>
      </c>
      <c r="F6" s="4">
        <v>45769</v>
      </c>
      <c r="G6" s="5">
        <v>869118108.86000001</v>
      </c>
      <c r="H6" s="5">
        <v>234725328.66999999</v>
      </c>
      <c r="I6" s="5">
        <v>634392780.19000006</v>
      </c>
      <c r="J6" s="1" t="s">
        <v>25</v>
      </c>
      <c r="K6" s="1" t="s">
        <v>64</v>
      </c>
      <c r="L6" s="1" t="s">
        <v>65</v>
      </c>
      <c r="M6" s="1" t="s">
        <v>66</v>
      </c>
      <c r="N6" s="6"/>
      <c r="O6" s="6"/>
      <c r="P6" s="7" t="s">
        <v>67</v>
      </c>
      <c r="Q6" s="1">
        <f>IF(ISNUMBER(F6),Dashboard!$D$2-F6,"")</f>
        <v>8</v>
      </c>
      <c r="R6" s="1">
        <f>IF(AND(OR(Dashboard!$P$1="All",A6=Dashboard!$P$1),OR(Dashboard!$P$2="All",J6=Dashboard!$P$2)),1,0)</f>
        <v>1</v>
      </c>
      <c r="S6" s="1">
        <f t="shared" ref="S6:S37" si="0">I6*R6</f>
        <v>634392780.19000006</v>
      </c>
      <c r="T6" s="1">
        <f t="shared" ref="T6:T37" si="1">IF(AND(ISNUMBER(Q6),Q6&gt;0),S6,0)</f>
        <v>634392780.19000006</v>
      </c>
      <c r="U6" s="1">
        <f>IF(OR(Dashboard!$P$3="All",AND(Dashboard!$P$3="Not due",Q6&lt;0),AND(Dashboard!$P$3="Due in 10 days",Q6&gt;=-10,Q6&lt;=0),AND(Dashboard!$P$3="Due in 30 days",Q6&gt;=-30,Q6&lt;=0),AND(Dashboard!$P$3="Overdue 1-60 days",Q6&gt;0,Q6&lt;=60),AND(Dashboard!$P$3="Over 60 days",Q6&gt;60),AND(Dashboard!$P$3="All overdue",Q6&gt;0)),1,0)</f>
        <v>1</v>
      </c>
      <c r="V6" s="1">
        <f t="shared" ref="V6:V37" si="2">S6*U6</f>
        <v>634392780.19000006</v>
      </c>
      <c r="W6" s="1">
        <f t="shared" ref="W6:W37" si="3">IF(Q6&gt;0,T6*Q6,0)</f>
        <v>5075142241.5200005</v>
      </c>
      <c r="X6" s="1">
        <f>IF(V6&gt;0,COUNTIF($V$6:V6,"&gt;0"),"")</f>
        <v>1</v>
      </c>
      <c r="Y6" s="17" t="str">
        <f t="shared" ref="Y6:Y37" si="4">C6&amp;"|"&amp;D6</f>
        <v>CAL-current-001|000001</v>
      </c>
      <c r="Z6" s="1"/>
      <c r="AA6" s="17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 t="s">
        <v>24</v>
      </c>
      <c r="B7" s="1" t="s">
        <v>61</v>
      </c>
      <c r="C7" s="1" t="s">
        <v>68</v>
      </c>
      <c r="D7" s="1" t="s">
        <v>69</v>
      </c>
      <c r="E7" s="4">
        <v>45709</v>
      </c>
      <c r="F7" s="4">
        <v>45769</v>
      </c>
      <c r="G7" s="5">
        <v>479063036.64999998</v>
      </c>
      <c r="H7" s="5">
        <v>129381988</v>
      </c>
      <c r="I7" s="5">
        <v>349681048.64999998</v>
      </c>
      <c r="J7" s="1" t="s">
        <v>25</v>
      </c>
      <c r="K7" s="1" t="s">
        <v>64</v>
      </c>
      <c r="L7" s="1" t="s">
        <v>70</v>
      </c>
      <c r="M7" s="1" t="s">
        <v>66</v>
      </c>
      <c r="N7" s="6"/>
      <c r="O7" s="6"/>
      <c r="P7" s="7" t="s">
        <v>67</v>
      </c>
      <c r="Q7" s="1">
        <f>IF(ISNUMBER(F7),Dashboard!$D$2-F7,"")</f>
        <v>8</v>
      </c>
      <c r="R7" s="1">
        <f>IF(AND(OR(Dashboard!$P$1="All",A7=Dashboard!$P$1),OR(Dashboard!$P$2="All",J7=Dashboard!$P$2)),1,0)</f>
        <v>1</v>
      </c>
      <c r="S7" s="1">
        <f t="shared" si="0"/>
        <v>349681048.64999998</v>
      </c>
      <c r="T7" s="1">
        <f t="shared" si="1"/>
        <v>349681048.64999998</v>
      </c>
      <c r="U7" s="1">
        <f>IF(OR(Dashboard!$P$3="All",AND(Dashboard!$P$3="Not due",Q7&lt;0),AND(Dashboard!$P$3="Due in 10 days",Q7&gt;=-10,Q7&lt;=0),AND(Dashboard!$P$3="Due in 30 days",Q7&gt;=-30,Q7&lt;=0),AND(Dashboard!$P$3="Overdue 1-60 days",Q7&gt;0,Q7&lt;=60),AND(Dashboard!$P$3="Over 60 days",Q7&gt;60),AND(Dashboard!$P$3="All overdue",Q7&gt;0)),1,0)</f>
        <v>1</v>
      </c>
      <c r="V7" s="1">
        <f t="shared" si="2"/>
        <v>349681048.64999998</v>
      </c>
      <c r="W7" s="1">
        <f t="shared" si="3"/>
        <v>2797448389.1999998</v>
      </c>
      <c r="X7" s="1">
        <f>IF(V7&gt;0,COUNTIF($V$6:V7,"&gt;0"),"")</f>
        <v>2</v>
      </c>
      <c r="Y7" s="17" t="str">
        <f t="shared" si="4"/>
        <v>CAL-current-002|000002</v>
      </c>
      <c r="Z7" s="1"/>
      <c r="AA7" s="17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 t="s">
        <v>24</v>
      </c>
      <c r="B8" s="1" t="s">
        <v>61</v>
      </c>
      <c r="C8" s="1" t="s">
        <v>71</v>
      </c>
      <c r="D8" s="1" t="s">
        <v>72</v>
      </c>
      <c r="E8" s="4">
        <v>45724</v>
      </c>
      <c r="F8" s="4">
        <v>45769</v>
      </c>
      <c r="G8" s="5">
        <v>696094111.75999999</v>
      </c>
      <c r="H8" s="5">
        <v>130163939.59999999</v>
      </c>
      <c r="I8" s="5">
        <v>565930172.15999997</v>
      </c>
      <c r="J8" s="1" t="s">
        <v>25</v>
      </c>
      <c r="K8" s="1" t="s">
        <v>64</v>
      </c>
      <c r="L8" s="1" t="s">
        <v>73</v>
      </c>
      <c r="M8" s="1" t="s">
        <v>66</v>
      </c>
      <c r="N8" s="6"/>
      <c r="O8" s="6"/>
      <c r="P8" s="7" t="s">
        <v>67</v>
      </c>
      <c r="Q8" s="1">
        <f>IF(ISNUMBER(F8),Dashboard!$D$2-F8,"")</f>
        <v>8</v>
      </c>
      <c r="R8" s="1">
        <f>IF(AND(OR(Dashboard!$P$1="All",A8=Dashboard!$P$1),OR(Dashboard!$P$2="All",J8=Dashboard!$P$2)),1,0)</f>
        <v>1</v>
      </c>
      <c r="S8" s="1">
        <f t="shared" si="0"/>
        <v>565930172.15999997</v>
      </c>
      <c r="T8" s="1">
        <f t="shared" si="1"/>
        <v>565930172.15999997</v>
      </c>
      <c r="U8" s="1">
        <f>IF(OR(Dashboard!$P$3="All",AND(Dashboard!$P$3="Not due",Q8&lt;0),AND(Dashboard!$P$3="Due in 10 days",Q8&gt;=-10,Q8&lt;=0),AND(Dashboard!$P$3="Due in 30 days",Q8&gt;=-30,Q8&lt;=0),AND(Dashboard!$P$3="Overdue 1-60 days",Q8&gt;0,Q8&lt;=60),AND(Dashboard!$P$3="Over 60 days",Q8&gt;60),AND(Dashboard!$P$3="All overdue",Q8&gt;0)),1,0)</f>
        <v>1</v>
      </c>
      <c r="V8" s="1">
        <f t="shared" si="2"/>
        <v>565930172.15999997</v>
      </c>
      <c r="W8" s="1">
        <f t="shared" si="3"/>
        <v>4527441377.2799997</v>
      </c>
      <c r="X8" s="1">
        <f>IF(V8&gt;0,COUNTIF($V$6:V8,"&gt;0"),"")</f>
        <v>3</v>
      </c>
      <c r="Y8" s="17" t="str">
        <f t="shared" si="4"/>
        <v>CAL-current-003|000003</v>
      </c>
      <c r="Z8" s="1"/>
      <c r="AA8" s="17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 t="s">
        <v>24</v>
      </c>
      <c r="B9" s="1" t="s">
        <v>61</v>
      </c>
      <c r="C9" s="1" t="s">
        <v>74</v>
      </c>
      <c r="D9" s="1" t="s">
        <v>75</v>
      </c>
      <c r="E9" s="4">
        <v>45756</v>
      </c>
      <c r="F9" s="4">
        <v>45801</v>
      </c>
      <c r="G9" s="5">
        <v>616964430</v>
      </c>
      <c r="H9" s="5">
        <v>166625430</v>
      </c>
      <c r="I9" s="5">
        <v>450339000</v>
      </c>
      <c r="J9" s="1" t="s">
        <v>25</v>
      </c>
      <c r="K9" s="1" t="s">
        <v>64</v>
      </c>
      <c r="L9" s="1" t="s">
        <v>76</v>
      </c>
      <c r="M9" s="1" t="s">
        <v>66</v>
      </c>
      <c r="N9" s="6"/>
      <c r="O9" s="6"/>
      <c r="P9" s="7" t="s">
        <v>67</v>
      </c>
      <c r="Q9" s="1">
        <f>IF(ISNUMBER(F9),Dashboard!$D$2-F9,"")</f>
        <v>-24</v>
      </c>
      <c r="R9" s="1">
        <f>IF(AND(OR(Dashboard!$P$1="All",A9=Dashboard!$P$1),OR(Dashboard!$P$2="All",J9=Dashboard!$P$2)),1,0)</f>
        <v>1</v>
      </c>
      <c r="S9" s="1">
        <f t="shared" si="0"/>
        <v>450339000</v>
      </c>
      <c r="T9" s="1">
        <f t="shared" si="1"/>
        <v>0</v>
      </c>
      <c r="U9" s="1">
        <f>IF(OR(Dashboard!$P$3="All",AND(Dashboard!$P$3="Not due",Q9&lt;0),AND(Dashboard!$P$3="Due in 10 days",Q9&gt;=-10,Q9&lt;=0),AND(Dashboard!$P$3="Due in 30 days",Q9&gt;=-30,Q9&lt;=0),AND(Dashboard!$P$3="Overdue 1-60 days",Q9&gt;0,Q9&lt;=60),AND(Dashboard!$P$3="Over 60 days",Q9&gt;60),AND(Dashboard!$P$3="All overdue",Q9&gt;0)),1,0)</f>
        <v>1</v>
      </c>
      <c r="V9" s="1">
        <f t="shared" si="2"/>
        <v>450339000</v>
      </c>
      <c r="W9" s="1">
        <f t="shared" si="3"/>
        <v>0</v>
      </c>
      <c r="X9" s="1">
        <f>IF(V9&gt;0,COUNTIF($V$6:V9,"&gt;0"),"")</f>
        <v>4</v>
      </c>
      <c r="Y9" s="17" t="str">
        <f t="shared" si="4"/>
        <v>CAL-current-004|000004</v>
      </c>
      <c r="Z9" s="1"/>
      <c r="AA9" s="17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 t="s">
        <v>26</v>
      </c>
      <c r="B10" s="1" t="s">
        <v>77</v>
      </c>
      <c r="C10" s="1" t="s">
        <v>78</v>
      </c>
      <c r="D10" s="1" t="s">
        <v>79</v>
      </c>
      <c r="E10" s="4">
        <v>45798</v>
      </c>
      <c r="F10" s="4">
        <v>45828</v>
      </c>
      <c r="G10" s="5">
        <v>942457964.82000005</v>
      </c>
      <c r="H10" s="5">
        <v>176231977.16</v>
      </c>
      <c r="I10" s="5">
        <v>766225987.65999997</v>
      </c>
      <c r="J10" s="1" t="s">
        <v>29</v>
      </c>
      <c r="K10" s="1" t="s">
        <v>64</v>
      </c>
      <c r="L10" s="1" t="s">
        <v>65</v>
      </c>
      <c r="M10" s="1" t="s">
        <v>66</v>
      </c>
      <c r="N10" s="6"/>
      <c r="O10" s="6"/>
      <c r="P10" s="7" t="s">
        <v>67</v>
      </c>
      <c r="Q10" s="1">
        <f>IF(ISNUMBER(F10),Dashboard!$D$2-F10,"")</f>
        <v>-51</v>
      </c>
      <c r="R10" s="1">
        <f>IF(AND(OR(Dashboard!$P$1="All",A10=Dashboard!$P$1),OR(Dashboard!$P$2="All",J10=Dashboard!$P$2)),1,0)</f>
        <v>1</v>
      </c>
      <c r="S10" s="1">
        <f t="shared" si="0"/>
        <v>766225987.65999997</v>
      </c>
      <c r="T10" s="1">
        <f t="shared" si="1"/>
        <v>0</v>
      </c>
      <c r="U10" s="1">
        <f>IF(OR(Dashboard!$P$3="All",AND(Dashboard!$P$3="Not due",Q10&lt;0),AND(Dashboard!$P$3="Due in 10 days",Q10&gt;=-10,Q10&lt;=0),AND(Dashboard!$P$3="Due in 30 days",Q10&gt;=-30,Q10&lt;=0),AND(Dashboard!$P$3="Overdue 1-60 days",Q10&gt;0,Q10&lt;=60),AND(Dashboard!$P$3="Over 60 days",Q10&gt;60),AND(Dashboard!$P$3="All overdue",Q10&gt;0)),1,0)</f>
        <v>1</v>
      </c>
      <c r="V10" s="1">
        <f t="shared" si="2"/>
        <v>766225987.65999997</v>
      </c>
      <c r="W10" s="1">
        <f t="shared" si="3"/>
        <v>0</v>
      </c>
      <c r="X10" s="1">
        <f>IF(V10&gt;0,COUNTIF($V$6:V10,"&gt;0"),"")</f>
        <v>5</v>
      </c>
      <c r="Y10" s="17" t="str">
        <f t="shared" si="4"/>
        <v>CAL-current-005|000005</v>
      </c>
      <c r="Z10" s="1"/>
      <c r="AA10" s="17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 t="s">
        <v>26</v>
      </c>
      <c r="B11" s="1" t="s">
        <v>77</v>
      </c>
      <c r="C11" s="1" t="s">
        <v>80</v>
      </c>
      <c r="D11" s="1" t="s">
        <v>81</v>
      </c>
      <c r="E11" s="4">
        <v>45768</v>
      </c>
      <c r="F11" s="4">
        <v>45828</v>
      </c>
      <c r="G11" s="5">
        <v>543632633.63999999</v>
      </c>
      <c r="H11" s="5">
        <v>146820492.30000001</v>
      </c>
      <c r="I11" s="5">
        <v>396812141.33999997</v>
      </c>
      <c r="J11" s="1" t="s">
        <v>29</v>
      </c>
      <c r="K11" s="1" t="s">
        <v>64</v>
      </c>
      <c r="L11" s="1" t="s">
        <v>70</v>
      </c>
      <c r="M11" s="1" t="s">
        <v>66</v>
      </c>
      <c r="N11" s="6"/>
      <c r="O11" s="6"/>
      <c r="P11" s="7" t="s">
        <v>67</v>
      </c>
      <c r="Q11" s="1">
        <f>IF(ISNUMBER(F11),Dashboard!$D$2-F11,"")</f>
        <v>-51</v>
      </c>
      <c r="R11" s="1">
        <f>IF(AND(OR(Dashboard!$P$1="All",A11=Dashboard!$P$1),OR(Dashboard!$P$2="All",J11=Dashboard!$P$2)),1,0)</f>
        <v>1</v>
      </c>
      <c r="S11" s="1">
        <f t="shared" si="0"/>
        <v>396812141.33999997</v>
      </c>
      <c r="T11" s="1">
        <f t="shared" si="1"/>
        <v>0</v>
      </c>
      <c r="U11" s="1">
        <f>IF(OR(Dashboard!$P$3="All",AND(Dashboard!$P$3="Not due",Q11&lt;0),AND(Dashboard!$P$3="Due in 10 days",Q11&gt;=-10,Q11&lt;=0),AND(Dashboard!$P$3="Due in 30 days",Q11&gt;=-30,Q11&lt;=0),AND(Dashboard!$P$3="Overdue 1-60 days",Q11&gt;0,Q11&lt;=60),AND(Dashboard!$P$3="Over 60 days",Q11&gt;60),AND(Dashboard!$P$3="All overdue",Q11&gt;0)),1,0)</f>
        <v>1</v>
      </c>
      <c r="V11" s="1">
        <f t="shared" si="2"/>
        <v>396812141.33999997</v>
      </c>
      <c r="W11" s="1">
        <f t="shared" si="3"/>
        <v>0</v>
      </c>
      <c r="X11" s="1">
        <f>IF(V11&gt;0,COUNTIF($V$6:V11,"&gt;0"),"")</f>
        <v>6</v>
      </c>
      <c r="Y11" s="17" t="str">
        <f t="shared" si="4"/>
        <v>CAL-current-006|000006</v>
      </c>
      <c r="Z11" s="1"/>
      <c r="AA11" s="17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 t="s">
        <v>26</v>
      </c>
      <c r="B12" s="1" t="s">
        <v>77</v>
      </c>
      <c r="C12" s="1" t="s">
        <v>82</v>
      </c>
      <c r="D12" s="1" t="s">
        <v>83</v>
      </c>
      <c r="E12" s="4">
        <v>45782</v>
      </c>
      <c r="F12" s="4">
        <v>45827</v>
      </c>
      <c r="G12" s="5">
        <v>426276242.72000003</v>
      </c>
      <c r="H12" s="5">
        <v>45672454.579999998</v>
      </c>
      <c r="I12" s="5">
        <v>380603788.13999999</v>
      </c>
      <c r="J12" s="1" t="s">
        <v>29</v>
      </c>
      <c r="K12" s="1" t="s">
        <v>64</v>
      </c>
      <c r="L12" s="1" t="s">
        <v>73</v>
      </c>
      <c r="M12" s="1" t="s">
        <v>66</v>
      </c>
      <c r="N12" s="6"/>
      <c r="O12" s="6"/>
      <c r="P12" s="7" t="s">
        <v>67</v>
      </c>
      <c r="Q12" s="1">
        <f>IF(ISNUMBER(F12),Dashboard!$D$2-F12,"")</f>
        <v>-50</v>
      </c>
      <c r="R12" s="1">
        <f>IF(AND(OR(Dashboard!$P$1="All",A12=Dashboard!$P$1),OR(Dashboard!$P$2="All",J12=Dashboard!$P$2)),1,0)</f>
        <v>1</v>
      </c>
      <c r="S12" s="1">
        <f t="shared" si="0"/>
        <v>380603788.13999999</v>
      </c>
      <c r="T12" s="1">
        <f t="shared" si="1"/>
        <v>0</v>
      </c>
      <c r="U12" s="1">
        <f>IF(OR(Dashboard!$P$3="All",AND(Dashboard!$P$3="Not due",Q12&lt;0),AND(Dashboard!$P$3="Due in 10 days",Q12&gt;=-10,Q12&lt;=0),AND(Dashboard!$P$3="Due in 30 days",Q12&gt;=-30,Q12&lt;=0),AND(Dashboard!$P$3="Overdue 1-60 days",Q12&gt;0,Q12&lt;=60),AND(Dashboard!$P$3="Over 60 days",Q12&gt;60),AND(Dashboard!$P$3="All overdue",Q12&gt;0)),1,0)</f>
        <v>1</v>
      </c>
      <c r="V12" s="1">
        <f t="shared" si="2"/>
        <v>380603788.13999999</v>
      </c>
      <c r="W12" s="1">
        <f t="shared" si="3"/>
        <v>0</v>
      </c>
      <c r="X12" s="1">
        <f>IF(V12&gt;0,COUNTIF($V$6:V12,"&gt;0"),"")</f>
        <v>7</v>
      </c>
      <c r="Y12" s="17" t="str">
        <f t="shared" si="4"/>
        <v>CAL-current-007|000007</v>
      </c>
      <c r="Z12" s="1"/>
      <c r="AA12" s="17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 t="s">
        <v>26</v>
      </c>
      <c r="B13" s="1" t="s">
        <v>77</v>
      </c>
      <c r="C13" s="1" t="s">
        <v>84</v>
      </c>
      <c r="D13" s="1" t="s">
        <v>85</v>
      </c>
      <c r="E13" s="4">
        <v>45767</v>
      </c>
      <c r="F13" s="4">
        <v>45827</v>
      </c>
      <c r="G13" s="5">
        <v>909550660.69000006</v>
      </c>
      <c r="H13" s="5">
        <v>170078578.83000001</v>
      </c>
      <c r="I13" s="5">
        <v>739472081.86000001</v>
      </c>
      <c r="J13" s="1" t="s">
        <v>29</v>
      </c>
      <c r="K13" s="1" t="s">
        <v>64</v>
      </c>
      <c r="L13" s="1" t="s">
        <v>76</v>
      </c>
      <c r="M13" s="1" t="s">
        <v>66</v>
      </c>
      <c r="N13" s="6"/>
      <c r="O13" s="6"/>
      <c r="P13" s="7" t="s">
        <v>67</v>
      </c>
      <c r="Q13" s="1">
        <f>IF(ISNUMBER(F13),Dashboard!$D$2-F13,"")</f>
        <v>-50</v>
      </c>
      <c r="R13" s="1">
        <f>IF(AND(OR(Dashboard!$P$1="All",A13=Dashboard!$P$1),OR(Dashboard!$P$2="All",J13=Dashboard!$P$2)),1,0)</f>
        <v>1</v>
      </c>
      <c r="S13" s="1">
        <f t="shared" si="0"/>
        <v>739472081.86000001</v>
      </c>
      <c r="T13" s="1">
        <f t="shared" si="1"/>
        <v>0</v>
      </c>
      <c r="U13" s="1">
        <f>IF(OR(Dashboard!$P$3="All",AND(Dashboard!$P$3="Not due",Q13&lt;0),AND(Dashboard!$P$3="Due in 10 days",Q13&gt;=-10,Q13&lt;=0),AND(Dashboard!$P$3="Due in 30 days",Q13&gt;=-30,Q13&lt;=0),AND(Dashboard!$P$3="Overdue 1-60 days",Q13&gt;0,Q13&lt;=60),AND(Dashboard!$P$3="Over 60 days",Q13&gt;60),AND(Dashboard!$P$3="All overdue",Q13&gt;0)),1,0)</f>
        <v>1</v>
      </c>
      <c r="V13" s="1">
        <f t="shared" si="2"/>
        <v>739472081.86000001</v>
      </c>
      <c r="W13" s="1">
        <f t="shared" si="3"/>
        <v>0</v>
      </c>
      <c r="X13" s="1">
        <f>IF(V13&gt;0,COUNTIF($V$6:V13,"&gt;0"),"")</f>
        <v>8</v>
      </c>
      <c r="Y13" s="17" t="str">
        <f t="shared" si="4"/>
        <v>CAL-current-008|000008</v>
      </c>
      <c r="Z13" s="1"/>
      <c r="AA13" s="17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 t="s">
        <v>28</v>
      </c>
      <c r="B14" s="1" t="s">
        <v>86</v>
      </c>
      <c r="C14" s="1" t="s">
        <v>87</v>
      </c>
      <c r="D14" s="1" t="s">
        <v>88</v>
      </c>
      <c r="E14" s="4">
        <v>45683</v>
      </c>
      <c r="F14" s="4">
        <v>45743</v>
      </c>
      <c r="G14" s="5">
        <v>406243923.68000001</v>
      </c>
      <c r="H14" s="5">
        <v>43526134.68</v>
      </c>
      <c r="I14" s="5">
        <v>362717789</v>
      </c>
      <c r="J14" s="1" t="s">
        <v>25</v>
      </c>
      <c r="K14" s="1" t="s">
        <v>64</v>
      </c>
      <c r="L14" s="1" t="s">
        <v>65</v>
      </c>
      <c r="M14" s="1" t="s">
        <v>66</v>
      </c>
      <c r="N14" s="6"/>
      <c r="O14" s="6"/>
      <c r="P14" s="7" t="s">
        <v>67</v>
      </c>
      <c r="Q14" s="1">
        <f>IF(ISNUMBER(F14),Dashboard!$D$2-F14,"")</f>
        <v>34</v>
      </c>
      <c r="R14" s="1">
        <f>IF(AND(OR(Dashboard!$P$1="All",A14=Dashboard!$P$1),OR(Dashboard!$P$2="All",J14=Dashboard!$P$2)),1,0)</f>
        <v>1</v>
      </c>
      <c r="S14" s="1">
        <f t="shared" si="0"/>
        <v>362717789</v>
      </c>
      <c r="T14" s="1">
        <f t="shared" si="1"/>
        <v>362717789</v>
      </c>
      <c r="U14" s="1">
        <f>IF(OR(Dashboard!$P$3="All",AND(Dashboard!$P$3="Not due",Q14&lt;0),AND(Dashboard!$P$3="Due in 10 days",Q14&gt;=-10,Q14&lt;=0),AND(Dashboard!$P$3="Due in 30 days",Q14&gt;=-30,Q14&lt;=0),AND(Dashboard!$P$3="Overdue 1-60 days",Q14&gt;0,Q14&lt;=60),AND(Dashboard!$P$3="Over 60 days",Q14&gt;60),AND(Dashboard!$P$3="All overdue",Q14&gt;0)),1,0)</f>
        <v>1</v>
      </c>
      <c r="V14" s="1">
        <f t="shared" si="2"/>
        <v>362717789</v>
      </c>
      <c r="W14" s="1">
        <f t="shared" si="3"/>
        <v>12332404826</v>
      </c>
      <c r="X14" s="1">
        <f>IF(V14&gt;0,COUNTIF($V$6:V14,"&gt;0"),"")</f>
        <v>9</v>
      </c>
      <c r="Y14" s="17" t="str">
        <f t="shared" si="4"/>
        <v>CAL-current-009|000009</v>
      </c>
      <c r="Z14" s="1"/>
      <c r="AA14" s="17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 t="s">
        <v>28</v>
      </c>
      <c r="B15" s="1" t="s">
        <v>86</v>
      </c>
      <c r="C15" s="1" t="s">
        <v>89</v>
      </c>
      <c r="D15" s="1" t="s">
        <v>90</v>
      </c>
      <c r="E15" s="4">
        <v>45697</v>
      </c>
      <c r="F15" s="4">
        <v>45742</v>
      </c>
      <c r="G15" s="5">
        <v>225049168.91999999</v>
      </c>
      <c r="H15" s="5">
        <v>42082364.920000002</v>
      </c>
      <c r="I15" s="5">
        <v>182966804</v>
      </c>
      <c r="J15" s="1" t="s">
        <v>25</v>
      </c>
      <c r="K15" s="1" t="s">
        <v>64</v>
      </c>
      <c r="L15" s="1" t="s">
        <v>70</v>
      </c>
      <c r="M15" s="1" t="s">
        <v>66</v>
      </c>
      <c r="N15" s="6"/>
      <c r="O15" s="6"/>
      <c r="P15" s="7" t="s">
        <v>67</v>
      </c>
      <c r="Q15" s="1">
        <f>IF(ISNUMBER(F15),Dashboard!$D$2-F15,"")</f>
        <v>35</v>
      </c>
      <c r="R15" s="1">
        <f>IF(AND(OR(Dashboard!$P$1="All",A15=Dashboard!$P$1),OR(Dashboard!$P$2="All",J15=Dashboard!$P$2)),1,0)</f>
        <v>1</v>
      </c>
      <c r="S15" s="1">
        <f t="shared" si="0"/>
        <v>182966804</v>
      </c>
      <c r="T15" s="1">
        <f t="shared" si="1"/>
        <v>182966804</v>
      </c>
      <c r="U15" s="1">
        <f>IF(OR(Dashboard!$P$3="All",AND(Dashboard!$P$3="Not due",Q15&lt;0),AND(Dashboard!$P$3="Due in 10 days",Q15&gt;=-10,Q15&lt;=0),AND(Dashboard!$P$3="Due in 30 days",Q15&gt;=-30,Q15&lt;=0),AND(Dashboard!$P$3="Overdue 1-60 days",Q15&gt;0,Q15&lt;=60),AND(Dashboard!$P$3="Over 60 days",Q15&gt;60),AND(Dashboard!$P$3="All overdue",Q15&gt;0)),1,0)</f>
        <v>1</v>
      </c>
      <c r="V15" s="1">
        <f t="shared" si="2"/>
        <v>182966804</v>
      </c>
      <c r="W15" s="1">
        <f t="shared" si="3"/>
        <v>6403838140</v>
      </c>
      <c r="X15" s="1">
        <f>IF(V15&gt;0,COUNTIF($V$6:V15,"&gt;0"),"")</f>
        <v>10</v>
      </c>
      <c r="Y15" s="17" t="str">
        <f t="shared" si="4"/>
        <v>CAL-current-010|000010</v>
      </c>
      <c r="Z15" s="1"/>
      <c r="AA15" s="17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 t="s">
        <v>28</v>
      </c>
      <c r="B16" s="1" t="s">
        <v>86</v>
      </c>
      <c r="C16" s="1" t="s">
        <v>91</v>
      </c>
      <c r="D16" s="1" t="s">
        <v>92</v>
      </c>
      <c r="E16" s="4">
        <v>45721</v>
      </c>
      <c r="F16" s="4">
        <v>45766</v>
      </c>
      <c r="G16" s="5">
        <v>588559714.28999996</v>
      </c>
      <c r="H16" s="5">
        <v>158954083.41999999</v>
      </c>
      <c r="I16" s="5">
        <v>429605630.87</v>
      </c>
      <c r="J16" s="1" t="s">
        <v>25</v>
      </c>
      <c r="K16" s="1" t="s">
        <v>64</v>
      </c>
      <c r="L16" s="1" t="s">
        <v>73</v>
      </c>
      <c r="M16" s="1" t="s">
        <v>66</v>
      </c>
      <c r="N16" s="6"/>
      <c r="O16" s="6"/>
      <c r="P16" s="7" t="s">
        <v>67</v>
      </c>
      <c r="Q16" s="1">
        <f>IF(ISNUMBER(F16),Dashboard!$D$2-F16,"")</f>
        <v>11</v>
      </c>
      <c r="R16" s="1">
        <f>IF(AND(OR(Dashboard!$P$1="All",A16=Dashboard!$P$1),OR(Dashboard!$P$2="All",J16=Dashboard!$P$2)),1,0)</f>
        <v>1</v>
      </c>
      <c r="S16" s="1">
        <f t="shared" si="0"/>
        <v>429605630.87</v>
      </c>
      <c r="T16" s="1">
        <f t="shared" si="1"/>
        <v>429605630.87</v>
      </c>
      <c r="U16" s="1">
        <f>IF(OR(Dashboard!$P$3="All",AND(Dashboard!$P$3="Not due",Q16&lt;0),AND(Dashboard!$P$3="Due in 10 days",Q16&gt;=-10,Q16&lt;=0),AND(Dashboard!$P$3="Due in 30 days",Q16&gt;=-30,Q16&lt;=0),AND(Dashboard!$P$3="Overdue 1-60 days",Q16&gt;0,Q16&lt;=60),AND(Dashboard!$P$3="Over 60 days",Q16&gt;60),AND(Dashboard!$P$3="All overdue",Q16&gt;0)),1,0)</f>
        <v>1</v>
      </c>
      <c r="V16" s="1">
        <f t="shared" si="2"/>
        <v>429605630.87</v>
      </c>
      <c r="W16" s="1">
        <f t="shared" si="3"/>
        <v>4725661939.5699997</v>
      </c>
      <c r="X16" s="1">
        <f>IF(V16&gt;0,COUNTIF($V$6:V16,"&gt;0"),"")</f>
        <v>11</v>
      </c>
      <c r="Y16" s="17" t="str">
        <f t="shared" si="4"/>
        <v>CAL-current-011|000011</v>
      </c>
      <c r="Z16" s="1"/>
      <c r="AA16" s="17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 t="s">
        <v>28</v>
      </c>
      <c r="B17" s="1" t="s">
        <v>86</v>
      </c>
      <c r="C17" s="1" t="s">
        <v>93</v>
      </c>
      <c r="D17" s="1" t="s">
        <v>94</v>
      </c>
      <c r="E17" s="4">
        <v>45721</v>
      </c>
      <c r="F17" s="4">
        <v>45766</v>
      </c>
      <c r="G17" s="5">
        <v>517226052.04000002</v>
      </c>
      <c r="H17" s="5">
        <v>55417077</v>
      </c>
      <c r="I17" s="5">
        <v>461808975.04000002</v>
      </c>
      <c r="J17" s="1" t="s">
        <v>25</v>
      </c>
      <c r="K17" s="1" t="s">
        <v>64</v>
      </c>
      <c r="L17" s="1" t="s">
        <v>76</v>
      </c>
      <c r="M17" s="1" t="s">
        <v>66</v>
      </c>
      <c r="N17" s="6"/>
      <c r="O17" s="6"/>
      <c r="P17" s="7" t="s">
        <v>67</v>
      </c>
      <c r="Q17" s="1">
        <f>IF(ISNUMBER(F17),Dashboard!$D$2-F17,"")</f>
        <v>11</v>
      </c>
      <c r="R17" s="1">
        <f>IF(AND(OR(Dashboard!$P$1="All",A17=Dashboard!$P$1),OR(Dashboard!$P$2="All",J17=Dashboard!$P$2)),1,0)</f>
        <v>1</v>
      </c>
      <c r="S17" s="1">
        <f t="shared" si="0"/>
        <v>461808975.04000002</v>
      </c>
      <c r="T17" s="1">
        <f t="shared" si="1"/>
        <v>461808975.04000002</v>
      </c>
      <c r="U17" s="1">
        <f>IF(OR(Dashboard!$P$3="All",AND(Dashboard!$P$3="Not due",Q17&lt;0),AND(Dashboard!$P$3="Due in 10 days",Q17&gt;=-10,Q17&lt;=0),AND(Dashboard!$P$3="Due in 30 days",Q17&gt;=-30,Q17&lt;=0),AND(Dashboard!$P$3="Overdue 1-60 days",Q17&gt;0,Q17&lt;=60),AND(Dashboard!$P$3="Over 60 days",Q17&gt;60),AND(Dashboard!$P$3="All overdue",Q17&gt;0)),1,0)</f>
        <v>1</v>
      </c>
      <c r="V17" s="1">
        <f t="shared" si="2"/>
        <v>461808975.04000002</v>
      </c>
      <c r="W17" s="1">
        <f t="shared" si="3"/>
        <v>5079898725.4400005</v>
      </c>
      <c r="X17" s="1">
        <f>IF(V17&gt;0,COUNTIF($V$6:V17,"&gt;0"),"")</f>
        <v>12</v>
      </c>
      <c r="Y17" s="17" t="str">
        <f t="shared" si="4"/>
        <v>CAL-current-012|000012</v>
      </c>
      <c r="Z17" s="1"/>
      <c r="AA17" s="17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 t="s">
        <v>28</v>
      </c>
      <c r="B18" s="1" t="s">
        <v>86</v>
      </c>
      <c r="C18" s="1" t="s">
        <v>95</v>
      </c>
      <c r="D18" s="1" t="s">
        <v>96</v>
      </c>
      <c r="E18" s="4">
        <v>45721</v>
      </c>
      <c r="F18" s="4">
        <v>45766</v>
      </c>
      <c r="G18" s="5">
        <v>727871467.28999996</v>
      </c>
      <c r="H18" s="5">
        <v>196578425.47</v>
      </c>
      <c r="I18" s="5">
        <v>531293041.81999999</v>
      </c>
      <c r="J18" s="1" t="s">
        <v>25</v>
      </c>
      <c r="K18" s="1" t="s">
        <v>64</v>
      </c>
      <c r="L18" s="1" t="s">
        <v>65</v>
      </c>
      <c r="M18" s="1" t="s">
        <v>66</v>
      </c>
      <c r="N18" s="6"/>
      <c r="O18" s="6"/>
      <c r="P18" s="7" t="s">
        <v>67</v>
      </c>
      <c r="Q18" s="1">
        <f>IF(ISNUMBER(F18),Dashboard!$D$2-F18,"")</f>
        <v>11</v>
      </c>
      <c r="R18" s="1">
        <f>IF(AND(OR(Dashboard!$P$1="All",A18=Dashboard!$P$1),OR(Dashboard!$P$2="All",J18=Dashboard!$P$2)),1,0)</f>
        <v>1</v>
      </c>
      <c r="S18" s="1">
        <f t="shared" si="0"/>
        <v>531293041.81999999</v>
      </c>
      <c r="T18" s="1">
        <f t="shared" si="1"/>
        <v>531293041.81999999</v>
      </c>
      <c r="U18" s="1">
        <f>IF(OR(Dashboard!$P$3="All",AND(Dashboard!$P$3="Not due",Q18&lt;0),AND(Dashboard!$P$3="Due in 10 days",Q18&gt;=-10,Q18&lt;=0),AND(Dashboard!$P$3="Due in 30 days",Q18&gt;=-30,Q18&lt;=0),AND(Dashboard!$P$3="Overdue 1-60 days",Q18&gt;0,Q18&lt;=60),AND(Dashboard!$P$3="Over 60 days",Q18&gt;60),AND(Dashboard!$P$3="All overdue",Q18&gt;0)),1,0)</f>
        <v>1</v>
      </c>
      <c r="V18" s="1">
        <f t="shared" si="2"/>
        <v>531293041.81999999</v>
      </c>
      <c r="W18" s="1">
        <f t="shared" si="3"/>
        <v>5844223460.0199995</v>
      </c>
      <c r="X18" s="1">
        <f>IF(V18&gt;0,COUNTIF($V$6:V18,"&gt;0"),"")</f>
        <v>13</v>
      </c>
      <c r="Y18" s="17" t="str">
        <f t="shared" si="4"/>
        <v>CAL-current-013|000013</v>
      </c>
      <c r="Z18" s="1"/>
      <c r="AA18" s="17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 t="s">
        <v>28</v>
      </c>
      <c r="B19" s="1" t="s">
        <v>86</v>
      </c>
      <c r="C19" s="1" t="s">
        <v>97</v>
      </c>
      <c r="D19" s="1" t="s">
        <v>98</v>
      </c>
      <c r="E19" s="4">
        <v>45736</v>
      </c>
      <c r="F19" s="4">
        <v>45766</v>
      </c>
      <c r="G19" s="5">
        <v>390824420</v>
      </c>
      <c r="H19" s="5">
        <v>105551120.73</v>
      </c>
      <c r="I19" s="5">
        <v>285273299.26999998</v>
      </c>
      <c r="J19" s="1" t="s">
        <v>25</v>
      </c>
      <c r="K19" s="1" t="s">
        <v>64</v>
      </c>
      <c r="L19" s="1" t="s">
        <v>70</v>
      </c>
      <c r="M19" s="1" t="s">
        <v>66</v>
      </c>
      <c r="N19" s="6"/>
      <c r="O19" s="6"/>
      <c r="P19" s="7" t="s">
        <v>67</v>
      </c>
      <c r="Q19" s="1">
        <f>IF(ISNUMBER(F19),Dashboard!$D$2-F19,"")</f>
        <v>11</v>
      </c>
      <c r="R19" s="1">
        <f>IF(AND(OR(Dashboard!$P$1="All",A19=Dashboard!$P$1),OR(Dashboard!$P$2="All",J19=Dashboard!$P$2)),1,0)</f>
        <v>1</v>
      </c>
      <c r="S19" s="1">
        <f t="shared" si="0"/>
        <v>285273299.26999998</v>
      </c>
      <c r="T19" s="1">
        <f t="shared" si="1"/>
        <v>285273299.26999998</v>
      </c>
      <c r="U19" s="1">
        <f>IF(OR(Dashboard!$P$3="All",AND(Dashboard!$P$3="Not due",Q19&lt;0),AND(Dashboard!$P$3="Due in 10 days",Q19&gt;=-10,Q19&lt;=0),AND(Dashboard!$P$3="Due in 30 days",Q19&gt;=-30,Q19&lt;=0),AND(Dashboard!$P$3="Overdue 1-60 days",Q19&gt;0,Q19&lt;=60),AND(Dashboard!$P$3="Over 60 days",Q19&gt;60),AND(Dashboard!$P$3="All overdue",Q19&gt;0)),1,0)</f>
        <v>1</v>
      </c>
      <c r="V19" s="1">
        <f t="shared" si="2"/>
        <v>285273299.26999998</v>
      </c>
      <c r="W19" s="1">
        <f t="shared" si="3"/>
        <v>3138006291.9699998</v>
      </c>
      <c r="X19" s="1">
        <f>IF(V19&gt;0,COUNTIF($V$6:V19,"&gt;0"),"")</f>
        <v>14</v>
      </c>
      <c r="Y19" s="17" t="str">
        <f t="shared" si="4"/>
        <v>CAL-current-014|000014</v>
      </c>
      <c r="Z19" s="1"/>
      <c r="AA19" s="17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 t="s">
        <v>28</v>
      </c>
      <c r="B20" s="1" t="s">
        <v>86</v>
      </c>
      <c r="C20" s="1" t="s">
        <v>99</v>
      </c>
      <c r="D20" s="1" t="s">
        <v>100</v>
      </c>
      <c r="E20" s="4">
        <v>45720</v>
      </c>
      <c r="F20" s="4">
        <v>45765</v>
      </c>
      <c r="G20" s="5">
        <v>70000154.260000005</v>
      </c>
      <c r="H20" s="5">
        <v>7500016.5300000003</v>
      </c>
      <c r="I20" s="5">
        <v>62500137.729999997</v>
      </c>
      <c r="J20" s="1" t="s">
        <v>25</v>
      </c>
      <c r="K20" s="1" t="s">
        <v>64</v>
      </c>
      <c r="L20" s="1" t="s">
        <v>73</v>
      </c>
      <c r="M20" s="1" t="s">
        <v>66</v>
      </c>
      <c r="N20" s="6"/>
      <c r="O20" s="6"/>
      <c r="P20" s="7" t="s">
        <v>67</v>
      </c>
      <c r="Q20" s="1">
        <f>IF(ISNUMBER(F20),Dashboard!$D$2-F20,"")</f>
        <v>12</v>
      </c>
      <c r="R20" s="1">
        <f>IF(AND(OR(Dashboard!$P$1="All",A20=Dashboard!$P$1),OR(Dashboard!$P$2="All",J20=Dashboard!$P$2)),1,0)</f>
        <v>1</v>
      </c>
      <c r="S20" s="1">
        <f t="shared" si="0"/>
        <v>62500137.729999997</v>
      </c>
      <c r="T20" s="1">
        <f t="shared" si="1"/>
        <v>62500137.729999997</v>
      </c>
      <c r="U20" s="1">
        <f>IF(OR(Dashboard!$P$3="All",AND(Dashboard!$P$3="Not due",Q20&lt;0),AND(Dashboard!$P$3="Due in 10 days",Q20&gt;=-10,Q20&lt;=0),AND(Dashboard!$P$3="Due in 30 days",Q20&gt;=-30,Q20&lt;=0),AND(Dashboard!$P$3="Overdue 1-60 days",Q20&gt;0,Q20&lt;=60),AND(Dashboard!$P$3="Over 60 days",Q20&gt;60),AND(Dashboard!$P$3="All overdue",Q20&gt;0)),1,0)</f>
        <v>1</v>
      </c>
      <c r="V20" s="1">
        <f t="shared" si="2"/>
        <v>62500137.729999997</v>
      </c>
      <c r="W20" s="1">
        <f t="shared" si="3"/>
        <v>750001652.75999999</v>
      </c>
      <c r="X20" s="1">
        <f>IF(V20&gt;0,COUNTIF($V$6:V20,"&gt;0"),"")</f>
        <v>15</v>
      </c>
      <c r="Y20" s="17" t="str">
        <f t="shared" si="4"/>
        <v>CAL-current-015|000015</v>
      </c>
      <c r="Z20" s="1"/>
      <c r="AA20" s="17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 t="s">
        <v>28</v>
      </c>
      <c r="B21" s="1" t="s">
        <v>86</v>
      </c>
      <c r="C21" s="1" t="s">
        <v>101</v>
      </c>
      <c r="D21" s="1" t="s">
        <v>102</v>
      </c>
      <c r="E21" s="4">
        <v>45705</v>
      </c>
      <c r="F21" s="4">
        <v>45765</v>
      </c>
      <c r="G21" s="5">
        <v>71391659.620000005</v>
      </c>
      <c r="H21" s="5">
        <v>19280959.170000002</v>
      </c>
      <c r="I21" s="5">
        <v>52110700.450000003</v>
      </c>
      <c r="J21" s="1" t="s">
        <v>25</v>
      </c>
      <c r="K21" s="1" t="s">
        <v>64</v>
      </c>
      <c r="L21" s="1" t="s">
        <v>76</v>
      </c>
      <c r="M21" s="1" t="s">
        <v>66</v>
      </c>
      <c r="N21" s="6"/>
      <c r="O21" s="6"/>
      <c r="P21" s="7" t="s">
        <v>67</v>
      </c>
      <c r="Q21" s="1">
        <f>IF(ISNUMBER(F21),Dashboard!$D$2-F21,"")</f>
        <v>12</v>
      </c>
      <c r="R21" s="1">
        <f>IF(AND(OR(Dashboard!$P$1="All",A21=Dashboard!$P$1),OR(Dashboard!$P$2="All",J21=Dashboard!$P$2)),1,0)</f>
        <v>1</v>
      </c>
      <c r="S21" s="1">
        <f t="shared" si="0"/>
        <v>52110700.450000003</v>
      </c>
      <c r="T21" s="1">
        <f t="shared" si="1"/>
        <v>52110700.450000003</v>
      </c>
      <c r="U21" s="1">
        <f>IF(OR(Dashboard!$P$3="All",AND(Dashboard!$P$3="Not due",Q21&lt;0),AND(Dashboard!$P$3="Due in 10 days",Q21&gt;=-10,Q21&lt;=0),AND(Dashboard!$P$3="Due in 30 days",Q21&gt;=-30,Q21&lt;=0),AND(Dashboard!$P$3="Overdue 1-60 days",Q21&gt;0,Q21&lt;=60),AND(Dashboard!$P$3="Over 60 days",Q21&gt;60),AND(Dashboard!$P$3="All overdue",Q21&gt;0)),1,0)</f>
        <v>1</v>
      </c>
      <c r="V21" s="1">
        <f t="shared" si="2"/>
        <v>52110700.450000003</v>
      </c>
      <c r="W21" s="1">
        <f t="shared" si="3"/>
        <v>625328405.4000001</v>
      </c>
      <c r="X21" s="1">
        <f>IF(V21&gt;0,COUNTIF($V$6:V21,"&gt;0"),"")</f>
        <v>16</v>
      </c>
      <c r="Y21" s="17" t="str">
        <f t="shared" si="4"/>
        <v>CAL-current-016|000016</v>
      </c>
      <c r="Z21" s="1"/>
      <c r="AA21" s="17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 t="s">
        <v>28</v>
      </c>
      <c r="B22" s="1" t="s">
        <v>86</v>
      </c>
      <c r="C22" s="1" t="s">
        <v>103</v>
      </c>
      <c r="D22" s="1" t="s">
        <v>104</v>
      </c>
      <c r="E22" s="4">
        <v>45705</v>
      </c>
      <c r="F22" s="4">
        <v>45765</v>
      </c>
      <c r="G22" s="5">
        <v>103694538.64</v>
      </c>
      <c r="H22" s="5">
        <v>11110129.140000001</v>
      </c>
      <c r="I22" s="5">
        <v>92584409.5</v>
      </c>
      <c r="J22" s="1" t="s">
        <v>25</v>
      </c>
      <c r="K22" s="1" t="s">
        <v>64</v>
      </c>
      <c r="L22" s="1" t="s">
        <v>65</v>
      </c>
      <c r="M22" s="1" t="s">
        <v>66</v>
      </c>
      <c r="N22" s="6"/>
      <c r="O22" s="6"/>
      <c r="P22" s="7" t="s">
        <v>67</v>
      </c>
      <c r="Q22" s="1">
        <f>IF(ISNUMBER(F22),Dashboard!$D$2-F22,"")</f>
        <v>12</v>
      </c>
      <c r="R22" s="1">
        <f>IF(AND(OR(Dashboard!$P$1="All",A22=Dashboard!$P$1),OR(Dashboard!$P$2="All",J22=Dashboard!$P$2)),1,0)</f>
        <v>1</v>
      </c>
      <c r="S22" s="1">
        <f t="shared" si="0"/>
        <v>92584409.5</v>
      </c>
      <c r="T22" s="1">
        <f t="shared" si="1"/>
        <v>92584409.5</v>
      </c>
      <c r="U22" s="1">
        <f>IF(OR(Dashboard!$P$3="All",AND(Dashboard!$P$3="Not due",Q22&lt;0),AND(Dashboard!$P$3="Due in 10 days",Q22&gt;=-10,Q22&lt;=0),AND(Dashboard!$P$3="Due in 30 days",Q22&gt;=-30,Q22&lt;=0),AND(Dashboard!$P$3="Overdue 1-60 days",Q22&gt;0,Q22&lt;=60),AND(Dashboard!$P$3="Over 60 days",Q22&gt;60),AND(Dashboard!$P$3="All overdue",Q22&gt;0)),1,0)</f>
        <v>1</v>
      </c>
      <c r="V22" s="1">
        <f t="shared" si="2"/>
        <v>92584409.5</v>
      </c>
      <c r="W22" s="1">
        <f t="shared" si="3"/>
        <v>1111012914</v>
      </c>
      <c r="X22" s="1">
        <f>IF(V22&gt;0,COUNTIF($V$6:V22,"&gt;0"),"")</f>
        <v>17</v>
      </c>
      <c r="Y22" s="17" t="str">
        <f t="shared" si="4"/>
        <v>CAL-current-017|000017</v>
      </c>
      <c r="Z22" s="1"/>
      <c r="AA22" s="17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 t="s">
        <v>28</v>
      </c>
      <c r="B23" s="1" t="s">
        <v>86</v>
      </c>
      <c r="C23" s="1" t="s">
        <v>105</v>
      </c>
      <c r="D23" s="1" t="s">
        <v>106</v>
      </c>
      <c r="E23" s="4">
        <v>45720</v>
      </c>
      <c r="F23" s="4">
        <v>45765</v>
      </c>
      <c r="G23" s="5">
        <v>105897356.68000001</v>
      </c>
      <c r="H23" s="5">
        <v>11346145.359999999</v>
      </c>
      <c r="I23" s="5">
        <v>94551211.319999993</v>
      </c>
      <c r="J23" s="1" t="s">
        <v>25</v>
      </c>
      <c r="K23" s="1" t="s">
        <v>64</v>
      </c>
      <c r="L23" s="1" t="s">
        <v>70</v>
      </c>
      <c r="M23" s="1" t="s">
        <v>66</v>
      </c>
      <c r="N23" s="6"/>
      <c r="O23" s="6"/>
      <c r="P23" s="7" t="s">
        <v>67</v>
      </c>
      <c r="Q23" s="1">
        <f>IF(ISNUMBER(F23),Dashboard!$D$2-F23,"")</f>
        <v>12</v>
      </c>
      <c r="R23" s="1">
        <f>IF(AND(OR(Dashboard!$P$1="All",A23=Dashboard!$P$1),OR(Dashboard!$P$2="All",J23=Dashboard!$P$2)),1,0)</f>
        <v>1</v>
      </c>
      <c r="S23" s="1">
        <f t="shared" si="0"/>
        <v>94551211.319999993</v>
      </c>
      <c r="T23" s="1">
        <f t="shared" si="1"/>
        <v>94551211.319999993</v>
      </c>
      <c r="U23" s="1">
        <f>IF(OR(Dashboard!$P$3="All",AND(Dashboard!$P$3="Not due",Q23&lt;0),AND(Dashboard!$P$3="Due in 10 days",Q23&gt;=-10,Q23&lt;=0),AND(Dashboard!$P$3="Due in 30 days",Q23&gt;=-30,Q23&lt;=0),AND(Dashboard!$P$3="Overdue 1-60 days",Q23&gt;0,Q23&lt;=60),AND(Dashboard!$P$3="Over 60 days",Q23&gt;60),AND(Dashboard!$P$3="All overdue",Q23&gt;0)),1,0)</f>
        <v>1</v>
      </c>
      <c r="V23" s="1">
        <f t="shared" si="2"/>
        <v>94551211.319999993</v>
      </c>
      <c r="W23" s="1">
        <f t="shared" si="3"/>
        <v>1134614535.8399999</v>
      </c>
      <c r="X23" s="1">
        <f>IF(V23&gt;0,COUNTIF($V$6:V23,"&gt;0"),"")</f>
        <v>18</v>
      </c>
      <c r="Y23" s="17" t="str">
        <f t="shared" si="4"/>
        <v>CAL-current-018|000018</v>
      </c>
      <c r="Z23" s="1"/>
      <c r="AA23" s="17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 t="s">
        <v>28</v>
      </c>
      <c r="B24" s="1" t="s">
        <v>86</v>
      </c>
      <c r="C24" s="1" t="s">
        <v>107</v>
      </c>
      <c r="D24" s="1" t="s">
        <v>108</v>
      </c>
      <c r="E24" s="4">
        <v>45747</v>
      </c>
      <c r="F24" s="4">
        <v>45777</v>
      </c>
      <c r="G24" s="5">
        <v>50535525.649999999</v>
      </c>
      <c r="H24" s="5">
        <v>13648280.65</v>
      </c>
      <c r="I24" s="5">
        <v>36887245</v>
      </c>
      <c r="J24" s="1" t="s">
        <v>25</v>
      </c>
      <c r="K24" s="1" t="s">
        <v>64</v>
      </c>
      <c r="L24" s="1" t="s">
        <v>73</v>
      </c>
      <c r="M24" s="1" t="s">
        <v>66</v>
      </c>
      <c r="N24" s="6"/>
      <c r="O24" s="6"/>
      <c r="P24" s="7" t="s">
        <v>67</v>
      </c>
      <c r="Q24" s="1">
        <f>IF(ISNUMBER(F24),Dashboard!$D$2-F24,"")</f>
        <v>0</v>
      </c>
      <c r="R24" s="1">
        <f>IF(AND(OR(Dashboard!$P$1="All",A24=Dashboard!$P$1),OR(Dashboard!$P$2="All",J24=Dashboard!$P$2)),1,0)</f>
        <v>1</v>
      </c>
      <c r="S24" s="1">
        <f t="shared" si="0"/>
        <v>36887245</v>
      </c>
      <c r="T24" s="1">
        <f t="shared" si="1"/>
        <v>0</v>
      </c>
      <c r="U24" s="1">
        <f>IF(OR(Dashboard!$P$3="All",AND(Dashboard!$P$3="Not due",Q24&lt;0),AND(Dashboard!$P$3="Due in 10 days",Q24&gt;=-10,Q24&lt;=0),AND(Dashboard!$P$3="Due in 30 days",Q24&gt;=-30,Q24&lt;=0),AND(Dashboard!$P$3="Overdue 1-60 days",Q24&gt;0,Q24&lt;=60),AND(Dashboard!$P$3="Over 60 days",Q24&gt;60),AND(Dashboard!$P$3="All overdue",Q24&gt;0)),1,0)</f>
        <v>1</v>
      </c>
      <c r="V24" s="1">
        <f t="shared" si="2"/>
        <v>36887245</v>
      </c>
      <c r="W24" s="1">
        <f t="shared" si="3"/>
        <v>0</v>
      </c>
      <c r="X24" s="1">
        <f>IF(V24&gt;0,COUNTIF($V$6:V24,"&gt;0"),"")</f>
        <v>19</v>
      </c>
      <c r="Y24" s="17" t="str">
        <f t="shared" si="4"/>
        <v>CAL-current-019|000019</v>
      </c>
      <c r="Z24" s="1"/>
      <c r="AA24" s="17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 t="s">
        <v>28</v>
      </c>
      <c r="B25" s="1" t="s">
        <v>86</v>
      </c>
      <c r="C25" s="1" t="s">
        <v>109</v>
      </c>
      <c r="D25" s="1" t="s">
        <v>110</v>
      </c>
      <c r="E25" s="4">
        <v>45724</v>
      </c>
      <c r="F25" s="4">
        <v>45784</v>
      </c>
      <c r="G25" s="5">
        <v>808213636.45000005</v>
      </c>
      <c r="H25" s="5">
        <v>151129379.16999999</v>
      </c>
      <c r="I25" s="5">
        <v>657084257.27999997</v>
      </c>
      <c r="J25" s="1" t="s">
        <v>25</v>
      </c>
      <c r="K25" s="1" t="s">
        <v>64</v>
      </c>
      <c r="L25" s="1" t="s">
        <v>76</v>
      </c>
      <c r="M25" s="1" t="s">
        <v>66</v>
      </c>
      <c r="N25" s="6"/>
      <c r="O25" s="6"/>
      <c r="P25" s="7" t="s">
        <v>67</v>
      </c>
      <c r="Q25" s="1">
        <f>IF(ISNUMBER(F25),Dashboard!$D$2-F25,"")</f>
        <v>-7</v>
      </c>
      <c r="R25" s="1">
        <f>IF(AND(OR(Dashboard!$P$1="All",A25=Dashboard!$P$1),OR(Dashboard!$P$2="All",J25=Dashboard!$P$2)),1,0)</f>
        <v>1</v>
      </c>
      <c r="S25" s="1">
        <f t="shared" si="0"/>
        <v>657084257.27999997</v>
      </c>
      <c r="T25" s="1">
        <f t="shared" si="1"/>
        <v>0</v>
      </c>
      <c r="U25" s="1">
        <f>IF(OR(Dashboard!$P$3="All",AND(Dashboard!$P$3="Not due",Q25&lt;0),AND(Dashboard!$P$3="Due in 10 days",Q25&gt;=-10,Q25&lt;=0),AND(Dashboard!$P$3="Due in 30 days",Q25&gt;=-30,Q25&lt;=0),AND(Dashboard!$P$3="Overdue 1-60 days",Q25&gt;0,Q25&lt;=60),AND(Dashboard!$P$3="Over 60 days",Q25&gt;60),AND(Dashboard!$P$3="All overdue",Q25&gt;0)),1,0)</f>
        <v>1</v>
      </c>
      <c r="V25" s="1">
        <f t="shared" si="2"/>
        <v>657084257.27999997</v>
      </c>
      <c r="W25" s="1">
        <f t="shared" si="3"/>
        <v>0</v>
      </c>
      <c r="X25" s="1">
        <f>IF(V25&gt;0,COUNTIF($V$6:V25,"&gt;0"),"")</f>
        <v>20</v>
      </c>
      <c r="Y25" s="17" t="str">
        <f t="shared" si="4"/>
        <v>CAL-current-020|000020</v>
      </c>
      <c r="Z25" s="1"/>
      <c r="AA25" s="17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 t="s">
        <v>28</v>
      </c>
      <c r="B26" s="1" t="s">
        <v>86</v>
      </c>
      <c r="C26" s="1" t="s">
        <v>111</v>
      </c>
      <c r="D26" s="1" t="s">
        <v>112</v>
      </c>
      <c r="E26" s="4">
        <v>45724</v>
      </c>
      <c r="F26" s="4">
        <v>45784</v>
      </c>
      <c r="G26" s="5">
        <v>532809421.31</v>
      </c>
      <c r="H26" s="5">
        <v>99631030</v>
      </c>
      <c r="I26" s="5">
        <v>433178391.31</v>
      </c>
      <c r="J26" s="1" t="s">
        <v>25</v>
      </c>
      <c r="K26" s="1" t="s">
        <v>64</v>
      </c>
      <c r="L26" s="1" t="s">
        <v>65</v>
      </c>
      <c r="M26" s="1" t="s">
        <v>66</v>
      </c>
      <c r="N26" s="6"/>
      <c r="O26" s="6"/>
      <c r="P26" s="7" t="s">
        <v>67</v>
      </c>
      <c r="Q26" s="1">
        <f>IF(ISNUMBER(F26),Dashboard!$D$2-F26,"")</f>
        <v>-7</v>
      </c>
      <c r="R26" s="1">
        <f>IF(AND(OR(Dashboard!$P$1="All",A26=Dashboard!$P$1),OR(Dashboard!$P$2="All",J26=Dashboard!$P$2)),1,0)</f>
        <v>1</v>
      </c>
      <c r="S26" s="1">
        <f t="shared" si="0"/>
        <v>433178391.31</v>
      </c>
      <c r="T26" s="1">
        <f t="shared" si="1"/>
        <v>0</v>
      </c>
      <c r="U26" s="1">
        <f>IF(OR(Dashboard!$P$3="All",AND(Dashboard!$P$3="Not due",Q26&lt;0),AND(Dashboard!$P$3="Due in 10 days",Q26&gt;=-10,Q26&lt;=0),AND(Dashboard!$P$3="Due in 30 days",Q26&gt;=-30,Q26&lt;=0),AND(Dashboard!$P$3="Overdue 1-60 days",Q26&gt;0,Q26&lt;=60),AND(Dashboard!$P$3="Over 60 days",Q26&gt;60),AND(Dashboard!$P$3="All overdue",Q26&gt;0)),1,0)</f>
        <v>1</v>
      </c>
      <c r="V26" s="1">
        <f t="shared" si="2"/>
        <v>433178391.31</v>
      </c>
      <c r="W26" s="1">
        <f t="shared" si="3"/>
        <v>0</v>
      </c>
      <c r="X26" s="1">
        <f>IF(V26&gt;0,COUNTIF($V$6:V26,"&gt;0"),"")</f>
        <v>21</v>
      </c>
      <c r="Y26" s="17" t="str">
        <f t="shared" si="4"/>
        <v>CAL-current-021|000021</v>
      </c>
      <c r="Z26" s="1"/>
      <c r="AA26" s="17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 t="s">
        <v>28</v>
      </c>
      <c r="B27" s="1" t="s">
        <v>86</v>
      </c>
      <c r="C27" s="1" t="s">
        <v>113</v>
      </c>
      <c r="D27" s="1" t="s">
        <v>114</v>
      </c>
      <c r="E27" s="4">
        <v>45754</v>
      </c>
      <c r="F27" s="4">
        <v>45784</v>
      </c>
      <c r="G27" s="5">
        <v>794151481.39999998</v>
      </c>
      <c r="H27" s="5">
        <v>85087658.719999999</v>
      </c>
      <c r="I27" s="5">
        <v>709063822.67999995</v>
      </c>
      <c r="J27" s="1" t="s">
        <v>25</v>
      </c>
      <c r="K27" s="1" t="s">
        <v>64</v>
      </c>
      <c r="L27" s="1" t="s">
        <v>70</v>
      </c>
      <c r="M27" s="1" t="s">
        <v>66</v>
      </c>
      <c r="N27" s="6"/>
      <c r="O27" s="6"/>
      <c r="P27" s="7" t="s">
        <v>67</v>
      </c>
      <c r="Q27" s="1">
        <f>IF(ISNUMBER(F27),Dashboard!$D$2-F27,"")</f>
        <v>-7</v>
      </c>
      <c r="R27" s="1">
        <f>IF(AND(OR(Dashboard!$P$1="All",A27=Dashboard!$P$1),OR(Dashboard!$P$2="All",J27=Dashboard!$P$2)),1,0)</f>
        <v>1</v>
      </c>
      <c r="S27" s="1">
        <f t="shared" si="0"/>
        <v>709063822.67999995</v>
      </c>
      <c r="T27" s="1">
        <f t="shared" si="1"/>
        <v>0</v>
      </c>
      <c r="U27" s="1">
        <f>IF(OR(Dashboard!$P$3="All",AND(Dashboard!$P$3="Not due",Q27&lt;0),AND(Dashboard!$P$3="Due in 10 days",Q27&gt;=-10,Q27&lt;=0),AND(Dashboard!$P$3="Due in 30 days",Q27&gt;=-30,Q27&lt;=0),AND(Dashboard!$P$3="Overdue 1-60 days",Q27&gt;0,Q27&lt;=60),AND(Dashboard!$P$3="Over 60 days",Q27&gt;60),AND(Dashboard!$P$3="All overdue",Q27&gt;0)),1,0)</f>
        <v>1</v>
      </c>
      <c r="V27" s="1">
        <f t="shared" si="2"/>
        <v>709063822.67999995</v>
      </c>
      <c r="W27" s="1">
        <f t="shared" si="3"/>
        <v>0</v>
      </c>
      <c r="X27" s="1">
        <f>IF(V27&gt;0,COUNTIF($V$6:V27,"&gt;0"),"")</f>
        <v>22</v>
      </c>
      <c r="Y27" s="17" t="str">
        <f t="shared" si="4"/>
        <v>CAL-current-022|000022</v>
      </c>
      <c r="Z27" s="1"/>
      <c r="AA27" s="17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 t="s">
        <v>28</v>
      </c>
      <c r="B28" s="1" t="s">
        <v>86</v>
      </c>
      <c r="C28" s="1" t="s">
        <v>115</v>
      </c>
      <c r="D28" s="1" t="s">
        <v>116</v>
      </c>
      <c r="E28" s="4">
        <v>45739</v>
      </c>
      <c r="F28" s="4">
        <v>45784</v>
      </c>
      <c r="G28" s="5">
        <v>513110929.77999997</v>
      </c>
      <c r="H28" s="5">
        <v>54976171.049999997</v>
      </c>
      <c r="I28" s="5">
        <v>458134758.73000002</v>
      </c>
      <c r="J28" s="1" t="s">
        <v>25</v>
      </c>
      <c r="K28" s="1" t="s">
        <v>64</v>
      </c>
      <c r="L28" s="1" t="s">
        <v>73</v>
      </c>
      <c r="M28" s="1" t="s">
        <v>66</v>
      </c>
      <c r="N28" s="6"/>
      <c r="O28" s="6"/>
      <c r="P28" s="7" t="s">
        <v>67</v>
      </c>
      <c r="Q28" s="1">
        <f>IF(ISNUMBER(F28),Dashboard!$D$2-F28,"")</f>
        <v>-7</v>
      </c>
      <c r="R28" s="1">
        <f>IF(AND(OR(Dashboard!$P$1="All",A28=Dashboard!$P$1),OR(Dashboard!$P$2="All",J28=Dashboard!$P$2)),1,0)</f>
        <v>1</v>
      </c>
      <c r="S28" s="1">
        <f t="shared" si="0"/>
        <v>458134758.73000002</v>
      </c>
      <c r="T28" s="1">
        <f t="shared" si="1"/>
        <v>0</v>
      </c>
      <c r="U28" s="1">
        <f>IF(OR(Dashboard!$P$3="All",AND(Dashboard!$P$3="Not due",Q28&lt;0),AND(Dashboard!$P$3="Due in 10 days",Q28&gt;=-10,Q28&lt;=0),AND(Dashboard!$P$3="Due in 30 days",Q28&gt;=-30,Q28&lt;=0),AND(Dashboard!$P$3="Overdue 1-60 days",Q28&gt;0,Q28&lt;=60),AND(Dashboard!$P$3="Over 60 days",Q28&gt;60),AND(Dashboard!$P$3="All overdue",Q28&gt;0)),1,0)</f>
        <v>1</v>
      </c>
      <c r="V28" s="1">
        <f t="shared" si="2"/>
        <v>458134758.73000002</v>
      </c>
      <c r="W28" s="1">
        <f t="shared" si="3"/>
        <v>0</v>
      </c>
      <c r="X28" s="1">
        <f>IF(V28&gt;0,COUNTIF($V$6:V28,"&gt;0"),"")</f>
        <v>23</v>
      </c>
      <c r="Y28" s="17" t="str">
        <f t="shared" si="4"/>
        <v>CAL-current-023|000023</v>
      </c>
      <c r="Z28" s="1"/>
      <c r="AA28" s="17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 t="s">
        <v>28</v>
      </c>
      <c r="B29" s="1" t="s">
        <v>86</v>
      </c>
      <c r="C29" s="1" t="s">
        <v>117</v>
      </c>
      <c r="D29" s="1" t="s">
        <v>118</v>
      </c>
      <c r="E29" s="4">
        <v>45753</v>
      </c>
      <c r="F29" s="4">
        <v>45783</v>
      </c>
      <c r="G29" s="5">
        <v>133906044.91</v>
      </c>
      <c r="H29" s="5">
        <v>14347076.24</v>
      </c>
      <c r="I29" s="5">
        <v>119558968.67</v>
      </c>
      <c r="J29" s="1" t="s">
        <v>25</v>
      </c>
      <c r="K29" s="1" t="s">
        <v>64</v>
      </c>
      <c r="L29" s="1" t="s">
        <v>76</v>
      </c>
      <c r="M29" s="1" t="s">
        <v>66</v>
      </c>
      <c r="N29" s="6"/>
      <c r="O29" s="6"/>
      <c r="P29" s="7" t="s">
        <v>67</v>
      </c>
      <c r="Q29" s="1">
        <f>IF(ISNUMBER(F29),Dashboard!$D$2-F29,"")</f>
        <v>-6</v>
      </c>
      <c r="R29" s="1">
        <f>IF(AND(OR(Dashboard!$P$1="All",A29=Dashboard!$P$1),OR(Dashboard!$P$2="All",J29=Dashboard!$P$2)),1,0)</f>
        <v>1</v>
      </c>
      <c r="S29" s="1">
        <f t="shared" si="0"/>
        <v>119558968.67</v>
      </c>
      <c r="T29" s="1">
        <f t="shared" si="1"/>
        <v>0</v>
      </c>
      <c r="U29" s="1">
        <f>IF(OR(Dashboard!$P$3="All",AND(Dashboard!$P$3="Not due",Q29&lt;0),AND(Dashboard!$P$3="Due in 10 days",Q29&gt;=-10,Q29&lt;=0),AND(Dashboard!$P$3="Due in 30 days",Q29&gt;=-30,Q29&lt;=0),AND(Dashboard!$P$3="Overdue 1-60 days",Q29&gt;0,Q29&lt;=60),AND(Dashboard!$P$3="Over 60 days",Q29&gt;60),AND(Dashboard!$P$3="All overdue",Q29&gt;0)),1,0)</f>
        <v>1</v>
      </c>
      <c r="V29" s="1">
        <f t="shared" si="2"/>
        <v>119558968.67</v>
      </c>
      <c r="W29" s="1">
        <f t="shared" si="3"/>
        <v>0</v>
      </c>
      <c r="X29" s="1">
        <f>IF(V29&gt;0,COUNTIF($V$6:V29,"&gt;0"),"")</f>
        <v>24</v>
      </c>
      <c r="Y29" s="17" t="str">
        <f t="shared" si="4"/>
        <v>CAL-current-024|000024</v>
      </c>
      <c r="Z29" s="1"/>
      <c r="AA29" s="17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 t="s">
        <v>28</v>
      </c>
      <c r="B30" s="1" t="s">
        <v>86</v>
      </c>
      <c r="C30" s="1" t="s">
        <v>119</v>
      </c>
      <c r="D30" s="1" t="s">
        <v>120</v>
      </c>
      <c r="E30" s="4">
        <v>45723</v>
      </c>
      <c r="F30" s="4">
        <v>45783</v>
      </c>
      <c r="G30" s="5">
        <v>80720755.609999999</v>
      </c>
      <c r="H30" s="5">
        <v>21800496.039999999</v>
      </c>
      <c r="I30" s="5">
        <v>58920259.57</v>
      </c>
      <c r="J30" s="1" t="s">
        <v>25</v>
      </c>
      <c r="K30" s="1" t="s">
        <v>64</v>
      </c>
      <c r="L30" s="1" t="s">
        <v>65</v>
      </c>
      <c r="M30" s="1" t="s">
        <v>66</v>
      </c>
      <c r="N30" s="6"/>
      <c r="O30" s="6"/>
      <c r="P30" s="7" t="s">
        <v>67</v>
      </c>
      <c r="Q30" s="1">
        <f>IF(ISNUMBER(F30),Dashboard!$D$2-F30,"")</f>
        <v>-6</v>
      </c>
      <c r="R30" s="1">
        <f>IF(AND(OR(Dashboard!$P$1="All",A30=Dashboard!$P$1),OR(Dashboard!$P$2="All",J30=Dashboard!$P$2)),1,0)</f>
        <v>1</v>
      </c>
      <c r="S30" s="1">
        <f t="shared" si="0"/>
        <v>58920259.57</v>
      </c>
      <c r="T30" s="1">
        <f t="shared" si="1"/>
        <v>0</v>
      </c>
      <c r="U30" s="1">
        <f>IF(OR(Dashboard!$P$3="All",AND(Dashboard!$P$3="Not due",Q30&lt;0),AND(Dashboard!$P$3="Due in 10 days",Q30&gt;=-10,Q30&lt;=0),AND(Dashboard!$P$3="Due in 30 days",Q30&gt;=-30,Q30&lt;=0),AND(Dashboard!$P$3="Overdue 1-60 days",Q30&gt;0,Q30&lt;=60),AND(Dashboard!$P$3="Over 60 days",Q30&gt;60),AND(Dashboard!$P$3="All overdue",Q30&gt;0)),1,0)</f>
        <v>1</v>
      </c>
      <c r="V30" s="1">
        <f t="shared" si="2"/>
        <v>58920259.57</v>
      </c>
      <c r="W30" s="1">
        <f t="shared" si="3"/>
        <v>0</v>
      </c>
      <c r="X30" s="1">
        <f>IF(V30&gt;0,COUNTIF($V$6:V30,"&gt;0"),"")</f>
        <v>25</v>
      </c>
      <c r="Y30" s="17" t="str">
        <f t="shared" si="4"/>
        <v>CAL-current-025|000025</v>
      </c>
      <c r="Z30" s="1"/>
      <c r="AA30" s="17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 t="s">
        <v>28</v>
      </c>
      <c r="B31" s="1" t="s">
        <v>86</v>
      </c>
      <c r="C31" s="1" t="s">
        <v>121</v>
      </c>
      <c r="D31" s="1" t="s">
        <v>122</v>
      </c>
      <c r="E31" s="4">
        <v>45753</v>
      </c>
      <c r="F31" s="4">
        <v>45783</v>
      </c>
      <c r="G31" s="5">
        <v>162464245.81</v>
      </c>
      <c r="H31" s="5">
        <v>30379493.120000001</v>
      </c>
      <c r="I31" s="5">
        <v>132084752.69</v>
      </c>
      <c r="J31" s="1" t="s">
        <v>25</v>
      </c>
      <c r="K31" s="1" t="s">
        <v>64</v>
      </c>
      <c r="L31" s="1" t="s">
        <v>70</v>
      </c>
      <c r="M31" s="1" t="s">
        <v>66</v>
      </c>
      <c r="N31" s="6"/>
      <c r="O31" s="6"/>
      <c r="P31" s="7" t="s">
        <v>67</v>
      </c>
      <c r="Q31" s="1">
        <f>IF(ISNUMBER(F31),Dashboard!$D$2-F31,"")</f>
        <v>-6</v>
      </c>
      <c r="R31" s="1">
        <f>IF(AND(OR(Dashboard!$P$1="All",A31=Dashboard!$P$1),OR(Dashboard!$P$2="All",J31=Dashboard!$P$2)),1,0)</f>
        <v>1</v>
      </c>
      <c r="S31" s="1">
        <f t="shared" si="0"/>
        <v>132084752.69</v>
      </c>
      <c r="T31" s="1">
        <f t="shared" si="1"/>
        <v>0</v>
      </c>
      <c r="U31" s="1">
        <f>IF(OR(Dashboard!$P$3="All",AND(Dashboard!$P$3="Not due",Q31&lt;0),AND(Dashboard!$P$3="Due in 10 days",Q31&gt;=-10,Q31&lt;=0),AND(Dashboard!$P$3="Due in 30 days",Q31&gt;=-30,Q31&lt;=0),AND(Dashboard!$P$3="Overdue 1-60 days",Q31&gt;0,Q31&lt;=60),AND(Dashboard!$P$3="Over 60 days",Q31&gt;60),AND(Dashboard!$P$3="All overdue",Q31&gt;0)),1,0)</f>
        <v>1</v>
      </c>
      <c r="V31" s="1">
        <f t="shared" si="2"/>
        <v>132084752.69</v>
      </c>
      <c r="W31" s="1">
        <f t="shared" si="3"/>
        <v>0</v>
      </c>
      <c r="X31" s="1">
        <f>IF(V31&gt;0,COUNTIF($V$6:V31,"&gt;0"),"")</f>
        <v>26</v>
      </c>
      <c r="Y31" s="17" t="str">
        <f t="shared" si="4"/>
        <v>CAL-current-026|000026</v>
      </c>
      <c r="Z31" s="1"/>
      <c r="AA31" s="17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 t="s">
        <v>28</v>
      </c>
      <c r="B32" s="1" t="s">
        <v>86</v>
      </c>
      <c r="C32" s="1" t="s">
        <v>123</v>
      </c>
      <c r="D32" s="1" t="s">
        <v>124</v>
      </c>
      <c r="E32" s="4">
        <v>45738</v>
      </c>
      <c r="F32" s="4">
        <v>45783</v>
      </c>
      <c r="G32" s="5">
        <v>189171809.06999999</v>
      </c>
      <c r="H32" s="5">
        <v>51090196.609999999</v>
      </c>
      <c r="I32" s="5">
        <v>138081612.46000001</v>
      </c>
      <c r="J32" s="1" t="s">
        <v>25</v>
      </c>
      <c r="K32" s="1" t="s">
        <v>64</v>
      </c>
      <c r="L32" s="1" t="s">
        <v>73</v>
      </c>
      <c r="M32" s="1" t="s">
        <v>66</v>
      </c>
      <c r="N32" s="6"/>
      <c r="O32" s="6"/>
      <c r="P32" s="7" t="s">
        <v>67</v>
      </c>
      <c r="Q32" s="1">
        <f>IF(ISNUMBER(F32),Dashboard!$D$2-F32,"")</f>
        <v>-6</v>
      </c>
      <c r="R32" s="1">
        <f>IF(AND(OR(Dashboard!$P$1="All",A32=Dashboard!$P$1),OR(Dashboard!$P$2="All",J32=Dashboard!$P$2)),1,0)</f>
        <v>1</v>
      </c>
      <c r="S32" s="1">
        <f t="shared" si="0"/>
        <v>138081612.46000001</v>
      </c>
      <c r="T32" s="1">
        <f t="shared" si="1"/>
        <v>0</v>
      </c>
      <c r="U32" s="1">
        <f>IF(OR(Dashboard!$P$3="All",AND(Dashboard!$P$3="Not due",Q32&lt;0),AND(Dashboard!$P$3="Due in 10 days",Q32&gt;=-10,Q32&lt;=0),AND(Dashboard!$P$3="Due in 30 days",Q32&gt;=-30,Q32&lt;=0),AND(Dashboard!$P$3="Overdue 1-60 days",Q32&gt;0,Q32&lt;=60),AND(Dashboard!$P$3="Over 60 days",Q32&gt;60),AND(Dashboard!$P$3="All overdue",Q32&gt;0)),1,0)</f>
        <v>1</v>
      </c>
      <c r="V32" s="1">
        <f t="shared" si="2"/>
        <v>138081612.46000001</v>
      </c>
      <c r="W32" s="1">
        <f t="shared" si="3"/>
        <v>0</v>
      </c>
      <c r="X32" s="1">
        <f>IF(V32&gt;0,COUNTIF($V$6:V32,"&gt;0"),"")</f>
        <v>27</v>
      </c>
      <c r="Y32" s="17" t="str">
        <f t="shared" si="4"/>
        <v>CAL-current-027|000027</v>
      </c>
      <c r="Z32" s="1"/>
      <c r="AA32" s="17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 t="s">
        <v>28</v>
      </c>
      <c r="B33" s="1" t="s">
        <v>86</v>
      </c>
      <c r="C33" s="1" t="s">
        <v>125</v>
      </c>
      <c r="D33" s="1" t="s">
        <v>126</v>
      </c>
      <c r="E33" s="4">
        <v>45753</v>
      </c>
      <c r="F33" s="4">
        <v>45783</v>
      </c>
      <c r="G33" s="5">
        <v>135867274.28999999</v>
      </c>
      <c r="H33" s="5">
        <v>25406075.68</v>
      </c>
      <c r="I33" s="5">
        <v>110461198.61</v>
      </c>
      <c r="J33" s="1" t="s">
        <v>25</v>
      </c>
      <c r="K33" s="1" t="s">
        <v>64</v>
      </c>
      <c r="L33" s="1" t="s">
        <v>76</v>
      </c>
      <c r="M33" s="1" t="s">
        <v>66</v>
      </c>
      <c r="N33" s="6"/>
      <c r="O33" s="6"/>
      <c r="P33" s="7" t="s">
        <v>67</v>
      </c>
      <c r="Q33" s="1">
        <f>IF(ISNUMBER(F33),Dashboard!$D$2-F33,"")</f>
        <v>-6</v>
      </c>
      <c r="R33" s="1">
        <f>IF(AND(OR(Dashboard!$P$1="All",A33=Dashboard!$P$1),OR(Dashboard!$P$2="All",J33=Dashboard!$P$2)),1,0)</f>
        <v>1</v>
      </c>
      <c r="S33" s="1">
        <f t="shared" si="0"/>
        <v>110461198.61</v>
      </c>
      <c r="T33" s="1">
        <f t="shared" si="1"/>
        <v>0</v>
      </c>
      <c r="U33" s="1">
        <f>IF(OR(Dashboard!$P$3="All",AND(Dashboard!$P$3="Not due",Q33&lt;0),AND(Dashboard!$P$3="Due in 10 days",Q33&gt;=-10,Q33&lt;=0),AND(Dashboard!$P$3="Due in 30 days",Q33&gt;=-30,Q33&lt;=0),AND(Dashboard!$P$3="Overdue 1-60 days",Q33&gt;0,Q33&lt;=60),AND(Dashboard!$P$3="Over 60 days",Q33&gt;60),AND(Dashboard!$P$3="All overdue",Q33&gt;0)),1,0)</f>
        <v>1</v>
      </c>
      <c r="V33" s="1">
        <f t="shared" si="2"/>
        <v>110461198.61</v>
      </c>
      <c r="W33" s="1">
        <f t="shared" si="3"/>
        <v>0</v>
      </c>
      <c r="X33" s="1">
        <f>IF(V33&gt;0,COUNTIF($V$6:V33,"&gt;0"),"")</f>
        <v>28</v>
      </c>
      <c r="Y33" s="17" t="str">
        <f t="shared" si="4"/>
        <v>CAL-current-028|000028</v>
      </c>
      <c r="Z33" s="1"/>
      <c r="AA33" s="17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 t="s">
        <v>28</v>
      </c>
      <c r="B34" s="1" t="s">
        <v>86</v>
      </c>
      <c r="C34" s="1" t="s">
        <v>127</v>
      </c>
      <c r="D34" s="1" t="s">
        <v>128</v>
      </c>
      <c r="E34" s="4">
        <v>45725</v>
      </c>
      <c r="F34" s="4">
        <v>45785</v>
      </c>
      <c r="G34" s="5">
        <v>76236552.510000005</v>
      </c>
      <c r="H34" s="5">
        <v>14255615.51</v>
      </c>
      <c r="I34" s="5">
        <v>61980937</v>
      </c>
      <c r="J34" s="1" t="s">
        <v>27</v>
      </c>
      <c r="K34" s="1" t="s">
        <v>64</v>
      </c>
      <c r="L34" s="1" t="s">
        <v>65</v>
      </c>
      <c r="M34" s="1" t="s">
        <v>66</v>
      </c>
      <c r="N34" s="6"/>
      <c r="O34" s="6"/>
      <c r="P34" s="7" t="s">
        <v>67</v>
      </c>
      <c r="Q34" s="1">
        <f>IF(ISNUMBER(F34),Dashboard!$D$2-F34,"")</f>
        <v>-8</v>
      </c>
      <c r="R34" s="1">
        <f>IF(AND(OR(Dashboard!$P$1="All",A34=Dashboard!$P$1),OR(Dashboard!$P$2="All",J34=Dashboard!$P$2)),1,0)</f>
        <v>1</v>
      </c>
      <c r="S34" s="1">
        <f t="shared" si="0"/>
        <v>61980937</v>
      </c>
      <c r="T34" s="1">
        <f t="shared" si="1"/>
        <v>0</v>
      </c>
      <c r="U34" s="1">
        <f>IF(OR(Dashboard!$P$3="All",AND(Dashboard!$P$3="Not due",Q34&lt;0),AND(Dashboard!$P$3="Due in 10 days",Q34&gt;=-10,Q34&lt;=0),AND(Dashboard!$P$3="Due in 30 days",Q34&gt;=-30,Q34&lt;=0),AND(Dashboard!$P$3="Overdue 1-60 days",Q34&gt;0,Q34&lt;=60),AND(Dashboard!$P$3="Over 60 days",Q34&gt;60),AND(Dashboard!$P$3="All overdue",Q34&gt;0)),1,0)</f>
        <v>1</v>
      </c>
      <c r="V34" s="1">
        <f t="shared" si="2"/>
        <v>61980937</v>
      </c>
      <c r="W34" s="1">
        <f t="shared" si="3"/>
        <v>0</v>
      </c>
      <c r="X34" s="1">
        <f>IF(V34&gt;0,COUNTIF($V$6:V34,"&gt;0"),"")</f>
        <v>29</v>
      </c>
      <c r="Y34" s="17" t="str">
        <f t="shared" si="4"/>
        <v>CAL-current-029|000029</v>
      </c>
      <c r="Z34" s="1"/>
      <c r="AA34" s="17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 t="s">
        <v>28</v>
      </c>
      <c r="B35" s="1" t="s">
        <v>86</v>
      </c>
      <c r="C35" s="1" t="s">
        <v>129</v>
      </c>
      <c r="D35" s="1" t="s">
        <v>130</v>
      </c>
      <c r="E35" s="4">
        <v>45745</v>
      </c>
      <c r="F35" s="4">
        <v>45805</v>
      </c>
      <c r="G35" s="5">
        <v>373288271.39999998</v>
      </c>
      <c r="H35" s="5">
        <v>100815080.59999999</v>
      </c>
      <c r="I35" s="5">
        <v>272473190.80000001</v>
      </c>
      <c r="J35" s="1" t="s">
        <v>25</v>
      </c>
      <c r="K35" s="1" t="s">
        <v>64</v>
      </c>
      <c r="L35" s="1" t="s">
        <v>70</v>
      </c>
      <c r="M35" s="1" t="s">
        <v>66</v>
      </c>
      <c r="N35" s="6"/>
      <c r="O35" s="6"/>
      <c r="P35" s="7" t="s">
        <v>67</v>
      </c>
      <c r="Q35" s="1">
        <f>IF(ISNUMBER(F35),Dashboard!$D$2-F35,"")</f>
        <v>-28</v>
      </c>
      <c r="R35" s="1">
        <f>IF(AND(OR(Dashboard!$P$1="All",A35=Dashboard!$P$1),OR(Dashboard!$P$2="All",J35=Dashboard!$P$2)),1,0)</f>
        <v>1</v>
      </c>
      <c r="S35" s="1">
        <f t="shared" si="0"/>
        <v>272473190.80000001</v>
      </c>
      <c r="T35" s="1">
        <f t="shared" si="1"/>
        <v>0</v>
      </c>
      <c r="U35" s="1">
        <f>IF(OR(Dashboard!$P$3="All",AND(Dashboard!$P$3="Not due",Q35&lt;0),AND(Dashboard!$P$3="Due in 10 days",Q35&gt;=-10,Q35&lt;=0),AND(Dashboard!$P$3="Due in 30 days",Q35&gt;=-30,Q35&lt;=0),AND(Dashboard!$P$3="Overdue 1-60 days",Q35&gt;0,Q35&lt;=60),AND(Dashboard!$P$3="Over 60 days",Q35&gt;60),AND(Dashboard!$P$3="All overdue",Q35&gt;0)),1,0)</f>
        <v>1</v>
      </c>
      <c r="V35" s="1">
        <f t="shared" si="2"/>
        <v>272473190.80000001</v>
      </c>
      <c r="W35" s="1">
        <f t="shared" si="3"/>
        <v>0</v>
      </c>
      <c r="X35" s="1">
        <f>IF(V35&gt;0,COUNTIF($V$6:V35,"&gt;0"),"")</f>
        <v>30</v>
      </c>
      <c r="Y35" s="17" t="str">
        <f t="shared" si="4"/>
        <v>CAL-current-030|000030</v>
      </c>
      <c r="Z35" s="1"/>
      <c r="AA35" s="17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 t="s">
        <v>28</v>
      </c>
      <c r="B36" s="1" t="s">
        <v>86</v>
      </c>
      <c r="C36" s="1" t="s">
        <v>131</v>
      </c>
      <c r="D36" s="1" t="s">
        <v>132</v>
      </c>
      <c r="E36" s="4">
        <v>45760</v>
      </c>
      <c r="F36" s="4">
        <v>45805</v>
      </c>
      <c r="G36" s="5">
        <v>132720716.26000001</v>
      </c>
      <c r="H36" s="5">
        <v>24817694.91</v>
      </c>
      <c r="I36" s="5">
        <v>107903021.34999999</v>
      </c>
      <c r="J36" s="1" t="s">
        <v>25</v>
      </c>
      <c r="K36" s="1" t="s">
        <v>64</v>
      </c>
      <c r="L36" s="1" t="s">
        <v>73</v>
      </c>
      <c r="M36" s="1" t="s">
        <v>66</v>
      </c>
      <c r="N36" s="6"/>
      <c r="O36" s="6"/>
      <c r="P36" s="7" t="s">
        <v>67</v>
      </c>
      <c r="Q36" s="1">
        <f>IF(ISNUMBER(F36),Dashboard!$D$2-F36,"")</f>
        <v>-28</v>
      </c>
      <c r="R36" s="1">
        <f>IF(AND(OR(Dashboard!$P$1="All",A36=Dashboard!$P$1),OR(Dashboard!$P$2="All",J36=Dashboard!$P$2)),1,0)</f>
        <v>1</v>
      </c>
      <c r="S36" s="1">
        <f t="shared" si="0"/>
        <v>107903021.34999999</v>
      </c>
      <c r="T36" s="1">
        <f t="shared" si="1"/>
        <v>0</v>
      </c>
      <c r="U36" s="1">
        <f>IF(OR(Dashboard!$P$3="All",AND(Dashboard!$P$3="Not due",Q36&lt;0),AND(Dashboard!$P$3="Due in 10 days",Q36&gt;=-10,Q36&lt;=0),AND(Dashboard!$P$3="Due in 30 days",Q36&gt;=-30,Q36&lt;=0),AND(Dashboard!$P$3="Overdue 1-60 days",Q36&gt;0,Q36&lt;=60),AND(Dashboard!$P$3="Over 60 days",Q36&gt;60),AND(Dashboard!$P$3="All overdue",Q36&gt;0)),1,0)</f>
        <v>1</v>
      </c>
      <c r="V36" s="1">
        <f t="shared" si="2"/>
        <v>107903021.34999999</v>
      </c>
      <c r="W36" s="1">
        <f t="shared" si="3"/>
        <v>0</v>
      </c>
      <c r="X36" s="1">
        <f>IF(V36&gt;0,COUNTIF($V$6:V36,"&gt;0"),"")</f>
        <v>31</v>
      </c>
      <c r="Y36" s="17" t="str">
        <f t="shared" si="4"/>
        <v>CAL-current-031|000031</v>
      </c>
      <c r="Z36" s="1"/>
      <c r="AA36" s="17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 t="s">
        <v>28</v>
      </c>
      <c r="B37" s="1" t="s">
        <v>86</v>
      </c>
      <c r="C37" s="1" t="s">
        <v>133</v>
      </c>
      <c r="D37" s="1" t="s">
        <v>134</v>
      </c>
      <c r="E37" s="4">
        <v>45775</v>
      </c>
      <c r="F37" s="4">
        <v>45805</v>
      </c>
      <c r="G37" s="5">
        <v>148718861.59</v>
      </c>
      <c r="H37" s="5">
        <v>15934163.74</v>
      </c>
      <c r="I37" s="5">
        <v>132784697.84999999</v>
      </c>
      <c r="J37" s="1" t="s">
        <v>25</v>
      </c>
      <c r="K37" s="1" t="s">
        <v>64</v>
      </c>
      <c r="L37" s="1" t="s">
        <v>76</v>
      </c>
      <c r="M37" s="1" t="s">
        <v>66</v>
      </c>
      <c r="N37" s="6"/>
      <c r="O37" s="6"/>
      <c r="P37" s="7" t="s">
        <v>67</v>
      </c>
      <c r="Q37" s="1">
        <f>IF(ISNUMBER(F37),Dashboard!$D$2-F37,"")</f>
        <v>-28</v>
      </c>
      <c r="R37" s="1">
        <f>IF(AND(OR(Dashboard!$P$1="All",A37=Dashboard!$P$1),OR(Dashboard!$P$2="All",J37=Dashboard!$P$2)),1,0)</f>
        <v>1</v>
      </c>
      <c r="S37" s="1">
        <f t="shared" si="0"/>
        <v>132784697.84999999</v>
      </c>
      <c r="T37" s="1">
        <f t="shared" si="1"/>
        <v>0</v>
      </c>
      <c r="U37" s="1">
        <f>IF(OR(Dashboard!$P$3="All",AND(Dashboard!$P$3="Not due",Q37&lt;0),AND(Dashboard!$P$3="Due in 10 days",Q37&gt;=-10,Q37&lt;=0),AND(Dashboard!$P$3="Due in 30 days",Q37&gt;=-30,Q37&lt;=0),AND(Dashboard!$P$3="Overdue 1-60 days",Q37&gt;0,Q37&lt;=60),AND(Dashboard!$P$3="Over 60 days",Q37&gt;60),AND(Dashboard!$P$3="All overdue",Q37&gt;0)),1,0)</f>
        <v>1</v>
      </c>
      <c r="V37" s="1">
        <f t="shared" si="2"/>
        <v>132784697.84999999</v>
      </c>
      <c r="W37" s="1">
        <f t="shared" si="3"/>
        <v>0</v>
      </c>
      <c r="X37" s="1">
        <f>IF(V37&gt;0,COUNTIF($V$6:V37,"&gt;0"),"")</f>
        <v>32</v>
      </c>
      <c r="Y37" s="17" t="str">
        <f t="shared" si="4"/>
        <v>CAL-current-032|000032</v>
      </c>
      <c r="Z37" s="1"/>
      <c r="AA37" s="17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 t="s">
        <v>28</v>
      </c>
      <c r="B38" s="1" t="s">
        <v>86</v>
      </c>
      <c r="C38" s="1" t="s">
        <v>135</v>
      </c>
      <c r="D38" s="1" t="s">
        <v>136</v>
      </c>
      <c r="E38" s="4">
        <v>45793</v>
      </c>
      <c r="F38" s="4">
        <v>45823</v>
      </c>
      <c r="G38" s="5">
        <v>49067617.259999998</v>
      </c>
      <c r="H38" s="5">
        <v>5257244.71</v>
      </c>
      <c r="I38" s="5">
        <v>43810372.549999997</v>
      </c>
      <c r="J38" s="1" t="s">
        <v>25</v>
      </c>
      <c r="K38" s="1" t="s">
        <v>64</v>
      </c>
      <c r="L38" s="1" t="s">
        <v>65</v>
      </c>
      <c r="M38" s="1" t="s">
        <v>66</v>
      </c>
      <c r="N38" s="6"/>
      <c r="O38" s="6"/>
      <c r="P38" s="7" t="s">
        <v>67</v>
      </c>
      <c r="Q38" s="1">
        <f>IF(ISNUMBER(F38),Dashboard!$D$2-F38,"")</f>
        <v>-46</v>
      </c>
      <c r="R38" s="1">
        <f>IF(AND(OR(Dashboard!$P$1="All",A38=Dashboard!$P$1),OR(Dashboard!$P$2="All",J38=Dashboard!$P$2)),1,0)</f>
        <v>1</v>
      </c>
      <c r="S38" s="1">
        <f t="shared" ref="S38:S69" si="5">I38*R38</f>
        <v>43810372.549999997</v>
      </c>
      <c r="T38" s="1">
        <f t="shared" ref="T38:T69" si="6">IF(AND(ISNUMBER(Q38),Q38&gt;0),S38,0)</f>
        <v>0</v>
      </c>
      <c r="U38" s="1">
        <f>IF(OR(Dashboard!$P$3="All",AND(Dashboard!$P$3="Not due",Q38&lt;0),AND(Dashboard!$P$3="Due in 10 days",Q38&gt;=-10,Q38&lt;=0),AND(Dashboard!$P$3="Due in 30 days",Q38&gt;=-30,Q38&lt;=0),AND(Dashboard!$P$3="Overdue 1-60 days",Q38&gt;0,Q38&lt;=60),AND(Dashboard!$P$3="Over 60 days",Q38&gt;60),AND(Dashboard!$P$3="All overdue",Q38&gt;0)),1,0)</f>
        <v>1</v>
      </c>
      <c r="V38" s="1">
        <f t="shared" ref="V38:V69" si="7">S38*U38</f>
        <v>43810372.549999997</v>
      </c>
      <c r="W38" s="1">
        <f t="shared" ref="W38:W69" si="8">IF(Q38&gt;0,T38*Q38,0)</f>
        <v>0</v>
      </c>
      <c r="X38" s="1">
        <f>IF(V38&gt;0,COUNTIF($V$6:V38,"&gt;0"),"")</f>
        <v>33</v>
      </c>
      <c r="Y38" s="17" t="str">
        <f t="shared" ref="Y38:Y69" si="9">C38&amp;"|"&amp;D38</f>
        <v>CAL-current-033|000033</v>
      </c>
      <c r="Z38" s="1"/>
      <c r="AA38" s="17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 t="s">
        <v>28</v>
      </c>
      <c r="B39" s="1" t="s">
        <v>86</v>
      </c>
      <c r="C39" s="1" t="s">
        <v>137</v>
      </c>
      <c r="D39" s="1" t="s">
        <v>138</v>
      </c>
      <c r="E39" s="4">
        <v>45793</v>
      </c>
      <c r="F39" s="4">
        <v>45823</v>
      </c>
      <c r="G39" s="5">
        <v>99725946.769999996</v>
      </c>
      <c r="H39" s="5">
        <v>18647941.27</v>
      </c>
      <c r="I39" s="5">
        <v>81078005.5</v>
      </c>
      <c r="J39" s="1" t="s">
        <v>25</v>
      </c>
      <c r="K39" s="1" t="s">
        <v>64</v>
      </c>
      <c r="L39" s="1" t="s">
        <v>70</v>
      </c>
      <c r="M39" s="1" t="s">
        <v>66</v>
      </c>
      <c r="N39" s="6"/>
      <c r="O39" s="6"/>
      <c r="P39" s="7" t="s">
        <v>67</v>
      </c>
      <c r="Q39" s="1">
        <f>IF(ISNUMBER(F39),Dashboard!$D$2-F39,"")</f>
        <v>-46</v>
      </c>
      <c r="R39" s="1">
        <f>IF(AND(OR(Dashboard!$P$1="All",A39=Dashboard!$P$1),OR(Dashboard!$P$2="All",J39=Dashboard!$P$2)),1,0)</f>
        <v>1</v>
      </c>
      <c r="S39" s="1">
        <f t="shared" si="5"/>
        <v>81078005.5</v>
      </c>
      <c r="T39" s="1">
        <f t="shared" si="6"/>
        <v>0</v>
      </c>
      <c r="U39" s="1">
        <f>IF(OR(Dashboard!$P$3="All",AND(Dashboard!$P$3="Not due",Q39&lt;0),AND(Dashboard!$P$3="Due in 10 days",Q39&gt;=-10,Q39&lt;=0),AND(Dashboard!$P$3="Due in 30 days",Q39&gt;=-30,Q39&lt;=0),AND(Dashboard!$P$3="Overdue 1-60 days",Q39&gt;0,Q39&lt;=60),AND(Dashboard!$P$3="Over 60 days",Q39&gt;60),AND(Dashboard!$P$3="All overdue",Q39&gt;0)),1,0)</f>
        <v>1</v>
      </c>
      <c r="V39" s="1">
        <f t="shared" si="7"/>
        <v>81078005.5</v>
      </c>
      <c r="W39" s="1">
        <f t="shared" si="8"/>
        <v>0</v>
      </c>
      <c r="X39" s="1">
        <f>IF(V39&gt;0,COUNTIF($V$6:V39,"&gt;0"),"")</f>
        <v>34</v>
      </c>
      <c r="Y39" s="17" t="str">
        <f t="shared" si="9"/>
        <v>CAL-current-034|000034</v>
      </c>
      <c r="Z39" s="1"/>
      <c r="AA39" s="17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 t="s">
        <v>28</v>
      </c>
      <c r="B40" s="1" t="s">
        <v>86</v>
      </c>
      <c r="C40" s="1" t="s">
        <v>139</v>
      </c>
      <c r="D40" s="1" t="s">
        <v>140</v>
      </c>
      <c r="E40" s="4">
        <v>45763</v>
      </c>
      <c r="F40" s="4">
        <v>45823</v>
      </c>
      <c r="G40" s="5">
        <v>97503930.040000007</v>
      </c>
      <c r="H40" s="5">
        <v>18232442.199999999</v>
      </c>
      <c r="I40" s="5">
        <v>79271487.840000004</v>
      </c>
      <c r="J40" s="1" t="s">
        <v>25</v>
      </c>
      <c r="K40" s="1" t="s">
        <v>64</v>
      </c>
      <c r="L40" s="1" t="s">
        <v>73</v>
      </c>
      <c r="M40" s="1" t="s">
        <v>66</v>
      </c>
      <c r="N40" s="6"/>
      <c r="O40" s="6"/>
      <c r="P40" s="7" t="s">
        <v>67</v>
      </c>
      <c r="Q40" s="1">
        <f>IF(ISNUMBER(F40),Dashboard!$D$2-F40,"")</f>
        <v>-46</v>
      </c>
      <c r="R40" s="1">
        <f>IF(AND(OR(Dashboard!$P$1="All",A40=Dashboard!$P$1),OR(Dashboard!$P$2="All",J40=Dashboard!$P$2)),1,0)</f>
        <v>1</v>
      </c>
      <c r="S40" s="1">
        <f t="shared" si="5"/>
        <v>79271487.840000004</v>
      </c>
      <c r="T40" s="1">
        <f t="shared" si="6"/>
        <v>0</v>
      </c>
      <c r="U40" s="1">
        <f>IF(OR(Dashboard!$P$3="All",AND(Dashboard!$P$3="Not due",Q40&lt;0),AND(Dashboard!$P$3="Due in 10 days",Q40&gt;=-10,Q40&lt;=0),AND(Dashboard!$P$3="Due in 30 days",Q40&gt;=-30,Q40&lt;=0),AND(Dashboard!$P$3="Overdue 1-60 days",Q40&gt;0,Q40&lt;=60),AND(Dashboard!$P$3="Over 60 days",Q40&gt;60),AND(Dashboard!$P$3="All overdue",Q40&gt;0)),1,0)</f>
        <v>1</v>
      </c>
      <c r="V40" s="1">
        <f t="shared" si="7"/>
        <v>79271487.840000004</v>
      </c>
      <c r="W40" s="1">
        <f t="shared" si="8"/>
        <v>0</v>
      </c>
      <c r="X40" s="1">
        <f>IF(V40&gt;0,COUNTIF($V$6:V40,"&gt;0"),"")</f>
        <v>35</v>
      </c>
      <c r="Y40" s="17" t="str">
        <f t="shared" si="9"/>
        <v>CAL-current-035|000035</v>
      </c>
      <c r="Z40" s="1"/>
      <c r="AA40" s="17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 t="s">
        <v>28</v>
      </c>
      <c r="B41" s="1" t="s">
        <v>86</v>
      </c>
      <c r="C41" s="1" t="s">
        <v>141</v>
      </c>
      <c r="D41" s="1" t="s">
        <v>142</v>
      </c>
      <c r="E41" s="4">
        <v>45793</v>
      </c>
      <c r="F41" s="4">
        <v>45823</v>
      </c>
      <c r="G41" s="5">
        <v>96106325.629999995</v>
      </c>
      <c r="H41" s="5">
        <v>17971101.539999999</v>
      </c>
      <c r="I41" s="5">
        <v>78135224.090000004</v>
      </c>
      <c r="J41" s="1" t="s">
        <v>25</v>
      </c>
      <c r="K41" s="1" t="s">
        <v>64</v>
      </c>
      <c r="L41" s="1" t="s">
        <v>76</v>
      </c>
      <c r="M41" s="1" t="s">
        <v>66</v>
      </c>
      <c r="N41" s="6"/>
      <c r="O41" s="6"/>
      <c r="P41" s="7" t="s">
        <v>67</v>
      </c>
      <c r="Q41" s="1">
        <f>IF(ISNUMBER(F41),Dashboard!$D$2-F41,"")</f>
        <v>-46</v>
      </c>
      <c r="R41" s="1">
        <f>IF(AND(OR(Dashboard!$P$1="All",A41=Dashboard!$P$1),OR(Dashboard!$P$2="All",J41=Dashboard!$P$2)),1,0)</f>
        <v>1</v>
      </c>
      <c r="S41" s="1">
        <f t="shared" si="5"/>
        <v>78135224.090000004</v>
      </c>
      <c r="T41" s="1">
        <f t="shared" si="6"/>
        <v>0</v>
      </c>
      <c r="U41" s="1">
        <f>IF(OR(Dashboard!$P$3="All",AND(Dashboard!$P$3="Not due",Q41&lt;0),AND(Dashboard!$P$3="Due in 10 days",Q41&gt;=-10,Q41&lt;=0),AND(Dashboard!$P$3="Due in 30 days",Q41&gt;=-30,Q41&lt;=0),AND(Dashboard!$P$3="Overdue 1-60 days",Q41&gt;0,Q41&lt;=60),AND(Dashboard!$P$3="Over 60 days",Q41&gt;60),AND(Dashboard!$P$3="All overdue",Q41&gt;0)),1,0)</f>
        <v>1</v>
      </c>
      <c r="V41" s="1">
        <f t="shared" si="7"/>
        <v>78135224.090000004</v>
      </c>
      <c r="W41" s="1">
        <f t="shared" si="8"/>
        <v>0</v>
      </c>
      <c r="X41" s="1">
        <f>IF(V41&gt;0,COUNTIF($V$6:V41,"&gt;0"),"")</f>
        <v>36</v>
      </c>
      <c r="Y41" s="17" t="str">
        <f t="shared" si="9"/>
        <v>CAL-current-036|000036</v>
      </c>
      <c r="Z41" s="1"/>
      <c r="AA41" s="17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 t="s">
        <v>28</v>
      </c>
      <c r="B42" s="1" t="s">
        <v>86</v>
      </c>
      <c r="C42" s="1" t="s">
        <v>143</v>
      </c>
      <c r="D42" s="1" t="s">
        <v>144</v>
      </c>
      <c r="E42" s="4">
        <v>45763</v>
      </c>
      <c r="F42" s="4">
        <v>45823</v>
      </c>
      <c r="G42" s="5">
        <v>87302703.920000002</v>
      </c>
      <c r="H42" s="5">
        <v>9353861.1300000008</v>
      </c>
      <c r="I42" s="5">
        <v>77948842.790000007</v>
      </c>
      <c r="J42" s="1" t="s">
        <v>25</v>
      </c>
      <c r="K42" s="1" t="s">
        <v>64</v>
      </c>
      <c r="L42" s="1" t="s">
        <v>65</v>
      </c>
      <c r="M42" s="1" t="s">
        <v>66</v>
      </c>
      <c r="N42" s="6"/>
      <c r="O42" s="6"/>
      <c r="P42" s="7" t="s">
        <v>67</v>
      </c>
      <c r="Q42" s="1">
        <f>IF(ISNUMBER(F42),Dashboard!$D$2-F42,"")</f>
        <v>-46</v>
      </c>
      <c r="R42" s="1">
        <f>IF(AND(OR(Dashboard!$P$1="All",A42=Dashboard!$P$1),OR(Dashboard!$P$2="All",J42=Dashboard!$P$2)),1,0)</f>
        <v>1</v>
      </c>
      <c r="S42" s="1">
        <f t="shared" si="5"/>
        <v>77948842.790000007</v>
      </c>
      <c r="T42" s="1">
        <f t="shared" si="6"/>
        <v>0</v>
      </c>
      <c r="U42" s="1">
        <f>IF(OR(Dashboard!$P$3="All",AND(Dashboard!$P$3="Not due",Q42&lt;0),AND(Dashboard!$P$3="Due in 10 days",Q42&gt;=-10,Q42&lt;=0),AND(Dashboard!$P$3="Due in 30 days",Q42&gt;=-30,Q42&lt;=0),AND(Dashboard!$P$3="Overdue 1-60 days",Q42&gt;0,Q42&lt;=60),AND(Dashboard!$P$3="Over 60 days",Q42&gt;60),AND(Dashboard!$P$3="All overdue",Q42&gt;0)),1,0)</f>
        <v>1</v>
      </c>
      <c r="V42" s="1">
        <f t="shared" si="7"/>
        <v>77948842.790000007</v>
      </c>
      <c r="W42" s="1">
        <f t="shared" si="8"/>
        <v>0</v>
      </c>
      <c r="X42" s="1">
        <f>IF(V42&gt;0,COUNTIF($V$6:V42,"&gt;0"),"")</f>
        <v>37</v>
      </c>
      <c r="Y42" s="17" t="str">
        <f t="shared" si="9"/>
        <v>CAL-current-037|000037</v>
      </c>
      <c r="Z42" s="1"/>
      <c r="AA42" s="17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 t="s">
        <v>28</v>
      </c>
      <c r="B43" s="1" t="s">
        <v>86</v>
      </c>
      <c r="C43" s="1" t="s">
        <v>145</v>
      </c>
      <c r="D43" s="1" t="s">
        <v>146</v>
      </c>
      <c r="E43" s="4">
        <v>45763</v>
      </c>
      <c r="F43" s="4">
        <v>45823</v>
      </c>
      <c r="G43" s="5">
        <v>42375383.789999999</v>
      </c>
      <c r="H43" s="5">
        <v>4540219.6900000004</v>
      </c>
      <c r="I43" s="5">
        <v>37835164.100000001</v>
      </c>
      <c r="J43" s="1" t="s">
        <v>25</v>
      </c>
      <c r="K43" s="1" t="s">
        <v>64</v>
      </c>
      <c r="L43" s="1" t="s">
        <v>70</v>
      </c>
      <c r="M43" s="1" t="s">
        <v>66</v>
      </c>
      <c r="N43" s="6"/>
      <c r="O43" s="6"/>
      <c r="P43" s="7" t="s">
        <v>67</v>
      </c>
      <c r="Q43" s="1">
        <f>IF(ISNUMBER(F43),Dashboard!$D$2-F43,"")</f>
        <v>-46</v>
      </c>
      <c r="R43" s="1">
        <f>IF(AND(OR(Dashboard!$P$1="All",A43=Dashboard!$P$1),OR(Dashboard!$P$2="All",J43=Dashboard!$P$2)),1,0)</f>
        <v>1</v>
      </c>
      <c r="S43" s="1">
        <f t="shared" si="5"/>
        <v>37835164.100000001</v>
      </c>
      <c r="T43" s="1">
        <f t="shared" si="6"/>
        <v>0</v>
      </c>
      <c r="U43" s="1">
        <f>IF(OR(Dashboard!$P$3="All",AND(Dashboard!$P$3="Not due",Q43&lt;0),AND(Dashboard!$P$3="Due in 10 days",Q43&gt;=-10,Q43&lt;=0),AND(Dashboard!$P$3="Due in 30 days",Q43&gt;=-30,Q43&lt;=0),AND(Dashboard!$P$3="Overdue 1-60 days",Q43&gt;0,Q43&lt;=60),AND(Dashboard!$P$3="Over 60 days",Q43&gt;60),AND(Dashboard!$P$3="All overdue",Q43&gt;0)),1,0)</f>
        <v>1</v>
      </c>
      <c r="V43" s="1">
        <f t="shared" si="7"/>
        <v>37835164.100000001</v>
      </c>
      <c r="W43" s="1">
        <f t="shared" si="8"/>
        <v>0</v>
      </c>
      <c r="X43" s="1">
        <f>IF(V43&gt;0,COUNTIF($V$6:V43,"&gt;0"),"")</f>
        <v>38</v>
      </c>
      <c r="Y43" s="17" t="str">
        <f t="shared" si="9"/>
        <v>CAL-current-038|000038</v>
      </c>
      <c r="Z43" s="1"/>
      <c r="AA43" s="17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 t="s">
        <v>28</v>
      </c>
      <c r="B44" s="1" t="s">
        <v>86</v>
      </c>
      <c r="C44" s="1" t="s">
        <v>147</v>
      </c>
      <c r="D44" s="1" t="s">
        <v>148</v>
      </c>
      <c r="E44" s="4">
        <v>45778</v>
      </c>
      <c r="F44" s="4">
        <v>45823</v>
      </c>
      <c r="G44" s="5">
        <v>54381970.43</v>
      </c>
      <c r="H44" s="5">
        <v>10168986.34</v>
      </c>
      <c r="I44" s="5">
        <v>44212984.090000004</v>
      </c>
      <c r="J44" s="1" t="s">
        <v>25</v>
      </c>
      <c r="K44" s="1" t="s">
        <v>64</v>
      </c>
      <c r="L44" s="1" t="s">
        <v>73</v>
      </c>
      <c r="M44" s="1" t="s">
        <v>66</v>
      </c>
      <c r="N44" s="6"/>
      <c r="O44" s="6"/>
      <c r="P44" s="7" t="s">
        <v>67</v>
      </c>
      <c r="Q44" s="1">
        <f>IF(ISNUMBER(F44),Dashboard!$D$2-F44,"")</f>
        <v>-46</v>
      </c>
      <c r="R44" s="1">
        <f>IF(AND(OR(Dashboard!$P$1="All",A44=Dashboard!$P$1),OR(Dashboard!$P$2="All",J44=Dashboard!$P$2)),1,0)</f>
        <v>1</v>
      </c>
      <c r="S44" s="1">
        <f t="shared" si="5"/>
        <v>44212984.090000004</v>
      </c>
      <c r="T44" s="1">
        <f t="shared" si="6"/>
        <v>0</v>
      </c>
      <c r="U44" s="1">
        <f>IF(OR(Dashboard!$P$3="All",AND(Dashboard!$P$3="Not due",Q44&lt;0),AND(Dashboard!$P$3="Due in 10 days",Q44&gt;=-10,Q44&lt;=0),AND(Dashboard!$P$3="Due in 30 days",Q44&gt;=-30,Q44&lt;=0),AND(Dashboard!$P$3="Overdue 1-60 days",Q44&gt;0,Q44&lt;=60),AND(Dashboard!$P$3="Over 60 days",Q44&gt;60),AND(Dashboard!$P$3="All overdue",Q44&gt;0)),1,0)</f>
        <v>1</v>
      </c>
      <c r="V44" s="1">
        <f t="shared" si="7"/>
        <v>44212984.090000004</v>
      </c>
      <c r="W44" s="1">
        <f t="shared" si="8"/>
        <v>0</v>
      </c>
      <c r="X44" s="1">
        <f>IF(V44&gt;0,COUNTIF($V$6:V44,"&gt;0"),"")</f>
        <v>39</v>
      </c>
      <c r="Y44" s="17" t="str">
        <f t="shared" si="9"/>
        <v>CAL-current-039|000039</v>
      </c>
      <c r="Z44" s="1"/>
      <c r="AA44" s="17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 t="s">
        <v>28</v>
      </c>
      <c r="B45" s="1" t="s">
        <v>86</v>
      </c>
      <c r="C45" s="1" t="s">
        <v>149</v>
      </c>
      <c r="D45" s="1" t="s">
        <v>150</v>
      </c>
      <c r="E45" s="4">
        <v>45763</v>
      </c>
      <c r="F45" s="4">
        <v>45823</v>
      </c>
      <c r="G45" s="5">
        <v>73730797.810000002</v>
      </c>
      <c r="H45" s="5">
        <v>19912697.219999999</v>
      </c>
      <c r="I45" s="5">
        <v>53818100.590000004</v>
      </c>
      <c r="J45" s="1" t="s">
        <v>25</v>
      </c>
      <c r="K45" s="1" t="s">
        <v>64</v>
      </c>
      <c r="L45" s="1" t="s">
        <v>76</v>
      </c>
      <c r="M45" s="1" t="s">
        <v>66</v>
      </c>
      <c r="N45" s="6"/>
      <c r="O45" s="6"/>
      <c r="P45" s="7" t="s">
        <v>67</v>
      </c>
      <c r="Q45" s="1">
        <f>IF(ISNUMBER(F45),Dashboard!$D$2-F45,"")</f>
        <v>-46</v>
      </c>
      <c r="R45" s="1">
        <f>IF(AND(OR(Dashboard!$P$1="All",A45=Dashboard!$P$1),OR(Dashboard!$P$2="All",J45=Dashboard!$P$2)),1,0)</f>
        <v>1</v>
      </c>
      <c r="S45" s="1">
        <f t="shared" si="5"/>
        <v>53818100.590000004</v>
      </c>
      <c r="T45" s="1">
        <f t="shared" si="6"/>
        <v>0</v>
      </c>
      <c r="U45" s="1">
        <f>IF(OR(Dashboard!$P$3="All",AND(Dashboard!$P$3="Not due",Q45&lt;0),AND(Dashboard!$P$3="Due in 10 days",Q45&gt;=-10,Q45&lt;=0),AND(Dashboard!$P$3="Due in 30 days",Q45&gt;=-30,Q45&lt;=0),AND(Dashboard!$P$3="Overdue 1-60 days",Q45&gt;0,Q45&lt;=60),AND(Dashboard!$P$3="Over 60 days",Q45&gt;60),AND(Dashboard!$P$3="All overdue",Q45&gt;0)),1,0)</f>
        <v>1</v>
      </c>
      <c r="V45" s="1">
        <f t="shared" si="7"/>
        <v>53818100.590000004</v>
      </c>
      <c r="W45" s="1">
        <f t="shared" si="8"/>
        <v>0</v>
      </c>
      <c r="X45" s="1">
        <f>IF(V45&gt;0,COUNTIF($V$6:V45,"&gt;0"),"")</f>
        <v>40</v>
      </c>
      <c r="Y45" s="17" t="str">
        <f t="shared" si="9"/>
        <v>CAL-current-040|000040</v>
      </c>
      <c r="Z45" s="1"/>
      <c r="AA45" s="17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 t="s">
        <v>28</v>
      </c>
      <c r="B46" s="1" t="s">
        <v>86</v>
      </c>
      <c r="C46" s="1" t="s">
        <v>151</v>
      </c>
      <c r="D46" s="1" t="s">
        <v>152</v>
      </c>
      <c r="E46" s="4">
        <v>45778</v>
      </c>
      <c r="F46" s="4">
        <v>45823</v>
      </c>
      <c r="G46" s="5">
        <v>39242462.210000001</v>
      </c>
      <c r="H46" s="5">
        <v>4204549.5199999996</v>
      </c>
      <c r="I46" s="5">
        <v>35037912.689999998</v>
      </c>
      <c r="J46" s="1" t="s">
        <v>25</v>
      </c>
      <c r="K46" s="1" t="s">
        <v>64</v>
      </c>
      <c r="L46" s="1" t="s">
        <v>65</v>
      </c>
      <c r="M46" s="1" t="s">
        <v>66</v>
      </c>
      <c r="N46" s="6"/>
      <c r="O46" s="6"/>
      <c r="P46" s="7" t="s">
        <v>67</v>
      </c>
      <c r="Q46" s="1">
        <f>IF(ISNUMBER(F46),Dashboard!$D$2-F46,"")</f>
        <v>-46</v>
      </c>
      <c r="R46" s="1">
        <f>IF(AND(OR(Dashboard!$P$1="All",A46=Dashboard!$P$1),OR(Dashboard!$P$2="All",J46=Dashboard!$P$2)),1,0)</f>
        <v>1</v>
      </c>
      <c r="S46" s="1">
        <f t="shared" si="5"/>
        <v>35037912.689999998</v>
      </c>
      <c r="T46" s="1">
        <f t="shared" si="6"/>
        <v>0</v>
      </c>
      <c r="U46" s="1">
        <f>IF(OR(Dashboard!$P$3="All",AND(Dashboard!$P$3="Not due",Q46&lt;0),AND(Dashboard!$P$3="Due in 10 days",Q46&gt;=-10,Q46&lt;=0),AND(Dashboard!$P$3="Due in 30 days",Q46&gt;=-30,Q46&lt;=0),AND(Dashboard!$P$3="Overdue 1-60 days",Q46&gt;0,Q46&lt;=60),AND(Dashboard!$P$3="Over 60 days",Q46&gt;60),AND(Dashboard!$P$3="All overdue",Q46&gt;0)),1,0)</f>
        <v>1</v>
      </c>
      <c r="V46" s="1">
        <f t="shared" si="7"/>
        <v>35037912.689999998</v>
      </c>
      <c r="W46" s="1">
        <f t="shared" si="8"/>
        <v>0</v>
      </c>
      <c r="X46" s="1">
        <f>IF(V46&gt;0,COUNTIF($V$6:V46,"&gt;0"),"")</f>
        <v>41</v>
      </c>
      <c r="Y46" s="17" t="str">
        <f t="shared" si="9"/>
        <v>CAL-current-041|000041</v>
      </c>
      <c r="Z46" s="1"/>
      <c r="AA46" s="17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 t="s">
        <v>28</v>
      </c>
      <c r="B47" s="1" t="s">
        <v>86</v>
      </c>
      <c r="C47" s="1" t="s">
        <v>153</v>
      </c>
      <c r="D47" s="1" t="s">
        <v>154</v>
      </c>
      <c r="E47" s="4">
        <v>45763</v>
      </c>
      <c r="F47" s="4">
        <v>45823</v>
      </c>
      <c r="G47" s="5">
        <v>54220462.850000001</v>
      </c>
      <c r="H47" s="5">
        <v>10138785.74</v>
      </c>
      <c r="I47" s="5">
        <v>44081677.109999999</v>
      </c>
      <c r="J47" s="1" t="s">
        <v>25</v>
      </c>
      <c r="K47" s="1" t="s">
        <v>64</v>
      </c>
      <c r="L47" s="1" t="s">
        <v>70</v>
      </c>
      <c r="M47" s="1" t="s">
        <v>66</v>
      </c>
      <c r="N47" s="6"/>
      <c r="O47" s="6"/>
      <c r="P47" s="7" t="s">
        <v>67</v>
      </c>
      <c r="Q47" s="1">
        <f>IF(ISNUMBER(F47),Dashboard!$D$2-F47,"")</f>
        <v>-46</v>
      </c>
      <c r="R47" s="1">
        <f>IF(AND(OR(Dashboard!$P$1="All",A47=Dashboard!$P$1),OR(Dashboard!$P$2="All",J47=Dashboard!$P$2)),1,0)</f>
        <v>1</v>
      </c>
      <c r="S47" s="1">
        <f t="shared" si="5"/>
        <v>44081677.109999999</v>
      </c>
      <c r="T47" s="1">
        <f t="shared" si="6"/>
        <v>0</v>
      </c>
      <c r="U47" s="1">
        <f>IF(OR(Dashboard!$P$3="All",AND(Dashboard!$P$3="Not due",Q47&lt;0),AND(Dashboard!$P$3="Due in 10 days",Q47&gt;=-10,Q47&lt;=0),AND(Dashboard!$P$3="Due in 30 days",Q47&gt;=-30,Q47&lt;=0),AND(Dashboard!$P$3="Overdue 1-60 days",Q47&gt;0,Q47&lt;=60),AND(Dashboard!$P$3="Over 60 days",Q47&gt;60),AND(Dashboard!$P$3="All overdue",Q47&gt;0)),1,0)</f>
        <v>1</v>
      </c>
      <c r="V47" s="1">
        <f t="shared" si="7"/>
        <v>44081677.109999999</v>
      </c>
      <c r="W47" s="1">
        <f t="shared" si="8"/>
        <v>0</v>
      </c>
      <c r="X47" s="1">
        <f>IF(V47&gt;0,COUNTIF($V$6:V47,"&gt;0"),"")</f>
        <v>42</v>
      </c>
      <c r="Y47" s="17" t="str">
        <f t="shared" si="9"/>
        <v>CAL-current-042|000042</v>
      </c>
      <c r="Z47" s="1"/>
      <c r="AA47" s="17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 t="s">
        <v>28</v>
      </c>
      <c r="B48" s="1" t="s">
        <v>86</v>
      </c>
      <c r="C48" s="1" t="s">
        <v>155</v>
      </c>
      <c r="D48" s="1" t="s">
        <v>156</v>
      </c>
      <c r="E48" s="4">
        <v>45778</v>
      </c>
      <c r="F48" s="4">
        <v>45823</v>
      </c>
      <c r="G48" s="5">
        <v>87898956.859999999</v>
      </c>
      <c r="H48" s="5">
        <v>9417745.3800000008</v>
      </c>
      <c r="I48" s="5">
        <v>78481211.480000004</v>
      </c>
      <c r="J48" s="1" t="s">
        <v>25</v>
      </c>
      <c r="K48" s="1" t="s">
        <v>64</v>
      </c>
      <c r="L48" s="1" t="s">
        <v>73</v>
      </c>
      <c r="M48" s="1" t="s">
        <v>66</v>
      </c>
      <c r="N48" s="6"/>
      <c r="O48" s="6"/>
      <c r="P48" s="7" t="s">
        <v>67</v>
      </c>
      <c r="Q48" s="1">
        <f>IF(ISNUMBER(F48),Dashboard!$D$2-F48,"")</f>
        <v>-46</v>
      </c>
      <c r="R48" s="1">
        <f>IF(AND(OR(Dashboard!$P$1="All",A48=Dashboard!$P$1),OR(Dashboard!$P$2="All",J48=Dashboard!$P$2)),1,0)</f>
        <v>1</v>
      </c>
      <c r="S48" s="1">
        <f t="shared" si="5"/>
        <v>78481211.480000004</v>
      </c>
      <c r="T48" s="1">
        <f t="shared" si="6"/>
        <v>0</v>
      </c>
      <c r="U48" s="1">
        <f>IF(OR(Dashboard!$P$3="All",AND(Dashboard!$P$3="Not due",Q48&lt;0),AND(Dashboard!$P$3="Due in 10 days",Q48&gt;=-10,Q48&lt;=0),AND(Dashboard!$P$3="Due in 30 days",Q48&gt;=-30,Q48&lt;=0),AND(Dashboard!$P$3="Overdue 1-60 days",Q48&gt;0,Q48&lt;=60),AND(Dashboard!$P$3="Over 60 days",Q48&gt;60),AND(Dashboard!$P$3="All overdue",Q48&gt;0)),1,0)</f>
        <v>1</v>
      </c>
      <c r="V48" s="1">
        <f t="shared" si="7"/>
        <v>78481211.480000004</v>
      </c>
      <c r="W48" s="1">
        <f t="shared" si="8"/>
        <v>0</v>
      </c>
      <c r="X48" s="1">
        <f>IF(V48&gt;0,COUNTIF($V$6:V48,"&gt;0"),"")</f>
        <v>43</v>
      </c>
      <c r="Y48" s="17" t="str">
        <f t="shared" si="9"/>
        <v>CAL-current-043|000043</v>
      </c>
      <c r="Z48" s="1"/>
      <c r="AA48" s="17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 t="s">
        <v>28</v>
      </c>
      <c r="B49" s="1" t="s">
        <v>86</v>
      </c>
      <c r="C49" s="1" t="s">
        <v>157</v>
      </c>
      <c r="D49" s="1" t="s">
        <v>158</v>
      </c>
      <c r="E49" s="4">
        <v>45778</v>
      </c>
      <c r="F49" s="4">
        <v>45823</v>
      </c>
      <c r="G49" s="5">
        <v>92795216.900000006</v>
      </c>
      <c r="H49" s="5">
        <v>17351951.129999999</v>
      </c>
      <c r="I49" s="5">
        <v>75443265.769999996</v>
      </c>
      <c r="J49" s="1" t="s">
        <v>25</v>
      </c>
      <c r="K49" s="1" t="s">
        <v>64</v>
      </c>
      <c r="L49" s="1" t="s">
        <v>76</v>
      </c>
      <c r="M49" s="1" t="s">
        <v>66</v>
      </c>
      <c r="N49" s="6"/>
      <c r="O49" s="6"/>
      <c r="P49" s="7" t="s">
        <v>67</v>
      </c>
      <c r="Q49" s="1">
        <f>IF(ISNUMBER(F49),Dashboard!$D$2-F49,"")</f>
        <v>-46</v>
      </c>
      <c r="R49" s="1">
        <f>IF(AND(OR(Dashboard!$P$1="All",A49=Dashboard!$P$1),OR(Dashboard!$P$2="All",J49=Dashboard!$P$2)),1,0)</f>
        <v>1</v>
      </c>
      <c r="S49" s="1">
        <f t="shared" si="5"/>
        <v>75443265.769999996</v>
      </c>
      <c r="T49" s="1">
        <f t="shared" si="6"/>
        <v>0</v>
      </c>
      <c r="U49" s="1">
        <f>IF(OR(Dashboard!$P$3="All",AND(Dashboard!$P$3="Not due",Q49&lt;0),AND(Dashboard!$P$3="Due in 10 days",Q49&gt;=-10,Q49&lt;=0),AND(Dashboard!$P$3="Due in 30 days",Q49&gt;=-30,Q49&lt;=0),AND(Dashboard!$P$3="Overdue 1-60 days",Q49&gt;0,Q49&lt;=60),AND(Dashboard!$P$3="Over 60 days",Q49&gt;60),AND(Dashboard!$P$3="All overdue",Q49&gt;0)),1,0)</f>
        <v>1</v>
      </c>
      <c r="V49" s="1">
        <f t="shared" si="7"/>
        <v>75443265.769999996</v>
      </c>
      <c r="W49" s="1">
        <f t="shared" si="8"/>
        <v>0</v>
      </c>
      <c r="X49" s="1">
        <f>IF(V49&gt;0,COUNTIF($V$6:V49,"&gt;0"),"")</f>
        <v>44</v>
      </c>
      <c r="Y49" s="17" t="str">
        <f t="shared" si="9"/>
        <v>CAL-current-044|000044</v>
      </c>
      <c r="Z49" s="1"/>
      <c r="AA49" s="17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 t="s">
        <v>28</v>
      </c>
      <c r="B50" s="1" t="s">
        <v>86</v>
      </c>
      <c r="C50" s="1" t="s">
        <v>159</v>
      </c>
      <c r="D50" s="1" t="s">
        <v>160</v>
      </c>
      <c r="E50" s="4">
        <v>45793</v>
      </c>
      <c r="F50" s="4">
        <v>45823</v>
      </c>
      <c r="G50" s="5">
        <v>58478229.020000003</v>
      </c>
      <c r="H50" s="5">
        <v>6265524.54</v>
      </c>
      <c r="I50" s="5">
        <v>52212704.479999997</v>
      </c>
      <c r="J50" s="1" t="s">
        <v>25</v>
      </c>
      <c r="K50" s="1" t="s">
        <v>64</v>
      </c>
      <c r="L50" s="1" t="s">
        <v>65</v>
      </c>
      <c r="M50" s="1" t="s">
        <v>66</v>
      </c>
      <c r="N50" s="6"/>
      <c r="O50" s="6"/>
      <c r="P50" s="7" t="s">
        <v>67</v>
      </c>
      <c r="Q50" s="1">
        <f>IF(ISNUMBER(F50),Dashboard!$D$2-F50,"")</f>
        <v>-46</v>
      </c>
      <c r="R50" s="1">
        <f>IF(AND(OR(Dashboard!$P$1="All",A50=Dashboard!$P$1),OR(Dashboard!$P$2="All",J50=Dashboard!$P$2)),1,0)</f>
        <v>1</v>
      </c>
      <c r="S50" s="1">
        <f t="shared" si="5"/>
        <v>52212704.479999997</v>
      </c>
      <c r="T50" s="1">
        <f t="shared" si="6"/>
        <v>0</v>
      </c>
      <c r="U50" s="1">
        <f>IF(OR(Dashboard!$P$3="All",AND(Dashboard!$P$3="Not due",Q50&lt;0),AND(Dashboard!$P$3="Due in 10 days",Q50&gt;=-10,Q50&lt;=0),AND(Dashboard!$P$3="Due in 30 days",Q50&gt;=-30,Q50&lt;=0),AND(Dashboard!$P$3="Overdue 1-60 days",Q50&gt;0,Q50&lt;=60),AND(Dashboard!$P$3="Over 60 days",Q50&gt;60),AND(Dashboard!$P$3="All overdue",Q50&gt;0)),1,0)</f>
        <v>1</v>
      </c>
      <c r="V50" s="1">
        <f t="shared" si="7"/>
        <v>52212704.479999997</v>
      </c>
      <c r="W50" s="1">
        <f t="shared" si="8"/>
        <v>0</v>
      </c>
      <c r="X50" s="1">
        <f>IF(V50&gt;0,COUNTIF($V$6:V50,"&gt;0"),"")</f>
        <v>45</v>
      </c>
      <c r="Y50" s="17" t="str">
        <f t="shared" si="9"/>
        <v>CAL-current-045|000045</v>
      </c>
      <c r="Z50" s="1"/>
      <c r="AA50" s="17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 t="s">
        <v>28</v>
      </c>
      <c r="B51" s="1" t="s">
        <v>86</v>
      </c>
      <c r="C51" s="1" t="s">
        <v>161</v>
      </c>
      <c r="D51" s="1" t="s">
        <v>162</v>
      </c>
      <c r="E51" s="4">
        <v>45778</v>
      </c>
      <c r="F51" s="4">
        <v>45823</v>
      </c>
      <c r="G51" s="5">
        <v>54504240.229999997</v>
      </c>
      <c r="H51" s="5">
        <v>10191849.800000001</v>
      </c>
      <c r="I51" s="5">
        <v>44312390.43</v>
      </c>
      <c r="J51" s="1" t="s">
        <v>25</v>
      </c>
      <c r="K51" s="1" t="s">
        <v>64</v>
      </c>
      <c r="L51" s="1" t="s">
        <v>70</v>
      </c>
      <c r="M51" s="1" t="s">
        <v>66</v>
      </c>
      <c r="N51" s="6"/>
      <c r="O51" s="6"/>
      <c r="P51" s="7" t="s">
        <v>67</v>
      </c>
      <c r="Q51" s="1">
        <f>IF(ISNUMBER(F51),Dashboard!$D$2-F51,"")</f>
        <v>-46</v>
      </c>
      <c r="R51" s="1">
        <f>IF(AND(OR(Dashboard!$P$1="All",A51=Dashboard!$P$1),OR(Dashboard!$P$2="All",J51=Dashboard!$P$2)),1,0)</f>
        <v>1</v>
      </c>
      <c r="S51" s="1">
        <f t="shared" si="5"/>
        <v>44312390.43</v>
      </c>
      <c r="T51" s="1">
        <f t="shared" si="6"/>
        <v>0</v>
      </c>
      <c r="U51" s="1">
        <f>IF(OR(Dashboard!$P$3="All",AND(Dashboard!$P$3="Not due",Q51&lt;0),AND(Dashboard!$P$3="Due in 10 days",Q51&gt;=-10,Q51&lt;=0),AND(Dashboard!$P$3="Due in 30 days",Q51&gt;=-30,Q51&lt;=0),AND(Dashboard!$P$3="Overdue 1-60 days",Q51&gt;0,Q51&lt;=60),AND(Dashboard!$P$3="Over 60 days",Q51&gt;60),AND(Dashboard!$P$3="All overdue",Q51&gt;0)),1,0)</f>
        <v>1</v>
      </c>
      <c r="V51" s="1">
        <f t="shared" si="7"/>
        <v>44312390.43</v>
      </c>
      <c r="W51" s="1">
        <f t="shared" si="8"/>
        <v>0</v>
      </c>
      <c r="X51" s="1">
        <f>IF(V51&gt;0,COUNTIF($V$6:V51,"&gt;0"),"")</f>
        <v>46</v>
      </c>
      <c r="Y51" s="17" t="str">
        <f t="shared" si="9"/>
        <v>CAL-current-046|000046</v>
      </c>
      <c r="Z51" s="1"/>
      <c r="AA51" s="17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 t="s">
        <v>28</v>
      </c>
      <c r="B52" s="1" t="s">
        <v>86</v>
      </c>
      <c r="C52" s="1" t="s">
        <v>163</v>
      </c>
      <c r="D52" s="1" t="s">
        <v>164</v>
      </c>
      <c r="E52" s="4">
        <v>45778</v>
      </c>
      <c r="F52" s="4">
        <v>45823</v>
      </c>
      <c r="G52" s="5">
        <v>63216117.350000001</v>
      </c>
      <c r="H52" s="5">
        <v>17072966</v>
      </c>
      <c r="I52" s="5">
        <v>46143151.350000001</v>
      </c>
      <c r="J52" s="1" t="s">
        <v>25</v>
      </c>
      <c r="K52" s="1" t="s">
        <v>64</v>
      </c>
      <c r="L52" s="1" t="s">
        <v>73</v>
      </c>
      <c r="M52" s="1" t="s">
        <v>66</v>
      </c>
      <c r="N52" s="6"/>
      <c r="O52" s="6"/>
      <c r="P52" s="7" t="s">
        <v>67</v>
      </c>
      <c r="Q52" s="1">
        <f>IF(ISNUMBER(F52),Dashboard!$D$2-F52,"")</f>
        <v>-46</v>
      </c>
      <c r="R52" s="1">
        <f>IF(AND(OR(Dashboard!$P$1="All",A52=Dashboard!$P$1),OR(Dashboard!$P$2="All",J52=Dashboard!$P$2)),1,0)</f>
        <v>1</v>
      </c>
      <c r="S52" s="1">
        <f t="shared" si="5"/>
        <v>46143151.350000001</v>
      </c>
      <c r="T52" s="1">
        <f t="shared" si="6"/>
        <v>0</v>
      </c>
      <c r="U52" s="1">
        <f>IF(OR(Dashboard!$P$3="All",AND(Dashboard!$P$3="Not due",Q52&lt;0),AND(Dashboard!$P$3="Due in 10 days",Q52&gt;=-10,Q52&lt;=0),AND(Dashboard!$P$3="Due in 30 days",Q52&gt;=-30,Q52&lt;=0),AND(Dashboard!$P$3="Overdue 1-60 days",Q52&gt;0,Q52&lt;=60),AND(Dashboard!$P$3="Over 60 days",Q52&gt;60),AND(Dashboard!$P$3="All overdue",Q52&gt;0)),1,0)</f>
        <v>1</v>
      </c>
      <c r="V52" s="1">
        <f t="shared" si="7"/>
        <v>46143151.350000001</v>
      </c>
      <c r="W52" s="1">
        <f t="shared" si="8"/>
        <v>0</v>
      </c>
      <c r="X52" s="1">
        <f>IF(V52&gt;0,COUNTIF($V$6:V52,"&gt;0"),"")</f>
        <v>47</v>
      </c>
      <c r="Y52" s="17" t="str">
        <f t="shared" si="9"/>
        <v>CAL-current-047|000047</v>
      </c>
      <c r="Z52" s="1"/>
      <c r="AA52" s="17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 t="s">
        <v>28</v>
      </c>
      <c r="B53" s="1" t="s">
        <v>86</v>
      </c>
      <c r="C53" s="1" t="s">
        <v>165</v>
      </c>
      <c r="D53" s="1" t="s">
        <v>166</v>
      </c>
      <c r="E53" s="4">
        <v>45778</v>
      </c>
      <c r="F53" s="4">
        <v>45823</v>
      </c>
      <c r="G53" s="5">
        <v>66100309.109999999</v>
      </c>
      <c r="H53" s="5">
        <v>7082175.9800000004</v>
      </c>
      <c r="I53" s="5">
        <v>59018133.130000003</v>
      </c>
      <c r="J53" s="1" t="s">
        <v>25</v>
      </c>
      <c r="K53" s="1" t="s">
        <v>64</v>
      </c>
      <c r="L53" s="1" t="s">
        <v>76</v>
      </c>
      <c r="M53" s="1" t="s">
        <v>66</v>
      </c>
      <c r="N53" s="6"/>
      <c r="O53" s="6"/>
      <c r="P53" s="7" t="s">
        <v>67</v>
      </c>
      <c r="Q53" s="1">
        <f>IF(ISNUMBER(F53),Dashboard!$D$2-F53,"")</f>
        <v>-46</v>
      </c>
      <c r="R53" s="1">
        <f>IF(AND(OR(Dashboard!$P$1="All",A53=Dashboard!$P$1),OR(Dashboard!$P$2="All",J53=Dashboard!$P$2)),1,0)</f>
        <v>1</v>
      </c>
      <c r="S53" s="1">
        <f t="shared" si="5"/>
        <v>59018133.130000003</v>
      </c>
      <c r="T53" s="1">
        <f t="shared" si="6"/>
        <v>0</v>
      </c>
      <c r="U53" s="1">
        <f>IF(OR(Dashboard!$P$3="All",AND(Dashboard!$P$3="Not due",Q53&lt;0),AND(Dashboard!$P$3="Due in 10 days",Q53&gt;=-10,Q53&lt;=0),AND(Dashboard!$P$3="Due in 30 days",Q53&gt;=-30,Q53&lt;=0),AND(Dashboard!$P$3="Overdue 1-60 days",Q53&gt;0,Q53&lt;=60),AND(Dashboard!$P$3="Over 60 days",Q53&gt;60),AND(Dashboard!$P$3="All overdue",Q53&gt;0)),1,0)</f>
        <v>1</v>
      </c>
      <c r="V53" s="1">
        <f t="shared" si="7"/>
        <v>59018133.130000003</v>
      </c>
      <c r="W53" s="1">
        <f t="shared" si="8"/>
        <v>0</v>
      </c>
      <c r="X53" s="1">
        <f>IF(V53&gt;0,COUNTIF($V$6:V53,"&gt;0"),"")</f>
        <v>48</v>
      </c>
      <c r="Y53" s="17" t="str">
        <f t="shared" si="9"/>
        <v>CAL-current-048|000048</v>
      </c>
      <c r="Z53" s="1"/>
      <c r="AA53" s="17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 t="s">
        <v>28</v>
      </c>
      <c r="B54" s="1" t="s">
        <v>86</v>
      </c>
      <c r="C54" s="1" t="s">
        <v>167</v>
      </c>
      <c r="D54" s="1" t="s">
        <v>168</v>
      </c>
      <c r="E54" s="4">
        <v>45778</v>
      </c>
      <c r="F54" s="4">
        <v>45823</v>
      </c>
      <c r="G54" s="5">
        <v>77387023.519999996</v>
      </c>
      <c r="H54" s="5">
        <v>8291466.8099999996</v>
      </c>
      <c r="I54" s="5">
        <v>69095556.709999993</v>
      </c>
      <c r="J54" s="1" t="s">
        <v>25</v>
      </c>
      <c r="K54" s="1" t="s">
        <v>64</v>
      </c>
      <c r="L54" s="1" t="s">
        <v>65</v>
      </c>
      <c r="M54" s="1" t="s">
        <v>66</v>
      </c>
      <c r="N54" s="6"/>
      <c r="O54" s="6"/>
      <c r="P54" s="7" t="s">
        <v>67</v>
      </c>
      <c r="Q54" s="1">
        <f>IF(ISNUMBER(F54),Dashboard!$D$2-F54,"")</f>
        <v>-46</v>
      </c>
      <c r="R54" s="1">
        <f>IF(AND(OR(Dashboard!$P$1="All",A54=Dashboard!$P$1),OR(Dashboard!$P$2="All",J54=Dashboard!$P$2)),1,0)</f>
        <v>1</v>
      </c>
      <c r="S54" s="1">
        <f t="shared" si="5"/>
        <v>69095556.709999993</v>
      </c>
      <c r="T54" s="1">
        <f t="shared" si="6"/>
        <v>0</v>
      </c>
      <c r="U54" s="1">
        <f>IF(OR(Dashboard!$P$3="All",AND(Dashboard!$P$3="Not due",Q54&lt;0),AND(Dashboard!$P$3="Due in 10 days",Q54&gt;=-10,Q54&lt;=0),AND(Dashboard!$P$3="Due in 30 days",Q54&gt;=-30,Q54&lt;=0),AND(Dashboard!$P$3="Overdue 1-60 days",Q54&gt;0,Q54&lt;=60),AND(Dashboard!$P$3="Over 60 days",Q54&gt;60),AND(Dashboard!$P$3="All overdue",Q54&gt;0)),1,0)</f>
        <v>1</v>
      </c>
      <c r="V54" s="1">
        <f t="shared" si="7"/>
        <v>69095556.709999993</v>
      </c>
      <c r="W54" s="1">
        <f t="shared" si="8"/>
        <v>0</v>
      </c>
      <c r="X54" s="1">
        <f>IF(V54&gt;0,COUNTIF($V$6:V54,"&gt;0"),"")</f>
        <v>49</v>
      </c>
      <c r="Y54" s="17" t="str">
        <f t="shared" si="9"/>
        <v>CAL-current-049|000049</v>
      </c>
      <c r="Z54" s="1"/>
      <c r="AA54" s="17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 t="s">
        <v>28</v>
      </c>
      <c r="B55" s="1" t="s">
        <v>86</v>
      </c>
      <c r="C55" s="1" t="s">
        <v>169</v>
      </c>
      <c r="D55" s="1" t="s">
        <v>170</v>
      </c>
      <c r="E55" s="4">
        <v>45778</v>
      </c>
      <c r="F55" s="4">
        <v>45823</v>
      </c>
      <c r="G55" s="5">
        <v>65899773.68</v>
      </c>
      <c r="H55" s="5">
        <v>7060690.04</v>
      </c>
      <c r="I55" s="5">
        <v>58839083.640000001</v>
      </c>
      <c r="J55" s="1" t="s">
        <v>25</v>
      </c>
      <c r="K55" s="1" t="s">
        <v>64</v>
      </c>
      <c r="L55" s="1" t="s">
        <v>70</v>
      </c>
      <c r="M55" s="1" t="s">
        <v>66</v>
      </c>
      <c r="N55" s="6"/>
      <c r="O55" s="6"/>
      <c r="P55" s="7" t="s">
        <v>67</v>
      </c>
      <c r="Q55" s="1">
        <f>IF(ISNUMBER(F55),Dashboard!$D$2-F55,"")</f>
        <v>-46</v>
      </c>
      <c r="R55" s="1">
        <f>IF(AND(OR(Dashboard!$P$1="All",A55=Dashboard!$P$1),OR(Dashboard!$P$2="All",J55=Dashboard!$P$2)),1,0)</f>
        <v>1</v>
      </c>
      <c r="S55" s="1">
        <f t="shared" si="5"/>
        <v>58839083.640000001</v>
      </c>
      <c r="T55" s="1">
        <f t="shared" si="6"/>
        <v>0</v>
      </c>
      <c r="U55" s="1">
        <f>IF(OR(Dashboard!$P$3="All",AND(Dashboard!$P$3="Not due",Q55&lt;0),AND(Dashboard!$P$3="Due in 10 days",Q55&gt;=-10,Q55&lt;=0),AND(Dashboard!$P$3="Due in 30 days",Q55&gt;=-30,Q55&lt;=0),AND(Dashboard!$P$3="Overdue 1-60 days",Q55&gt;0,Q55&lt;=60),AND(Dashboard!$P$3="Over 60 days",Q55&gt;60),AND(Dashboard!$P$3="All overdue",Q55&gt;0)),1,0)</f>
        <v>1</v>
      </c>
      <c r="V55" s="1">
        <f t="shared" si="7"/>
        <v>58839083.640000001</v>
      </c>
      <c r="W55" s="1">
        <f t="shared" si="8"/>
        <v>0</v>
      </c>
      <c r="X55" s="1">
        <f>IF(V55&gt;0,COUNTIF($V$6:V55,"&gt;0"),"")</f>
        <v>50</v>
      </c>
      <c r="Y55" s="17" t="str">
        <f t="shared" si="9"/>
        <v>CAL-current-050|000050</v>
      </c>
      <c r="Z55" s="1"/>
      <c r="AA55" s="17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 t="s">
        <v>28</v>
      </c>
      <c r="B56" s="1" t="s">
        <v>86</v>
      </c>
      <c r="C56" s="1" t="s">
        <v>171</v>
      </c>
      <c r="D56" s="1" t="s">
        <v>172</v>
      </c>
      <c r="E56" s="4">
        <v>45778</v>
      </c>
      <c r="F56" s="4">
        <v>45823</v>
      </c>
      <c r="G56" s="5">
        <v>37152856.829999998</v>
      </c>
      <c r="H56" s="5">
        <v>6947282.1699999999</v>
      </c>
      <c r="I56" s="5">
        <v>30205574.66</v>
      </c>
      <c r="J56" s="1" t="s">
        <v>25</v>
      </c>
      <c r="K56" s="1" t="s">
        <v>64</v>
      </c>
      <c r="L56" s="1" t="s">
        <v>73</v>
      </c>
      <c r="M56" s="1" t="s">
        <v>66</v>
      </c>
      <c r="N56" s="6"/>
      <c r="O56" s="6"/>
      <c r="P56" s="7" t="s">
        <v>67</v>
      </c>
      <c r="Q56" s="1">
        <f>IF(ISNUMBER(F56),Dashboard!$D$2-F56,"")</f>
        <v>-46</v>
      </c>
      <c r="R56" s="1">
        <f>IF(AND(OR(Dashboard!$P$1="All",A56=Dashboard!$P$1),OR(Dashboard!$P$2="All",J56=Dashboard!$P$2)),1,0)</f>
        <v>1</v>
      </c>
      <c r="S56" s="1">
        <f t="shared" si="5"/>
        <v>30205574.66</v>
      </c>
      <c r="T56" s="1">
        <f t="shared" si="6"/>
        <v>0</v>
      </c>
      <c r="U56" s="1">
        <f>IF(OR(Dashboard!$P$3="All",AND(Dashboard!$P$3="Not due",Q56&lt;0),AND(Dashboard!$P$3="Due in 10 days",Q56&gt;=-10,Q56&lt;=0),AND(Dashboard!$P$3="Due in 30 days",Q56&gt;=-30,Q56&lt;=0),AND(Dashboard!$P$3="Overdue 1-60 days",Q56&gt;0,Q56&lt;=60),AND(Dashboard!$P$3="Over 60 days",Q56&gt;60),AND(Dashboard!$P$3="All overdue",Q56&gt;0)),1,0)</f>
        <v>1</v>
      </c>
      <c r="V56" s="1">
        <f t="shared" si="7"/>
        <v>30205574.66</v>
      </c>
      <c r="W56" s="1">
        <f t="shared" si="8"/>
        <v>0</v>
      </c>
      <c r="X56" s="1">
        <f>IF(V56&gt;0,COUNTIF($V$6:V56,"&gt;0"),"")</f>
        <v>51</v>
      </c>
      <c r="Y56" s="17" t="str">
        <f t="shared" si="9"/>
        <v>CAL-current-051|000051</v>
      </c>
      <c r="Z56" s="1"/>
      <c r="AA56" s="17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 t="s">
        <v>28</v>
      </c>
      <c r="B57" s="1" t="s">
        <v>86</v>
      </c>
      <c r="C57" s="1" t="s">
        <v>173</v>
      </c>
      <c r="D57" s="1" t="s">
        <v>174</v>
      </c>
      <c r="E57" s="4">
        <v>45777</v>
      </c>
      <c r="F57" s="4">
        <v>45822</v>
      </c>
      <c r="G57" s="5">
        <v>490153775.92000002</v>
      </c>
      <c r="H57" s="5">
        <v>91654771.109999999</v>
      </c>
      <c r="I57" s="5">
        <v>398499004.81</v>
      </c>
      <c r="J57" s="1" t="s">
        <v>25</v>
      </c>
      <c r="K57" s="1" t="s">
        <v>64</v>
      </c>
      <c r="L57" s="1" t="s">
        <v>76</v>
      </c>
      <c r="M57" s="1" t="s">
        <v>66</v>
      </c>
      <c r="N57" s="6"/>
      <c r="O57" s="6"/>
      <c r="P57" s="7" t="s">
        <v>67</v>
      </c>
      <c r="Q57" s="1">
        <f>IF(ISNUMBER(F57),Dashboard!$D$2-F57,"")</f>
        <v>-45</v>
      </c>
      <c r="R57" s="1">
        <f>IF(AND(OR(Dashboard!$P$1="All",A57=Dashboard!$P$1),OR(Dashboard!$P$2="All",J57=Dashboard!$P$2)),1,0)</f>
        <v>1</v>
      </c>
      <c r="S57" s="1">
        <f t="shared" si="5"/>
        <v>398499004.81</v>
      </c>
      <c r="T57" s="1">
        <f t="shared" si="6"/>
        <v>0</v>
      </c>
      <c r="U57" s="1">
        <f>IF(OR(Dashboard!$P$3="All",AND(Dashboard!$P$3="Not due",Q57&lt;0),AND(Dashboard!$P$3="Due in 10 days",Q57&gt;=-10,Q57&lt;=0),AND(Dashboard!$P$3="Due in 30 days",Q57&gt;=-30,Q57&lt;=0),AND(Dashboard!$P$3="Overdue 1-60 days",Q57&gt;0,Q57&lt;=60),AND(Dashboard!$P$3="Over 60 days",Q57&gt;60),AND(Dashboard!$P$3="All overdue",Q57&gt;0)),1,0)</f>
        <v>1</v>
      </c>
      <c r="V57" s="1">
        <f t="shared" si="7"/>
        <v>398499004.81</v>
      </c>
      <c r="W57" s="1">
        <f t="shared" si="8"/>
        <v>0</v>
      </c>
      <c r="X57" s="1">
        <f>IF(V57&gt;0,COUNTIF($V$6:V57,"&gt;0"),"")</f>
        <v>52</v>
      </c>
      <c r="Y57" s="17" t="str">
        <f t="shared" si="9"/>
        <v>CAL-current-052|000052</v>
      </c>
      <c r="Z57" s="1"/>
      <c r="AA57" s="17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 t="s">
        <v>28</v>
      </c>
      <c r="B58" s="1" t="s">
        <v>86</v>
      </c>
      <c r="C58" s="1" t="s">
        <v>175</v>
      </c>
      <c r="D58" s="1" t="s">
        <v>176</v>
      </c>
      <c r="E58" s="4">
        <v>45762</v>
      </c>
      <c r="F58" s="4">
        <v>45822</v>
      </c>
      <c r="G58" s="5">
        <v>302529185.10000002</v>
      </c>
      <c r="H58" s="5">
        <v>81704962.400000006</v>
      </c>
      <c r="I58" s="5">
        <v>220824222.69999999</v>
      </c>
      <c r="J58" s="1" t="s">
        <v>25</v>
      </c>
      <c r="K58" s="1" t="s">
        <v>64</v>
      </c>
      <c r="L58" s="1" t="s">
        <v>65</v>
      </c>
      <c r="M58" s="1" t="s">
        <v>66</v>
      </c>
      <c r="N58" s="6"/>
      <c r="O58" s="6"/>
      <c r="P58" s="7" t="s">
        <v>67</v>
      </c>
      <c r="Q58" s="1">
        <f>IF(ISNUMBER(F58),Dashboard!$D$2-F58,"")</f>
        <v>-45</v>
      </c>
      <c r="R58" s="1">
        <f>IF(AND(OR(Dashboard!$P$1="All",A58=Dashboard!$P$1),OR(Dashboard!$P$2="All",J58=Dashboard!$P$2)),1,0)</f>
        <v>1</v>
      </c>
      <c r="S58" s="1">
        <f t="shared" si="5"/>
        <v>220824222.69999999</v>
      </c>
      <c r="T58" s="1">
        <f t="shared" si="6"/>
        <v>0</v>
      </c>
      <c r="U58" s="1">
        <f>IF(OR(Dashboard!$P$3="All",AND(Dashboard!$P$3="Not due",Q58&lt;0),AND(Dashboard!$P$3="Due in 10 days",Q58&gt;=-10,Q58&lt;=0),AND(Dashboard!$P$3="Due in 30 days",Q58&gt;=-30,Q58&lt;=0),AND(Dashboard!$P$3="Overdue 1-60 days",Q58&gt;0,Q58&lt;=60),AND(Dashboard!$P$3="Over 60 days",Q58&gt;60),AND(Dashboard!$P$3="All overdue",Q58&gt;0)),1,0)</f>
        <v>1</v>
      </c>
      <c r="V58" s="1">
        <f t="shared" si="7"/>
        <v>220824222.69999999</v>
      </c>
      <c r="W58" s="1">
        <f t="shared" si="8"/>
        <v>0</v>
      </c>
      <c r="X58" s="1">
        <f>IF(V58&gt;0,COUNTIF($V$6:V58,"&gt;0"),"")</f>
        <v>53</v>
      </c>
      <c r="Y58" s="17" t="str">
        <f t="shared" si="9"/>
        <v>CAL-current-053|000053</v>
      </c>
      <c r="Z58" s="1"/>
      <c r="AA58" s="17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 t="s">
        <v>28</v>
      </c>
      <c r="B59" s="1" t="s">
        <v>86</v>
      </c>
      <c r="C59" s="1" t="s">
        <v>177</v>
      </c>
      <c r="D59" s="1" t="s">
        <v>178</v>
      </c>
      <c r="E59" s="4">
        <v>45792</v>
      </c>
      <c r="F59" s="4">
        <v>45822</v>
      </c>
      <c r="G59" s="5">
        <v>225768243.78999999</v>
      </c>
      <c r="H59" s="5">
        <v>60973905.259999998</v>
      </c>
      <c r="I59" s="5">
        <v>164794338.53</v>
      </c>
      <c r="J59" s="1" t="s">
        <v>25</v>
      </c>
      <c r="K59" s="1" t="s">
        <v>64</v>
      </c>
      <c r="L59" s="1" t="s">
        <v>70</v>
      </c>
      <c r="M59" s="1" t="s">
        <v>66</v>
      </c>
      <c r="N59" s="6"/>
      <c r="O59" s="6"/>
      <c r="P59" s="7" t="s">
        <v>67</v>
      </c>
      <c r="Q59" s="1">
        <f>IF(ISNUMBER(F59),Dashboard!$D$2-F59,"")</f>
        <v>-45</v>
      </c>
      <c r="R59" s="1">
        <f>IF(AND(OR(Dashboard!$P$1="All",A59=Dashboard!$P$1),OR(Dashboard!$P$2="All",J59=Dashboard!$P$2)),1,0)</f>
        <v>1</v>
      </c>
      <c r="S59" s="1">
        <f t="shared" si="5"/>
        <v>164794338.53</v>
      </c>
      <c r="T59" s="1">
        <f t="shared" si="6"/>
        <v>0</v>
      </c>
      <c r="U59" s="1">
        <f>IF(OR(Dashboard!$P$3="All",AND(Dashboard!$P$3="Not due",Q59&lt;0),AND(Dashboard!$P$3="Due in 10 days",Q59&gt;=-10,Q59&lt;=0),AND(Dashboard!$P$3="Due in 30 days",Q59&gt;=-30,Q59&lt;=0),AND(Dashboard!$P$3="Overdue 1-60 days",Q59&gt;0,Q59&lt;=60),AND(Dashboard!$P$3="Over 60 days",Q59&gt;60),AND(Dashboard!$P$3="All overdue",Q59&gt;0)),1,0)</f>
        <v>1</v>
      </c>
      <c r="V59" s="1">
        <f t="shared" si="7"/>
        <v>164794338.53</v>
      </c>
      <c r="W59" s="1">
        <f t="shared" si="8"/>
        <v>0</v>
      </c>
      <c r="X59" s="1">
        <f>IF(V59&gt;0,COUNTIF($V$6:V59,"&gt;0"),"")</f>
        <v>54</v>
      </c>
      <c r="Y59" s="17" t="str">
        <f t="shared" si="9"/>
        <v>CAL-current-054|000054</v>
      </c>
      <c r="Z59" s="1"/>
      <c r="AA59" s="17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 t="s">
        <v>28</v>
      </c>
      <c r="B60" s="1" t="s">
        <v>86</v>
      </c>
      <c r="C60" s="1" t="s">
        <v>179</v>
      </c>
      <c r="D60" s="1" t="s">
        <v>180</v>
      </c>
      <c r="E60" s="4">
        <v>45792</v>
      </c>
      <c r="F60" s="4">
        <v>45822</v>
      </c>
      <c r="G60" s="5">
        <v>282204911.85000002</v>
      </c>
      <c r="H60" s="5">
        <v>52770024.170000002</v>
      </c>
      <c r="I60" s="5">
        <v>229434887.68000001</v>
      </c>
      <c r="J60" s="1" t="s">
        <v>25</v>
      </c>
      <c r="K60" s="1" t="s">
        <v>64</v>
      </c>
      <c r="L60" s="1" t="s">
        <v>73</v>
      </c>
      <c r="M60" s="1" t="s">
        <v>66</v>
      </c>
      <c r="N60" s="6"/>
      <c r="O60" s="6"/>
      <c r="P60" s="7" t="s">
        <v>67</v>
      </c>
      <c r="Q60" s="1">
        <f>IF(ISNUMBER(F60),Dashboard!$D$2-F60,"")</f>
        <v>-45</v>
      </c>
      <c r="R60" s="1">
        <f>IF(AND(OR(Dashboard!$P$1="All",A60=Dashboard!$P$1),OR(Dashboard!$P$2="All",J60=Dashboard!$P$2)),1,0)</f>
        <v>1</v>
      </c>
      <c r="S60" s="1">
        <f t="shared" si="5"/>
        <v>229434887.68000001</v>
      </c>
      <c r="T60" s="1">
        <f t="shared" si="6"/>
        <v>0</v>
      </c>
      <c r="U60" s="1">
        <f>IF(OR(Dashboard!$P$3="All",AND(Dashboard!$P$3="Not due",Q60&lt;0),AND(Dashboard!$P$3="Due in 10 days",Q60&gt;=-10,Q60&lt;=0),AND(Dashboard!$P$3="Due in 30 days",Q60&gt;=-30,Q60&lt;=0),AND(Dashboard!$P$3="Overdue 1-60 days",Q60&gt;0,Q60&lt;=60),AND(Dashboard!$P$3="Over 60 days",Q60&gt;60),AND(Dashboard!$P$3="All overdue",Q60&gt;0)),1,0)</f>
        <v>1</v>
      </c>
      <c r="V60" s="1">
        <f t="shared" si="7"/>
        <v>229434887.68000001</v>
      </c>
      <c r="W60" s="1">
        <f t="shared" si="8"/>
        <v>0</v>
      </c>
      <c r="X60" s="1">
        <f>IF(V60&gt;0,COUNTIF($V$6:V60,"&gt;0"),"")</f>
        <v>55</v>
      </c>
      <c r="Y60" s="17" t="str">
        <f t="shared" si="9"/>
        <v>CAL-current-055|000055</v>
      </c>
      <c r="Z60" s="1"/>
      <c r="AA60" s="17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 t="s">
        <v>28</v>
      </c>
      <c r="B61" s="1" t="s">
        <v>86</v>
      </c>
      <c r="C61" s="1" t="s">
        <v>181</v>
      </c>
      <c r="D61" s="1" t="s">
        <v>182</v>
      </c>
      <c r="E61" s="4">
        <v>45762</v>
      </c>
      <c r="F61" s="4">
        <v>45822</v>
      </c>
      <c r="G61" s="5">
        <v>579264286.16999996</v>
      </c>
      <c r="H61" s="5">
        <v>156443639.33000001</v>
      </c>
      <c r="I61" s="5">
        <v>422820646.83999997</v>
      </c>
      <c r="J61" s="1" t="s">
        <v>25</v>
      </c>
      <c r="K61" s="1" t="s">
        <v>64</v>
      </c>
      <c r="L61" s="1" t="s">
        <v>76</v>
      </c>
      <c r="M61" s="1" t="s">
        <v>66</v>
      </c>
      <c r="N61" s="6"/>
      <c r="O61" s="6"/>
      <c r="P61" s="7" t="s">
        <v>67</v>
      </c>
      <c r="Q61" s="1">
        <f>IF(ISNUMBER(F61),Dashboard!$D$2-F61,"")</f>
        <v>-45</v>
      </c>
      <c r="R61" s="1">
        <f>IF(AND(OR(Dashboard!$P$1="All",A61=Dashboard!$P$1),OR(Dashboard!$P$2="All",J61=Dashboard!$P$2)),1,0)</f>
        <v>1</v>
      </c>
      <c r="S61" s="1">
        <f t="shared" si="5"/>
        <v>422820646.83999997</v>
      </c>
      <c r="T61" s="1">
        <f t="shared" si="6"/>
        <v>0</v>
      </c>
      <c r="U61" s="1">
        <f>IF(OR(Dashboard!$P$3="All",AND(Dashboard!$P$3="Not due",Q61&lt;0),AND(Dashboard!$P$3="Due in 10 days",Q61&gt;=-10,Q61&lt;=0),AND(Dashboard!$P$3="Due in 30 days",Q61&gt;=-30,Q61&lt;=0),AND(Dashboard!$P$3="Overdue 1-60 days",Q61&gt;0,Q61&lt;=60),AND(Dashboard!$P$3="Over 60 days",Q61&gt;60),AND(Dashboard!$P$3="All overdue",Q61&gt;0)),1,0)</f>
        <v>1</v>
      </c>
      <c r="V61" s="1">
        <f t="shared" si="7"/>
        <v>422820646.83999997</v>
      </c>
      <c r="W61" s="1">
        <f t="shared" si="8"/>
        <v>0</v>
      </c>
      <c r="X61" s="1">
        <f>IF(V61&gt;0,COUNTIF($V$6:V61,"&gt;0"),"")</f>
        <v>56</v>
      </c>
      <c r="Y61" s="17" t="str">
        <f t="shared" si="9"/>
        <v>CAL-current-056|000056</v>
      </c>
      <c r="Z61" s="1"/>
      <c r="AA61" s="17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 t="s">
        <v>28</v>
      </c>
      <c r="B62" s="1" t="s">
        <v>86</v>
      </c>
      <c r="C62" s="1" t="s">
        <v>183</v>
      </c>
      <c r="D62" s="1" t="s">
        <v>184</v>
      </c>
      <c r="E62" s="4">
        <v>45762</v>
      </c>
      <c r="F62" s="4">
        <v>45822</v>
      </c>
      <c r="G62" s="5">
        <v>187016941.56</v>
      </c>
      <c r="H62" s="5">
        <v>20037529.449999999</v>
      </c>
      <c r="I62" s="5">
        <v>166979412.11000001</v>
      </c>
      <c r="J62" s="1" t="s">
        <v>25</v>
      </c>
      <c r="K62" s="1" t="s">
        <v>64</v>
      </c>
      <c r="L62" s="1" t="s">
        <v>65</v>
      </c>
      <c r="M62" s="1" t="s">
        <v>66</v>
      </c>
      <c r="N62" s="6"/>
      <c r="O62" s="6"/>
      <c r="P62" s="7" t="s">
        <v>67</v>
      </c>
      <c r="Q62" s="1">
        <f>IF(ISNUMBER(F62),Dashboard!$D$2-F62,"")</f>
        <v>-45</v>
      </c>
      <c r="R62" s="1">
        <f>IF(AND(OR(Dashboard!$P$1="All",A62=Dashboard!$P$1),OR(Dashboard!$P$2="All",J62=Dashboard!$P$2)),1,0)</f>
        <v>1</v>
      </c>
      <c r="S62" s="1">
        <f t="shared" si="5"/>
        <v>166979412.11000001</v>
      </c>
      <c r="T62" s="1">
        <f t="shared" si="6"/>
        <v>0</v>
      </c>
      <c r="U62" s="1">
        <f>IF(OR(Dashboard!$P$3="All",AND(Dashboard!$P$3="Not due",Q62&lt;0),AND(Dashboard!$P$3="Due in 10 days",Q62&gt;=-10,Q62&lt;=0),AND(Dashboard!$P$3="Due in 30 days",Q62&gt;=-30,Q62&lt;=0),AND(Dashboard!$P$3="Overdue 1-60 days",Q62&gt;0,Q62&lt;=60),AND(Dashboard!$P$3="Over 60 days",Q62&gt;60),AND(Dashboard!$P$3="All overdue",Q62&gt;0)),1,0)</f>
        <v>1</v>
      </c>
      <c r="V62" s="1">
        <f t="shared" si="7"/>
        <v>166979412.11000001</v>
      </c>
      <c r="W62" s="1">
        <f t="shared" si="8"/>
        <v>0</v>
      </c>
      <c r="X62" s="1">
        <f>IF(V62&gt;0,COUNTIF($V$6:V62,"&gt;0"),"")</f>
        <v>57</v>
      </c>
      <c r="Y62" s="17" t="str">
        <f t="shared" si="9"/>
        <v>CAL-current-057|000057</v>
      </c>
      <c r="Z62" s="1"/>
      <c r="AA62" s="17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 t="s">
        <v>28</v>
      </c>
      <c r="B63" s="1" t="s">
        <v>86</v>
      </c>
      <c r="C63" s="1" t="s">
        <v>185</v>
      </c>
      <c r="D63" s="1" t="s">
        <v>186</v>
      </c>
      <c r="E63" s="4">
        <v>45777</v>
      </c>
      <c r="F63" s="4">
        <v>45822</v>
      </c>
      <c r="G63" s="5">
        <v>316283928.19999999</v>
      </c>
      <c r="H63" s="5">
        <v>33887563.740000002</v>
      </c>
      <c r="I63" s="5">
        <v>282396364.45999998</v>
      </c>
      <c r="J63" s="1" t="s">
        <v>25</v>
      </c>
      <c r="K63" s="1" t="s">
        <v>64</v>
      </c>
      <c r="L63" s="1" t="s">
        <v>70</v>
      </c>
      <c r="M63" s="1" t="s">
        <v>66</v>
      </c>
      <c r="N63" s="6"/>
      <c r="O63" s="6"/>
      <c r="P63" s="7" t="s">
        <v>67</v>
      </c>
      <c r="Q63" s="1">
        <f>IF(ISNUMBER(F63),Dashboard!$D$2-F63,"")</f>
        <v>-45</v>
      </c>
      <c r="R63" s="1">
        <f>IF(AND(OR(Dashboard!$P$1="All",A63=Dashboard!$P$1),OR(Dashboard!$P$2="All",J63=Dashboard!$P$2)),1,0)</f>
        <v>1</v>
      </c>
      <c r="S63" s="1">
        <f t="shared" si="5"/>
        <v>282396364.45999998</v>
      </c>
      <c r="T63" s="1">
        <f t="shared" si="6"/>
        <v>0</v>
      </c>
      <c r="U63" s="1">
        <f>IF(OR(Dashboard!$P$3="All",AND(Dashboard!$P$3="Not due",Q63&lt;0),AND(Dashboard!$P$3="Due in 10 days",Q63&gt;=-10,Q63&lt;=0),AND(Dashboard!$P$3="Due in 30 days",Q63&gt;=-30,Q63&lt;=0),AND(Dashboard!$P$3="Overdue 1-60 days",Q63&gt;0,Q63&lt;=60),AND(Dashboard!$P$3="Over 60 days",Q63&gt;60),AND(Dashboard!$P$3="All overdue",Q63&gt;0)),1,0)</f>
        <v>1</v>
      </c>
      <c r="V63" s="1">
        <f t="shared" si="7"/>
        <v>282396364.45999998</v>
      </c>
      <c r="W63" s="1">
        <f t="shared" si="8"/>
        <v>0</v>
      </c>
      <c r="X63" s="1">
        <f>IF(V63&gt;0,COUNTIF($V$6:V63,"&gt;0"),"")</f>
        <v>58</v>
      </c>
      <c r="Y63" s="17" t="str">
        <f t="shared" si="9"/>
        <v>CAL-current-058|000058</v>
      </c>
      <c r="Z63" s="1"/>
      <c r="AA63" s="17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 t="s">
        <v>28</v>
      </c>
      <c r="B64" s="1" t="s">
        <v>86</v>
      </c>
      <c r="C64" s="1" t="s">
        <v>187</v>
      </c>
      <c r="D64" s="1" t="s">
        <v>188</v>
      </c>
      <c r="E64" s="4">
        <v>45777</v>
      </c>
      <c r="F64" s="4">
        <v>45822</v>
      </c>
      <c r="G64" s="5">
        <v>496607326.51999998</v>
      </c>
      <c r="H64" s="5">
        <v>134120226.87</v>
      </c>
      <c r="I64" s="5">
        <v>362487099.64999998</v>
      </c>
      <c r="J64" s="1" t="s">
        <v>25</v>
      </c>
      <c r="K64" s="1" t="s">
        <v>64</v>
      </c>
      <c r="L64" s="1" t="s">
        <v>73</v>
      </c>
      <c r="M64" s="1" t="s">
        <v>66</v>
      </c>
      <c r="N64" s="6"/>
      <c r="O64" s="6"/>
      <c r="P64" s="7" t="s">
        <v>67</v>
      </c>
      <c r="Q64" s="1">
        <f>IF(ISNUMBER(F64),Dashboard!$D$2-F64,"")</f>
        <v>-45</v>
      </c>
      <c r="R64" s="1">
        <f>IF(AND(OR(Dashboard!$P$1="All",A64=Dashboard!$P$1),OR(Dashboard!$P$2="All",J64=Dashboard!$P$2)),1,0)</f>
        <v>1</v>
      </c>
      <c r="S64" s="1">
        <f t="shared" si="5"/>
        <v>362487099.64999998</v>
      </c>
      <c r="T64" s="1">
        <f t="shared" si="6"/>
        <v>0</v>
      </c>
      <c r="U64" s="1">
        <f>IF(OR(Dashboard!$P$3="All",AND(Dashboard!$P$3="Not due",Q64&lt;0),AND(Dashboard!$P$3="Due in 10 days",Q64&gt;=-10,Q64&lt;=0),AND(Dashboard!$P$3="Due in 30 days",Q64&gt;=-30,Q64&lt;=0),AND(Dashboard!$P$3="Overdue 1-60 days",Q64&gt;0,Q64&lt;=60),AND(Dashboard!$P$3="Over 60 days",Q64&gt;60),AND(Dashboard!$P$3="All overdue",Q64&gt;0)),1,0)</f>
        <v>1</v>
      </c>
      <c r="V64" s="1">
        <f t="shared" si="7"/>
        <v>362487099.64999998</v>
      </c>
      <c r="W64" s="1">
        <f t="shared" si="8"/>
        <v>0</v>
      </c>
      <c r="X64" s="1">
        <f>IF(V64&gt;0,COUNTIF($V$6:V64,"&gt;0"),"")</f>
        <v>59</v>
      </c>
      <c r="Y64" s="17" t="str">
        <f t="shared" si="9"/>
        <v>CAL-current-059|000059</v>
      </c>
      <c r="Z64" s="1"/>
      <c r="AA64" s="17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 t="s">
        <v>28</v>
      </c>
      <c r="B65" s="1" t="s">
        <v>86</v>
      </c>
      <c r="C65" s="1" t="s">
        <v>189</v>
      </c>
      <c r="D65" s="1" t="s">
        <v>190</v>
      </c>
      <c r="E65" s="4">
        <v>45792</v>
      </c>
      <c r="F65" s="4">
        <v>45822</v>
      </c>
      <c r="G65" s="5">
        <v>398315939.68000001</v>
      </c>
      <c r="H65" s="5">
        <v>107574377.87</v>
      </c>
      <c r="I65" s="5">
        <v>290741561.81</v>
      </c>
      <c r="J65" s="1" t="s">
        <v>25</v>
      </c>
      <c r="K65" s="1" t="s">
        <v>64</v>
      </c>
      <c r="L65" s="1" t="s">
        <v>76</v>
      </c>
      <c r="M65" s="1" t="s">
        <v>66</v>
      </c>
      <c r="N65" s="6"/>
      <c r="O65" s="6"/>
      <c r="P65" s="7" t="s">
        <v>67</v>
      </c>
      <c r="Q65" s="1">
        <f>IF(ISNUMBER(F65),Dashboard!$D$2-F65,"")</f>
        <v>-45</v>
      </c>
      <c r="R65" s="1">
        <f>IF(AND(OR(Dashboard!$P$1="All",A65=Dashboard!$P$1),OR(Dashboard!$P$2="All",J65=Dashboard!$P$2)),1,0)</f>
        <v>1</v>
      </c>
      <c r="S65" s="1">
        <f t="shared" si="5"/>
        <v>290741561.81</v>
      </c>
      <c r="T65" s="1">
        <f t="shared" si="6"/>
        <v>0</v>
      </c>
      <c r="U65" s="1">
        <f>IF(OR(Dashboard!$P$3="All",AND(Dashboard!$P$3="Not due",Q65&lt;0),AND(Dashboard!$P$3="Due in 10 days",Q65&gt;=-10,Q65&lt;=0),AND(Dashboard!$P$3="Due in 30 days",Q65&gt;=-30,Q65&lt;=0),AND(Dashboard!$P$3="Overdue 1-60 days",Q65&gt;0,Q65&lt;=60),AND(Dashboard!$P$3="Over 60 days",Q65&gt;60),AND(Dashboard!$P$3="All overdue",Q65&gt;0)),1,0)</f>
        <v>1</v>
      </c>
      <c r="V65" s="1">
        <f t="shared" si="7"/>
        <v>290741561.81</v>
      </c>
      <c r="W65" s="1">
        <f t="shared" si="8"/>
        <v>0</v>
      </c>
      <c r="X65" s="1">
        <f>IF(V65&gt;0,COUNTIF($V$6:V65,"&gt;0"),"")</f>
        <v>60</v>
      </c>
      <c r="Y65" s="17" t="str">
        <f t="shared" si="9"/>
        <v>CAL-current-060|000060</v>
      </c>
      <c r="Z65" s="1"/>
      <c r="AA65" s="17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 t="s">
        <v>28</v>
      </c>
      <c r="B66" s="1" t="s">
        <v>86</v>
      </c>
      <c r="C66" s="1" t="s">
        <v>191</v>
      </c>
      <c r="D66" s="1" t="s">
        <v>192</v>
      </c>
      <c r="E66" s="4">
        <v>45777</v>
      </c>
      <c r="F66" s="4">
        <v>45822</v>
      </c>
      <c r="G66" s="5">
        <v>431597359.00999999</v>
      </c>
      <c r="H66" s="5">
        <v>116562790.39</v>
      </c>
      <c r="I66" s="5">
        <v>315034568.62</v>
      </c>
      <c r="J66" s="1" t="s">
        <v>25</v>
      </c>
      <c r="K66" s="1" t="s">
        <v>64</v>
      </c>
      <c r="L66" s="1" t="s">
        <v>65</v>
      </c>
      <c r="M66" s="1" t="s">
        <v>66</v>
      </c>
      <c r="N66" s="6"/>
      <c r="O66" s="6"/>
      <c r="P66" s="7" t="s">
        <v>67</v>
      </c>
      <c r="Q66" s="1">
        <f>IF(ISNUMBER(F66),Dashboard!$D$2-F66,"")</f>
        <v>-45</v>
      </c>
      <c r="R66" s="1">
        <f>IF(AND(OR(Dashboard!$P$1="All",A66=Dashboard!$P$1),OR(Dashboard!$P$2="All",J66=Dashboard!$P$2)),1,0)</f>
        <v>1</v>
      </c>
      <c r="S66" s="1">
        <f t="shared" si="5"/>
        <v>315034568.62</v>
      </c>
      <c r="T66" s="1">
        <f t="shared" si="6"/>
        <v>0</v>
      </c>
      <c r="U66" s="1">
        <f>IF(OR(Dashboard!$P$3="All",AND(Dashboard!$P$3="Not due",Q66&lt;0),AND(Dashboard!$P$3="Due in 10 days",Q66&gt;=-10,Q66&lt;=0),AND(Dashboard!$P$3="Due in 30 days",Q66&gt;=-30,Q66&lt;=0),AND(Dashboard!$P$3="Overdue 1-60 days",Q66&gt;0,Q66&lt;=60),AND(Dashboard!$P$3="Over 60 days",Q66&gt;60),AND(Dashboard!$P$3="All overdue",Q66&gt;0)),1,0)</f>
        <v>1</v>
      </c>
      <c r="V66" s="1">
        <f t="shared" si="7"/>
        <v>315034568.62</v>
      </c>
      <c r="W66" s="1">
        <f t="shared" si="8"/>
        <v>0</v>
      </c>
      <c r="X66" s="1">
        <f>IF(V66&gt;0,COUNTIF($V$6:V66,"&gt;0"),"")</f>
        <v>61</v>
      </c>
      <c r="Y66" s="17" t="str">
        <f t="shared" si="9"/>
        <v>CAL-current-061|000061</v>
      </c>
      <c r="Z66" s="1"/>
      <c r="AA66" s="17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 t="s">
        <v>28</v>
      </c>
      <c r="B67" s="1" t="s">
        <v>86</v>
      </c>
      <c r="C67" s="1" t="s">
        <v>193</v>
      </c>
      <c r="D67" s="1" t="s">
        <v>194</v>
      </c>
      <c r="E67" s="4">
        <v>45792</v>
      </c>
      <c r="F67" s="4">
        <v>45822</v>
      </c>
      <c r="G67" s="5">
        <v>465235282.24000001</v>
      </c>
      <c r="H67" s="5">
        <v>49846637.380000003</v>
      </c>
      <c r="I67" s="5">
        <v>415388644.86000001</v>
      </c>
      <c r="J67" s="1" t="s">
        <v>25</v>
      </c>
      <c r="K67" s="1" t="s">
        <v>64</v>
      </c>
      <c r="L67" s="1" t="s">
        <v>70</v>
      </c>
      <c r="M67" s="1" t="s">
        <v>66</v>
      </c>
      <c r="N67" s="6"/>
      <c r="O67" s="6"/>
      <c r="P67" s="7" t="s">
        <v>67</v>
      </c>
      <c r="Q67" s="1">
        <f>IF(ISNUMBER(F67),Dashboard!$D$2-F67,"")</f>
        <v>-45</v>
      </c>
      <c r="R67" s="1">
        <f>IF(AND(OR(Dashboard!$P$1="All",A67=Dashboard!$P$1),OR(Dashboard!$P$2="All",J67=Dashboard!$P$2)),1,0)</f>
        <v>1</v>
      </c>
      <c r="S67" s="1">
        <f t="shared" si="5"/>
        <v>415388644.86000001</v>
      </c>
      <c r="T67" s="1">
        <f t="shared" si="6"/>
        <v>0</v>
      </c>
      <c r="U67" s="1">
        <f>IF(OR(Dashboard!$P$3="All",AND(Dashboard!$P$3="Not due",Q67&lt;0),AND(Dashboard!$P$3="Due in 10 days",Q67&gt;=-10,Q67&lt;=0),AND(Dashboard!$P$3="Due in 30 days",Q67&gt;=-30,Q67&lt;=0),AND(Dashboard!$P$3="Overdue 1-60 days",Q67&gt;0,Q67&lt;=60),AND(Dashboard!$P$3="Over 60 days",Q67&gt;60),AND(Dashboard!$P$3="All overdue",Q67&gt;0)),1,0)</f>
        <v>1</v>
      </c>
      <c r="V67" s="1">
        <f t="shared" si="7"/>
        <v>415388644.86000001</v>
      </c>
      <c r="W67" s="1">
        <f t="shared" si="8"/>
        <v>0</v>
      </c>
      <c r="X67" s="1">
        <f>IF(V67&gt;0,COUNTIF($V$6:V67,"&gt;0"),"")</f>
        <v>62</v>
      </c>
      <c r="Y67" s="17" t="str">
        <f t="shared" si="9"/>
        <v>CAL-current-062|000062</v>
      </c>
      <c r="Z67" s="1"/>
      <c r="AA67" s="17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 t="s">
        <v>28</v>
      </c>
      <c r="B68" s="1" t="s">
        <v>86</v>
      </c>
      <c r="C68" s="1" t="s">
        <v>195</v>
      </c>
      <c r="D68" s="1" t="s">
        <v>196</v>
      </c>
      <c r="E68" s="4">
        <v>45777</v>
      </c>
      <c r="F68" s="4">
        <v>45822</v>
      </c>
      <c r="G68" s="5">
        <v>253031170.88999999</v>
      </c>
      <c r="H68" s="5">
        <v>47314771.789999999</v>
      </c>
      <c r="I68" s="5">
        <v>205716399.09999999</v>
      </c>
      <c r="J68" s="1" t="s">
        <v>25</v>
      </c>
      <c r="K68" s="1" t="s">
        <v>64</v>
      </c>
      <c r="L68" s="1" t="s">
        <v>73</v>
      </c>
      <c r="M68" s="1" t="s">
        <v>66</v>
      </c>
      <c r="N68" s="6"/>
      <c r="O68" s="6"/>
      <c r="P68" s="7" t="s">
        <v>67</v>
      </c>
      <c r="Q68" s="1">
        <f>IF(ISNUMBER(F68),Dashboard!$D$2-F68,"")</f>
        <v>-45</v>
      </c>
      <c r="R68" s="1">
        <f>IF(AND(OR(Dashboard!$P$1="All",A68=Dashboard!$P$1),OR(Dashboard!$P$2="All",J68=Dashboard!$P$2)),1,0)</f>
        <v>1</v>
      </c>
      <c r="S68" s="1">
        <f t="shared" si="5"/>
        <v>205716399.09999999</v>
      </c>
      <c r="T68" s="1">
        <f t="shared" si="6"/>
        <v>0</v>
      </c>
      <c r="U68" s="1">
        <f>IF(OR(Dashboard!$P$3="All",AND(Dashboard!$P$3="Not due",Q68&lt;0),AND(Dashboard!$P$3="Due in 10 days",Q68&gt;=-10,Q68&lt;=0),AND(Dashboard!$P$3="Due in 30 days",Q68&gt;=-30,Q68&lt;=0),AND(Dashboard!$P$3="Overdue 1-60 days",Q68&gt;0,Q68&lt;=60),AND(Dashboard!$P$3="Over 60 days",Q68&gt;60),AND(Dashboard!$P$3="All overdue",Q68&gt;0)),1,0)</f>
        <v>1</v>
      </c>
      <c r="V68" s="1">
        <f t="shared" si="7"/>
        <v>205716399.09999999</v>
      </c>
      <c r="W68" s="1">
        <f t="shared" si="8"/>
        <v>0</v>
      </c>
      <c r="X68" s="1">
        <f>IF(V68&gt;0,COUNTIF($V$6:V68,"&gt;0"),"")</f>
        <v>63</v>
      </c>
      <c r="Y68" s="17" t="str">
        <f t="shared" si="9"/>
        <v>CAL-current-063|000063</v>
      </c>
      <c r="Z68" s="1"/>
      <c r="AA68" s="17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 t="s">
        <v>28</v>
      </c>
      <c r="B69" s="1" t="s">
        <v>86</v>
      </c>
      <c r="C69" s="1" t="s">
        <v>197</v>
      </c>
      <c r="D69" s="1" t="s">
        <v>198</v>
      </c>
      <c r="E69" s="4">
        <v>45777</v>
      </c>
      <c r="F69" s="4">
        <v>45822</v>
      </c>
      <c r="G69" s="5">
        <v>429800173.69999999</v>
      </c>
      <c r="H69" s="5">
        <v>80369138.170000002</v>
      </c>
      <c r="I69" s="5">
        <v>349431035.52999997</v>
      </c>
      <c r="J69" s="1" t="s">
        <v>25</v>
      </c>
      <c r="K69" s="1" t="s">
        <v>64</v>
      </c>
      <c r="L69" s="1" t="s">
        <v>76</v>
      </c>
      <c r="M69" s="1" t="s">
        <v>66</v>
      </c>
      <c r="N69" s="6"/>
      <c r="O69" s="6"/>
      <c r="P69" s="7" t="s">
        <v>67</v>
      </c>
      <c r="Q69" s="1">
        <f>IF(ISNUMBER(F69),Dashboard!$D$2-F69,"")</f>
        <v>-45</v>
      </c>
      <c r="R69" s="1">
        <f>IF(AND(OR(Dashboard!$P$1="All",A69=Dashboard!$P$1),OR(Dashboard!$P$2="All",J69=Dashboard!$P$2)),1,0)</f>
        <v>1</v>
      </c>
      <c r="S69" s="1">
        <f t="shared" si="5"/>
        <v>349431035.52999997</v>
      </c>
      <c r="T69" s="1">
        <f t="shared" si="6"/>
        <v>0</v>
      </c>
      <c r="U69" s="1">
        <f>IF(OR(Dashboard!$P$3="All",AND(Dashboard!$P$3="Not due",Q69&lt;0),AND(Dashboard!$P$3="Due in 10 days",Q69&gt;=-10,Q69&lt;=0),AND(Dashboard!$P$3="Due in 30 days",Q69&gt;=-30,Q69&lt;=0),AND(Dashboard!$P$3="Overdue 1-60 days",Q69&gt;0,Q69&lt;=60),AND(Dashboard!$P$3="Over 60 days",Q69&gt;60),AND(Dashboard!$P$3="All overdue",Q69&gt;0)),1,0)</f>
        <v>1</v>
      </c>
      <c r="V69" s="1">
        <f t="shared" si="7"/>
        <v>349431035.52999997</v>
      </c>
      <c r="W69" s="1">
        <f t="shared" si="8"/>
        <v>0</v>
      </c>
      <c r="X69" s="1">
        <f>IF(V69&gt;0,COUNTIF($V$6:V69,"&gt;0"),"")</f>
        <v>64</v>
      </c>
      <c r="Y69" s="17" t="str">
        <f t="shared" si="9"/>
        <v>CAL-current-064|000064</v>
      </c>
      <c r="Z69" s="1"/>
      <c r="AA69" s="17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 t="s">
        <v>28</v>
      </c>
      <c r="B70" s="1" t="s">
        <v>86</v>
      </c>
      <c r="C70" s="1" t="s">
        <v>199</v>
      </c>
      <c r="D70" s="1" t="s">
        <v>200</v>
      </c>
      <c r="E70" s="4">
        <v>45792</v>
      </c>
      <c r="F70" s="4">
        <v>45822</v>
      </c>
      <c r="G70" s="5">
        <v>311659553.77999997</v>
      </c>
      <c r="H70" s="5">
        <v>33392095.050000001</v>
      </c>
      <c r="I70" s="5">
        <v>278267458.73000002</v>
      </c>
      <c r="J70" s="1" t="s">
        <v>25</v>
      </c>
      <c r="K70" s="1" t="s">
        <v>64</v>
      </c>
      <c r="L70" s="1" t="s">
        <v>65</v>
      </c>
      <c r="M70" s="1" t="s">
        <v>66</v>
      </c>
      <c r="N70" s="6"/>
      <c r="O70" s="6"/>
      <c r="P70" s="7" t="s">
        <v>67</v>
      </c>
      <c r="Q70" s="1">
        <f>IF(ISNUMBER(F70),Dashboard!$D$2-F70,"")</f>
        <v>-45</v>
      </c>
      <c r="R70" s="1">
        <f>IF(AND(OR(Dashboard!$P$1="All",A70=Dashboard!$P$1),OR(Dashboard!$P$2="All",J70=Dashboard!$P$2)),1,0)</f>
        <v>1</v>
      </c>
      <c r="S70" s="1">
        <f t="shared" ref="S70:S101" si="10">I70*R70</f>
        <v>278267458.73000002</v>
      </c>
      <c r="T70" s="1">
        <f t="shared" ref="T70:T101" si="11">IF(AND(ISNUMBER(Q70),Q70&gt;0),S70,0)</f>
        <v>0</v>
      </c>
      <c r="U70" s="1">
        <f>IF(OR(Dashboard!$P$3="All",AND(Dashboard!$P$3="Not due",Q70&lt;0),AND(Dashboard!$P$3="Due in 10 days",Q70&gt;=-10,Q70&lt;=0),AND(Dashboard!$P$3="Due in 30 days",Q70&gt;=-30,Q70&lt;=0),AND(Dashboard!$P$3="Overdue 1-60 days",Q70&gt;0,Q70&lt;=60),AND(Dashboard!$P$3="Over 60 days",Q70&gt;60),AND(Dashboard!$P$3="All overdue",Q70&gt;0)),1,0)</f>
        <v>1</v>
      </c>
      <c r="V70" s="1">
        <f t="shared" ref="V70:V101" si="12">S70*U70</f>
        <v>278267458.73000002</v>
      </c>
      <c r="W70" s="1">
        <f t="shared" ref="W70:W103" si="13">IF(Q70&gt;0,T70*Q70,0)</f>
        <v>0</v>
      </c>
      <c r="X70" s="1">
        <f>IF(V70&gt;0,COUNTIF($V$6:V70,"&gt;0"),"")</f>
        <v>65</v>
      </c>
      <c r="Y70" s="17" t="str">
        <f t="shared" ref="Y70:Y103" si="14">C70&amp;"|"&amp;D70</f>
        <v>CAL-current-065|000065</v>
      </c>
      <c r="Z70" s="1"/>
      <c r="AA70" s="17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 t="s">
        <v>28</v>
      </c>
      <c r="B71" s="1" t="s">
        <v>86</v>
      </c>
      <c r="C71" s="1" t="s">
        <v>201</v>
      </c>
      <c r="D71" s="1" t="s">
        <v>202</v>
      </c>
      <c r="E71" s="4">
        <v>45777</v>
      </c>
      <c r="F71" s="4">
        <v>45822</v>
      </c>
      <c r="G71" s="5">
        <v>454677305.98000002</v>
      </c>
      <c r="H71" s="5">
        <v>48715425.640000001</v>
      </c>
      <c r="I71" s="5">
        <v>405961880.33999997</v>
      </c>
      <c r="J71" s="1" t="s">
        <v>25</v>
      </c>
      <c r="K71" s="1" t="s">
        <v>64</v>
      </c>
      <c r="L71" s="1" t="s">
        <v>70</v>
      </c>
      <c r="M71" s="1" t="s">
        <v>66</v>
      </c>
      <c r="N71" s="6"/>
      <c r="O71" s="6"/>
      <c r="P71" s="7" t="s">
        <v>67</v>
      </c>
      <c r="Q71" s="1">
        <f>IF(ISNUMBER(F71),Dashboard!$D$2-F71,"")</f>
        <v>-45</v>
      </c>
      <c r="R71" s="1">
        <f>IF(AND(OR(Dashboard!$P$1="All",A71=Dashboard!$P$1),OR(Dashboard!$P$2="All",J71=Dashboard!$P$2)),1,0)</f>
        <v>1</v>
      </c>
      <c r="S71" s="1">
        <f t="shared" si="10"/>
        <v>405961880.33999997</v>
      </c>
      <c r="T71" s="1">
        <f t="shared" si="11"/>
        <v>0</v>
      </c>
      <c r="U71" s="1">
        <f>IF(OR(Dashboard!$P$3="All",AND(Dashboard!$P$3="Not due",Q71&lt;0),AND(Dashboard!$P$3="Due in 10 days",Q71&gt;=-10,Q71&lt;=0),AND(Dashboard!$P$3="Due in 30 days",Q71&gt;=-30,Q71&lt;=0),AND(Dashboard!$P$3="Overdue 1-60 days",Q71&gt;0,Q71&lt;=60),AND(Dashboard!$P$3="Over 60 days",Q71&gt;60),AND(Dashboard!$P$3="All overdue",Q71&gt;0)),1,0)</f>
        <v>1</v>
      </c>
      <c r="V71" s="1">
        <f t="shared" si="12"/>
        <v>405961880.33999997</v>
      </c>
      <c r="W71" s="1">
        <f t="shared" si="13"/>
        <v>0</v>
      </c>
      <c r="X71" s="1">
        <f>IF(V71&gt;0,COUNTIF($V$6:V71,"&gt;0"),"")</f>
        <v>66</v>
      </c>
      <c r="Y71" s="17" t="str">
        <f t="shared" si="14"/>
        <v>CAL-current-066|000066</v>
      </c>
      <c r="Z71" s="1"/>
      <c r="AA71" s="17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 t="s">
        <v>28</v>
      </c>
      <c r="B72" s="1" t="s">
        <v>86</v>
      </c>
      <c r="C72" s="1" t="s">
        <v>203</v>
      </c>
      <c r="D72" s="1" t="s">
        <v>204</v>
      </c>
      <c r="E72" s="4">
        <v>45777</v>
      </c>
      <c r="F72" s="4">
        <v>45822</v>
      </c>
      <c r="G72" s="5">
        <v>397394097.86000001</v>
      </c>
      <c r="H72" s="5">
        <v>107325413.29000001</v>
      </c>
      <c r="I72" s="5">
        <v>290068684.56999999</v>
      </c>
      <c r="J72" s="1" t="s">
        <v>25</v>
      </c>
      <c r="K72" s="1" t="s">
        <v>64</v>
      </c>
      <c r="L72" s="1" t="s">
        <v>73</v>
      </c>
      <c r="M72" s="1" t="s">
        <v>66</v>
      </c>
      <c r="N72" s="6"/>
      <c r="O72" s="6"/>
      <c r="P72" s="7" t="s">
        <v>67</v>
      </c>
      <c r="Q72" s="1">
        <f>IF(ISNUMBER(F72),Dashboard!$D$2-F72,"")</f>
        <v>-45</v>
      </c>
      <c r="R72" s="1">
        <f>IF(AND(OR(Dashboard!$P$1="All",A72=Dashboard!$P$1),OR(Dashboard!$P$2="All",J72=Dashboard!$P$2)),1,0)</f>
        <v>1</v>
      </c>
      <c r="S72" s="1">
        <f t="shared" si="10"/>
        <v>290068684.56999999</v>
      </c>
      <c r="T72" s="1">
        <f t="shared" si="11"/>
        <v>0</v>
      </c>
      <c r="U72" s="1">
        <f>IF(OR(Dashboard!$P$3="All",AND(Dashboard!$P$3="Not due",Q72&lt;0),AND(Dashboard!$P$3="Due in 10 days",Q72&gt;=-10,Q72&lt;=0),AND(Dashboard!$P$3="Due in 30 days",Q72&gt;=-30,Q72&lt;=0),AND(Dashboard!$P$3="Overdue 1-60 days",Q72&gt;0,Q72&lt;=60),AND(Dashboard!$P$3="Over 60 days",Q72&gt;60),AND(Dashboard!$P$3="All overdue",Q72&gt;0)),1,0)</f>
        <v>1</v>
      </c>
      <c r="V72" s="1">
        <f t="shared" si="12"/>
        <v>290068684.56999999</v>
      </c>
      <c r="W72" s="1">
        <f t="shared" si="13"/>
        <v>0</v>
      </c>
      <c r="X72" s="1">
        <f>IF(V72&gt;0,COUNTIF($V$6:V72,"&gt;0"),"")</f>
        <v>67</v>
      </c>
      <c r="Y72" s="17" t="str">
        <f t="shared" si="14"/>
        <v>CAL-current-067|000067</v>
      </c>
      <c r="Z72" s="1"/>
      <c r="AA72" s="17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 t="s">
        <v>28</v>
      </c>
      <c r="B73" s="1" t="s">
        <v>86</v>
      </c>
      <c r="C73" s="1" t="s">
        <v>205</v>
      </c>
      <c r="D73" s="1" t="s">
        <v>206</v>
      </c>
      <c r="E73" s="4">
        <v>45762</v>
      </c>
      <c r="F73" s="4">
        <v>45822</v>
      </c>
      <c r="G73" s="5">
        <v>212323854.30000001</v>
      </c>
      <c r="H73" s="5">
        <v>57342938.75</v>
      </c>
      <c r="I73" s="5">
        <v>154980915.55000001</v>
      </c>
      <c r="J73" s="1" t="s">
        <v>25</v>
      </c>
      <c r="K73" s="1" t="s">
        <v>64</v>
      </c>
      <c r="L73" s="1" t="s">
        <v>76</v>
      </c>
      <c r="M73" s="1" t="s">
        <v>66</v>
      </c>
      <c r="N73" s="6"/>
      <c r="O73" s="6"/>
      <c r="P73" s="7" t="s">
        <v>67</v>
      </c>
      <c r="Q73" s="1">
        <f>IF(ISNUMBER(F73),Dashboard!$D$2-F73,"")</f>
        <v>-45</v>
      </c>
      <c r="R73" s="1">
        <f>IF(AND(OR(Dashboard!$P$1="All",A73=Dashboard!$P$1),OR(Dashboard!$P$2="All",J73=Dashboard!$P$2)),1,0)</f>
        <v>1</v>
      </c>
      <c r="S73" s="1">
        <f t="shared" si="10"/>
        <v>154980915.55000001</v>
      </c>
      <c r="T73" s="1">
        <f t="shared" si="11"/>
        <v>0</v>
      </c>
      <c r="U73" s="1">
        <f>IF(OR(Dashboard!$P$3="All",AND(Dashboard!$P$3="Not due",Q73&lt;0),AND(Dashboard!$P$3="Due in 10 days",Q73&gt;=-10,Q73&lt;=0),AND(Dashboard!$P$3="Due in 30 days",Q73&gt;=-30,Q73&lt;=0),AND(Dashboard!$P$3="Overdue 1-60 days",Q73&gt;0,Q73&lt;=60),AND(Dashboard!$P$3="Over 60 days",Q73&gt;60),AND(Dashboard!$P$3="All overdue",Q73&gt;0)),1,0)</f>
        <v>1</v>
      </c>
      <c r="V73" s="1">
        <f t="shared" si="12"/>
        <v>154980915.55000001</v>
      </c>
      <c r="W73" s="1">
        <f t="shared" si="13"/>
        <v>0</v>
      </c>
      <c r="X73" s="1">
        <f>IF(V73&gt;0,COUNTIF($V$6:V73,"&gt;0"),"")</f>
        <v>68</v>
      </c>
      <c r="Y73" s="17" t="str">
        <f t="shared" si="14"/>
        <v>CAL-current-068|000068</v>
      </c>
      <c r="Z73" s="1"/>
      <c r="AA73" s="17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 t="s">
        <v>28</v>
      </c>
      <c r="B74" s="1" t="s">
        <v>86</v>
      </c>
      <c r="C74" s="1" t="s">
        <v>207</v>
      </c>
      <c r="D74" s="1" t="s">
        <v>208</v>
      </c>
      <c r="E74" s="4">
        <v>45777</v>
      </c>
      <c r="F74" s="4">
        <v>45822</v>
      </c>
      <c r="G74" s="5">
        <v>255898322.22</v>
      </c>
      <c r="H74" s="5">
        <v>69111225.709999993</v>
      </c>
      <c r="I74" s="5">
        <v>186787096.50999999</v>
      </c>
      <c r="J74" s="1" t="s">
        <v>25</v>
      </c>
      <c r="K74" s="1" t="s">
        <v>64</v>
      </c>
      <c r="L74" s="1" t="s">
        <v>65</v>
      </c>
      <c r="M74" s="1" t="s">
        <v>66</v>
      </c>
      <c r="N74" s="6"/>
      <c r="O74" s="6"/>
      <c r="P74" s="7" t="s">
        <v>67</v>
      </c>
      <c r="Q74" s="1">
        <f>IF(ISNUMBER(F74),Dashboard!$D$2-F74,"")</f>
        <v>-45</v>
      </c>
      <c r="R74" s="1">
        <f>IF(AND(OR(Dashboard!$P$1="All",A74=Dashboard!$P$1),OR(Dashboard!$P$2="All",J74=Dashboard!$P$2)),1,0)</f>
        <v>1</v>
      </c>
      <c r="S74" s="1">
        <f t="shared" si="10"/>
        <v>186787096.50999999</v>
      </c>
      <c r="T74" s="1">
        <f t="shared" si="11"/>
        <v>0</v>
      </c>
      <c r="U74" s="1">
        <f>IF(OR(Dashboard!$P$3="All",AND(Dashboard!$P$3="Not due",Q74&lt;0),AND(Dashboard!$P$3="Due in 10 days",Q74&gt;=-10,Q74&lt;=0),AND(Dashboard!$P$3="Due in 30 days",Q74&gt;=-30,Q74&lt;=0),AND(Dashboard!$P$3="Overdue 1-60 days",Q74&gt;0,Q74&lt;=60),AND(Dashboard!$P$3="Over 60 days",Q74&gt;60),AND(Dashboard!$P$3="All overdue",Q74&gt;0)),1,0)</f>
        <v>1</v>
      </c>
      <c r="V74" s="1">
        <f t="shared" si="12"/>
        <v>186787096.50999999</v>
      </c>
      <c r="W74" s="1">
        <f t="shared" si="13"/>
        <v>0</v>
      </c>
      <c r="X74" s="1">
        <f>IF(V74&gt;0,COUNTIF($V$6:V74,"&gt;0"),"")</f>
        <v>69</v>
      </c>
      <c r="Y74" s="17" t="str">
        <f t="shared" si="14"/>
        <v>CAL-current-069|000069</v>
      </c>
      <c r="Z74" s="1"/>
      <c r="AA74" s="17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 t="s">
        <v>28</v>
      </c>
      <c r="B75" s="1" t="s">
        <v>86</v>
      </c>
      <c r="C75" s="1" t="s">
        <v>209</v>
      </c>
      <c r="D75" s="1" t="s">
        <v>210</v>
      </c>
      <c r="E75" s="4">
        <v>45762</v>
      </c>
      <c r="F75" s="4">
        <v>45822</v>
      </c>
      <c r="G75" s="5">
        <v>332691502.63</v>
      </c>
      <c r="H75" s="5">
        <v>89850989.760000005</v>
      </c>
      <c r="I75" s="5">
        <v>242840512.87</v>
      </c>
      <c r="J75" s="1" t="s">
        <v>25</v>
      </c>
      <c r="K75" s="1" t="s">
        <v>64</v>
      </c>
      <c r="L75" s="1" t="s">
        <v>70</v>
      </c>
      <c r="M75" s="1" t="s">
        <v>66</v>
      </c>
      <c r="N75" s="6"/>
      <c r="O75" s="6"/>
      <c r="P75" s="7" t="s">
        <v>67</v>
      </c>
      <c r="Q75" s="1">
        <f>IF(ISNUMBER(F75),Dashboard!$D$2-F75,"")</f>
        <v>-45</v>
      </c>
      <c r="R75" s="1">
        <f>IF(AND(OR(Dashboard!$P$1="All",A75=Dashboard!$P$1),OR(Dashboard!$P$2="All",J75=Dashboard!$P$2)),1,0)</f>
        <v>1</v>
      </c>
      <c r="S75" s="1">
        <f t="shared" si="10"/>
        <v>242840512.87</v>
      </c>
      <c r="T75" s="1">
        <f t="shared" si="11"/>
        <v>0</v>
      </c>
      <c r="U75" s="1">
        <f>IF(OR(Dashboard!$P$3="All",AND(Dashboard!$P$3="Not due",Q75&lt;0),AND(Dashboard!$P$3="Due in 10 days",Q75&gt;=-10,Q75&lt;=0),AND(Dashboard!$P$3="Due in 30 days",Q75&gt;=-30,Q75&lt;=0),AND(Dashboard!$P$3="Overdue 1-60 days",Q75&gt;0,Q75&lt;=60),AND(Dashboard!$P$3="Over 60 days",Q75&gt;60),AND(Dashboard!$P$3="All overdue",Q75&gt;0)),1,0)</f>
        <v>1</v>
      </c>
      <c r="V75" s="1">
        <f t="shared" si="12"/>
        <v>242840512.87</v>
      </c>
      <c r="W75" s="1">
        <f t="shared" si="13"/>
        <v>0</v>
      </c>
      <c r="X75" s="1">
        <f>IF(V75&gt;0,COUNTIF($V$6:V75,"&gt;0"),"")</f>
        <v>70</v>
      </c>
      <c r="Y75" s="17" t="str">
        <f t="shared" si="14"/>
        <v>CAL-current-070|000070</v>
      </c>
      <c r="Z75" s="1"/>
      <c r="AA75" s="17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 t="s">
        <v>28</v>
      </c>
      <c r="B76" s="1" t="s">
        <v>86</v>
      </c>
      <c r="C76" s="1" t="s">
        <v>211</v>
      </c>
      <c r="D76" s="1" t="s">
        <v>212</v>
      </c>
      <c r="E76" s="4">
        <v>45777</v>
      </c>
      <c r="F76" s="4">
        <v>45822</v>
      </c>
      <c r="G76" s="5">
        <v>270429797.19</v>
      </c>
      <c r="H76" s="5">
        <v>50568173.460000001</v>
      </c>
      <c r="I76" s="5">
        <v>219861623.72999999</v>
      </c>
      <c r="J76" s="1" t="s">
        <v>25</v>
      </c>
      <c r="K76" s="1" t="s">
        <v>64</v>
      </c>
      <c r="L76" s="1" t="s">
        <v>73</v>
      </c>
      <c r="M76" s="1" t="s">
        <v>66</v>
      </c>
      <c r="N76" s="6"/>
      <c r="O76" s="6"/>
      <c r="P76" s="7" t="s">
        <v>67</v>
      </c>
      <c r="Q76" s="1">
        <f>IF(ISNUMBER(F76),Dashboard!$D$2-F76,"")</f>
        <v>-45</v>
      </c>
      <c r="R76" s="1">
        <f>IF(AND(OR(Dashboard!$P$1="All",A76=Dashboard!$P$1),OR(Dashboard!$P$2="All",J76=Dashboard!$P$2)),1,0)</f>
        <v>1</v>
      </c>
      <c r="S76" s="1">
        <f t="shared" si="10"/>
        <v>219861623.72999999</v>
      </c>
      <c r="T76" s="1">
        <f t="shared" si="11"/>
        <v>0</v>
      </c>
      <c r="U76" s="1">
        <f>IF(OR(Dashboard!$P$3="All",AND(Dashboard!$P$3="Not due",Q76&lt;0),AND(Dashboard!$P$3="Due in 10 days",Q76&gt;=-10,Q76&lt;=0),AND(Dashboard!$P$3="Due in 30 days",Q76&gt;=-30,Q76&lt;=0),AND(Dashboard!$P$3="Overdue 1-60 days",Q76&gt;0,Q76&lt;=60),AND(Dashboard!$P$3="Over 60 days",Q76&gt;60),AND(Dashboard!$P$3="All overdue",Q76&gt;0)),1,0)</f>
        <v>1</v>
      </c>
      <c r="V76" s="1">
        <f t="shared" si="12"/>
        <v>219861623.72999999</v>
      </c>
      <c r="W76" s="1">
        <f t="shared" si="13"/>
        <v>0</v>
      </c>
      <c r="X76" s="1">
        <f>IF(V76&gt;0,COUNTIF($V$6:V76,"&gt;0"),"")</f>
        <v>71</v>
      </c>
      <c r="Y76" s="17" t="str">
        <f t="shared" si="14"/>
        <v>CAL-current-071|000071</v>
      </c>
      <c r="Z76" s="1"/>
      <c r="AA76" s="17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 t="s">
        <v>28</v>
      </c>
      <c r="B77" s="1" t="s">
        <v>86</v>
      </c>
      <c r="C77" s="1" t="s">
        <v>213</v>
      </c>
      <c r="D77" s="1" t="s">
        <v>214</v>
      </c>
      <c r="E77" s="4">
        <v>45788</v>
      </c>
      <c r="F77" s="4">
        <v>45833</v>
      </c>
      <c r="G77" s="5">
        <v>390745532.48000002</v>
      </c>
      <c r="H77" s="5">
        <v>41865592.770000003</v>
      </c>
      <c r="I77" s="5">
        <v>348879939.70999998</v>
      </c>
      <c r="J77" s="1" t="s">
        <v>27</v>
      </c>
      <c r="K77" s="1" t="s">
        <v>64</v>
      </c>
      <c r="L77" s="1" t="s">
        <v>76</v>
      </c>
      <c r="M77" s="1" t="s">
        <v>66</v>
      </c>
      <c r="N77" s="6"/>
      <c r="O77" s="6"/>
      <c r="P77" s="7" t="s">
        <v>67</v>
      </c>
      <c r="Q77" s="1">
        <f>IF(ISNUMBER(F77),Dashboard!$D$2-F77,"")</f>
        <v>-56</v>
      </c>
      <c r="R77" s="1">
        <f>IF(AND(OR(Dashboard!$P$1="All",A77=Dashboard!$P$1),OR(Dashboard!$P$2="All",J77=Dashboard!$P$2)),1,0)</f>
        <v>1</v>
      </c>
      <c r="S77" s="1">
        <f t="shared" si="10"/>
        <v>348879939.70999998</v>
      </c>
      <c r="T77" s="1">
        <f t="shared" si="11"/>
        <v>0</v>
      </c>
      <c r="U77" s="1">
        <f>IF(OR(Dashboard!$P$3="All",AND(Dashboard!$P$3="Not due",Q77&lt;0),AND(Dashboard!$P$3="Due in 10 days",Q77&gt;=-10,Q77&lt;=0),AND(Dashboard!$P$3="Due in 30 days",Q77&gt;=-30,Q77&lt;=0),AND(Dashboard!$P$3="Overdue 1-60 days",Q77&gt;0,Q77&lt;=60),AND(Dashboard!$P$3="Over 60 days",Q77&gt;60),AND(Dashboard!$P$3="All overdue",Q77&gt;0)),1,0)</f>
        <v>1</v>
      </c>
      <c r="V77" s="1">
        <f t="shared" si="12"/>
        <v>348879939.70999998</v>
      </c>
      <c r="W77" s="1">
        <f t="shared" si="13"/>
        <v>0</v>
      </c>
      <c r="X77" s="1">
        <f>IF(V77&gt;0,COUNTIF($V$6:V77,"&gt;0"),"")</f>
        <v>72</v>
      </c>
      <c r="Y77" s="17" t="str">
        <f t="shared" si="14"/>
        <v>CAL-current-072|000072</v>
      </c>
      <c r="Z77" s="1"/>
      <c r="AA77" s="17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 t="s">
        <v>28</v>
      </c>
      <c r="B78" s="1" t="s">
        <v>86</v>
      </c>
      <c r="C78" s="1" t="s">
        <v>215</v>
      </c>
      <c r="D78" s="1" t="s">
        <v>216</v>
      </c>
      <c r="E78" s="4">
        <v>45773</v>
      </c>
      <c r="F78" s="4">
        <v>45833</v>
      </c>
      <c r="G78" s="5">
        <v>170186118.58000001</v>
      </c>
      <c r="H78" s="5">
        <v>18234226.989999998</v>
      </c>
      <c r="I78" s="5">
        <v>151951891.59</v>
      </c>
      <c r="J78" s="1" t="s">
        <v>27</v>
      </c>
      <c r="K78" s="1" t="s">
        <v>64</v>
      </c>
      <c r="L78" s="1" t="s">
        <v>65</v>
      </c>
      <c r="M78" s="1" t="s">
        <v>66</v>
      </c>
      <c r="N78" s="6"/>
      <c r="O78" s="6"/>
      <c r="P78" s="7" t="s">
        <v>67</v>
      </c>
      <c r="Q78" s="1">
        <f>IF(ISNUMBER(F78),Dashboard!$D$2-F78,"")</f>
        <v>-56</v>
      </c>
      <c r="R78" s="1">
        <f>IF(AND(OR(Dashboard!$P$1="All",A78=Dashboard!$P$1),OR(Dashboard!$P$2="All",J78=Dashboard!$P$2)),1,0)</f>
        <v>1</v>
      </c>
      <c r="S78" s="1">
        <f t="shared" si="10"/>
        <v>151951891.59</v>
      </c>
      <c r="T78" s="1">
        <f t="shared" si="11"/>
        <v>0</v>
      </c>
      <c r="U78" s="1">
        <f>IF(OR(Dashboard!$P$3="All",AND(Dashboard!$P$3="Not due",Q78&lt;0),AND(Dashboard!$P$3="Due in 10 days",Q78&gt;=-10,Q78&lt;=0),AND(Dashboard!$P$3="Due in 30 days",Q78&gt;=-30,Q78&lt;=0),AND(Dashboard!$P$3="Overdue 1-60 days",Q78&gt;0,Q78&lt;=60),AND(Dashboard!$P$3="Over 60 days",Q78&gt;60),AND(Dashboard!$P$3="All overdue",Q78&gt;0)),1,0)</f>
        <v>1</v>
      </c>
      <c r="V78" s="1">
        <f t="shared" si="12"/>
        <v>151951891.59</v>
      </c>
      <c r="W78" s="1">
        <f t="shared" si="13"/>
        <v>0</v>
      </c>
      <c r="X78" s="1">
        <f>IF(V78&gt;0,COUNTIF($V$6:V78,"&gt;0"),"")</f>
        <v>73</v>
      </c>
      <c r="Y78" s="17" t="str">
        <f t="shared" si="14"/>
        <v>CAL-current-073|000073</v>
      </c>
      <c r="Z78" s="1"/>
      <c r="AA78" s="17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 t="s">
        <v>28</v>
      </c>
      <c r="B79" s="1" t="s">
        <v>86</v>
      </c>
      <c r="C79" s="1" t="s">
        <v>217</v>
      </c>
      <c r="D79" s="1" t="s">
        <v>218</v>
      </c>
      <c r="E79" s="4">
        <v>45803</v>
      </c>
      <c r="F79" s="4">
        <v>45833</v>
      </c>
      <c r="G79" s="5">
        <v>465534561.30000001</v>
      </c>
      <c r="H79" s="5">
        <v>87051178.129999995</v>
      </c>
      <c r="I79" s="5">
        <v>378483383.17000002</v>
      </c>
      <c r="J79" s="1" t="s">
        <v>27</v>
      </c>
      <c r="K79" s="1" t="s">
        <v>64</v>
      </c>
      <c r="L79" s="1" t="s">
        <v>70</v>
      </c>
      <c r="M79" s="1" t="s">
        <v>66</v>
      </c>
      <c r="N79" s="6"/>
      <c r="O79" s="6"/>
      <c r="P79" s="7" t="s">
        <v>67</v>
      </c>
      <c r="Q79" s="1">
        <f>IF(ISNUMBER(F79),Dashboard!$D$2-F79,"")</f>
        <v>-56</v>
      </c>
      <c r="R79" s="1">
        <f>IF(AND(OR(Dashboard!$P$1="All",A79=Dashboard!$P$1),OR(Dashboard!$P$2="All",J79=Dashboard!$P$2)),1,0)</f>
        <v>1</v>
      </c>
      <c r="S79" s="1">
        <f t="shared" si="10"/>
        <v>378483383.17000002</v>
      </c>
      <c r="T79" s="1">
        <f t="shared" si="11"/>
        <v>0</v>
      </c>
      <c r="U79" s="1">
        <f>IF(OR(Dashboard!$P$3="All",AND(Dashboard!$P$3="Not due",Q79&lt;0),AND(Dashboard!$P$3="Due in 10 days",Q79&gt;=-10,Q79&lt;=0),AND(Dashboard!$P$3="Due in 30 days",Q79&gt;=-30,Q79&lt;=0),AND(Dashboard!$P$3="Overdue 1-60 days",Q79&gt;0,Q79&lt;=60),AND(Dashboard!$P$3="Over 60 days",Q79&gt;60),AND(Dashboard!$P$3="All overdue",Q79&gt;0)),1,0)</f>
        <v>1</v>
      </c>
      <c r="V79" s="1">
        <f t="shared" si="12"/>
        <v>378483383.17000002</v>
      </c>
      <c r="W79" s="1">
        <f t="shared" si="13"/>
        <v>0</v>
      </c>
      <c r="X79" s="1">
        <f>IF(V79&gt;0,COUNTIF($V$6:V79,"&gt;0"),"")</f>
        <v>74</v>
      </c>
      <c r="Y79" s="17" t="str">
        <f t="shared" si="14"/>
        <v>CAL-current-074|000074</v>
      </c>
      <c r="Z79" s="1"/>
      <c r="AA79" s="17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 t="s">
        <v>28</v>
      </c>
      <c r="B80" s="1" t="s">
        <v>86</v>
      </c>
      <c r="C80" s="1" t="s">
        <v>219</v>
      </c>
      <c r="D80" s="1" t="s">
        <v>220</v>
      </c>
      <c r="E80" s="4">
        <v>45803</v>
      </c>
      <c r="F80" s="4">
        <v>45833</v>
      </c>
      <c r="G80" s="5">
        <v>423473935.14999998</v>
      </c>
      <c r="H80" s="5">
        <v>45372207.340000004</v>
      </c>
      <c r="I80" s="5">
        <v>378101727.81</v>
      </c>
      <c r="J80" s="1" t="s">
        <v>27</v>
      </c>
      <c r="K80" s="1" t="s">
        <v>64</v>
      </c>
      <c r="L80" s="1" t="s">
        <v>73</v>
      </c>
      <c r="M80" s="1" t="s">
        <v>66</v>
      </c>
      <c r="N80" s="6"/>
      <c r="O80" s="6"/>
      <c r="P80" s="7" t="s">
        <v>67</v>
      </c>
      <c r="Q80" s="1">
        <f>IF(ISNUMBER(F80),Dashboard!$D$2-F80,"")</f>
        <v>-56</v>
      </c>
      <c r="R80" s="1">
        <f>IF(AND(OR(Dashboard!$P$1="All",A80=Dashboard!$P$1),OR(Dashboard!$P$2="All",J80=Dashboard!$P$2)),1,0)</f>
        <v>1</v>
      </c>
      <c r="S80" s="1">
        <f t="shared" si="10"/>
        <v>378101727.81</v>
      </c>
      <c r="T80" s="1">
        <f t="shared" si="11"/>
        <v>0</v>
      </c>
      <c r="U80" s="1">
        <f>IF(OR(Dashboard!$P$3="All",AND(Dashboard!$P$3="Not due",Q80&lt;0),AND(Dashboard!$P$3="Due in 10 days",Q80&gt;=-10,Q80&lt;=0),AND(Dashboard!$P$3="Due in 30 days",Q80&gt;=-30,Q80&lt;=0),AND(Dashboard!$P$3="Overdue 1-60 days",Q80&gt;0,Q80&lt;=60),AND(Dashboard!$P$3="Over 60 days",Q80&gt;60),AND(Dashboard!$P$3="All overdue",Q80&gt;0)),1,0)</f>
        <v>1</v>
      </c>
      <c r="V80" s="1">
        <f t="shared" si="12"/>
        <v>378101727.81</v>
      </c>
      <c r="W80" s="1">
        <f t="shared" si="13"/>
        <v>0</v>
      </c>
      <c r="X80" s="1">
        <f>IF(V80&gt;0,COUNTIF($V$6:V80,"&gt;0"),"")</f>
        <v>75</v>
      </c>
      <c r="Y80" s="17" t="str">
        <f t="shared" si="14"/>
        <v>CAL-current-075|000075</v>
      </c>
      <c r="Z80" s="1"/>
      <c r="AA80" s="17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 t="s">
        <v>28</v>
      </c>
      <c r="B81" s="1" t="s">
        <v>86</v>
      </c>
      <c r="C81" s="1" t="s">
        <v>221</v>
      </c>
      <c r="D81" s="1" t="s">
        <v>222</v>
      </c>
      <c r="E81" s="4">
        <v>45788</v>
      </c>
      <c r="F81" s="4">
        <v>45833</v>
      </c>
      <c r="G81" s="5">
        <v>540136776.29999995</v>
      </c>
      <c r="H81" s="5">
        <v>145876355.63999999</v>
      </c>
      <c r="I81" s="5">
        <v>394260420.66000003</v>
      </c>
      <c r="J81" s="1" t="s">
        <v>27</v>
      </c>
      <c r="K81" s="1" t="s">
        <v>64</v>
      </c>
      <c r="L81" s="1" t="s">
        <v>76</v>
      </c>
      <c r="M81" s="1" t="s">
        <v>66</v>
      </c>
      <c r="N81" s="6"/>
      <c r="O81" s="6"/>
      <c r="P81" s="7" t="s">
        <v>67</v>
      </c>
      <c r="Q81" s="1">
        <f>IF(ISNUMBER(F81),Dashboard!$D$2-F81,"")</f>
        <v>-56</v>
      </c>
      <c r="R81" s="1">
        <f>IF(AND(OR(Dashboard!$P$1="All",A81=Dashboard!$P$1),OR(Dashboard!$P$2="All",J81=Dashboard!$P$2)),1,0)</f>
        <v>1</v>
      </c>
      <c r="S81" s="1">
        <f t="shared" si="10"/>
        <v>394260420.66000003</v>
      </c>
      <c r="T81" s="1">
        <f t="shared" si="11"/>
        <v>0</v>
      </c>
      <c r="U81" s="1">
        <f>IF(OR(Dashboard!$P$3="All",AND(Dashboard!$P$3="Not due",Q81&lt;0),AND(Dashboard!$P$3="Due in 10 days",Q81&gt;=-10,Q81&lt;=0),AND(Dashboard!$P$3="Due in 30 days",Q81&gt;=-30,Q81&lt;=0),AND(Dashboard!$P$3="Overdue 1-60 days",Q81&gt;0,Q81&lt;=60),AND(Dashboard!$P$3="Over 60 days",Q81&gt;60),AND(Dashboard!$P$3="All overdue",Q81&gt;0)),1,0)</f>
        <v>1</v>
      </c>
      <c r="V81" s="1">
        <f t="shared" si="12"/>
        <v>394260420.66000003</v>
      </c>
      <c r="W81" s="1">
        <f t="shared" si="13"/>
        <v>0</v>
      </c>
      <c r="X81" s="1">
        <f>IF(V81&gt;0,COUNTIF($V$6:V81,"&gt;0"),"")</f>
        <v>76</v>
      </c>
      <c r="Y81" s="17" t="str">
        <f t="shared" si="14"/>
        <v>CAL-current-076|000076</v>
      </c>
      <c r="Z81" s="1"/>
      <c r="AA81" s="17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 t="s">
        <v>28</v>
      </c>
      <c r="B82" s="1" t="s">
        <v>86</v>
      </c>
      <c r="C82" s="1" t="s">
        <v>223</v>
      </c>
      <c r="D82" s="1" t="s">
        <v>224</v>
      </c>
      <c r="E82" s="4">
        <v>45803</v>
      </c>
      <c r="F82" s="4">
        <v>45833</v>
      </c>
      <c r="G82" s="5">
        <v>275522170.06999999</v>
      </c>
      <c r="H82" s="5">
        <v>29520232.510000002</v>
      </c>
      <c r="I82" s="5">
        <v>246001937.56</v>
      </c>
      <c r="J82" s="1" t="s">
        <v>27</v>
      </c>
      <c r="K82" s="1" t="s">
        <v>64</v>
      </c>
      <c r="L82" s="1" t="s">
        <v>65</v>
      </c>
      <c r="M82" s="1" t="s">
        <v>66</v>
      </c>
      <c r="N82" s="6"/>
      <c r="O82" s="6"/>
      <c r="P82" s="7" t="s">
        <v>67</v>
      </c>
      <c r="Q82" s="1">
        <f>IF(ISNUMBER(F82),Dashboard!$D$2-F82,"")</f>
        <v>-56</v>
      </c>
      <c r="R82" s="1">
        <f>IF(AND(OR(Dashboard!$P$1="All",A82=Dashboard!$P$1),OR(Dashboard!$P$2="All",J82=Dashboard!$P$2)),1,0)</f>
        <v>1</v>
      </c>
      <c r="S82" s="1">
        <f t="shared" si="10"/>
        <v>246001937.56</v>
      </c>
      <c r="T82" s="1">
        <f t="shared" si="11"/>
        <v>0</v>
      </c>
      <c r="U82" s="1">
        <f>IF(OR(Dashboard!$P$3="All",AND(Dashboard!$P$3="Not due",Q82&lt;0),AND(Dashboard!$P$3="Due in 10 days",Q82&gt;=-10,Q82&lt;=0),AND(Dashboard!$P$3="Due in 30 days",Q82&gt;=-30,Q82&lt;=0),AND(Dashboard!$P$3="Overdue 1-60 days",Q82&gt;0,Q82&lt;=60),AND(Dashboard!$P$3="Over 60 days",Q82&gt;60),AND(Dashboard!$P$3="All overdue",Q82&gt;0)),1,0)</f>
        <v>1</v>
      </c>
      <c r="V82" s="1">
        <f t="shared" si="12"/>
        <v>246001937.56</v>
      </c>
      <c r="W82" s="1">
        <f t="shared" si="13"/>
        <v>0</v>
      </c>
      <c r="X82" s="1">
        <f>IF(V82&gt;0,COUNTIF($V$6:V82,"&gt;0"),"")</f>
        <v>77</v>
      </c>
      <c r="Y82" s="17" t="str">
        <f t="shared" si="14"/>
        <v>CAL-current-077|000077</v>
      </c>
      <c r="Z82" s="1"/>
      <c r="AA82" s="17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 t="s">
        <v>28</v>
      </c>
      <c r="B83" s="1" t="s">
        <v>86</v>
      </c>
      <c r="C83" s="1" t="s">
        <v>225</v>
      </c>
      <c r="D83" s="1" t="s">
        <v>226</v>
      </c>
      <c r="E83" s="4">
        <v>45803</v>
      </c>
      <c r="F83" s="4">
        <v>45833</v>
      </c>
      <c r="G83" s="5">
        <v>338210451.19999999</v>
      </c>
      <c r="H83" s="5">
        <v>63242604.700000003</v>
      </c>
      <c r="I83" s="5">
        <v>274967846.5</v>
      </c>
      <c r="J83" s="1" t="s">
        <v>27</v>
      </c>
      <c r="K83" s="1" t="s">
        <v>64</v>
      </c>
      <c r="L83" s="1" t="s">
        <v>70</v>
      </c>
      <c r="M83" s="1" t="s">
        <v>66</v>
      </c>
      <c r="N83" s="6"/>
      <c r="O83" s="6"/>
      <c r="P83" s="7" t="s">
        <v>67</v>
      </c>
      <c r="Q83" s="1">
        <f>IF(ISNUMBER(F83),Dashboard!$D$2-F83,"")</f>
        <v>-56</v>
      </c>
      <c r="R83" s="1">
        <f>IF(AND(OR(Dashboard!$P$1="All",A83=Dashboard!$P$1),OR(Dashboard!$P$2="All",J83=Dashboard!$P$2)),1,0)</f>
        <v>1</v>
      </c>
      <c r="S83" s="1">
        <f t="shared" si="10"/>
        <v>274967846.5</v>
      </c>
      <c r="T83" s="1">
        <f t="shared" si="11"/>
        <v>0</v>
      </c>
      <c r="U83" s="1">
        <f>IF(OR(Dashboard!$P$3="All",AND(Dashboard!$P$3="Not due",Q83&lt;0),AND(Dashboard!$P$3="Due in 10 days",Q83&gt;=-10,Q83&lt;=0),AND(Dashboard!$P$3="Due in 30 days",Q83&gt;=-30,Q83&lt;=0),AND(Dashboard!$P$3="Overdue 1-60 days",Q83&gt;0,Q83&lt;=60),AND(Dashboard!$P$3="Over 60 days",Q83&gt;60),AND(Dashboard!$P$3="All overdue",Q83&gt;0)),1,0)</f>
        <v>1</v>
      </c>
      <c r="V83" s="1">
        <f t="shared" si="12"/>
        <v>274967846.5</v>
      </c>
      <c r="W83" s="1">
        <f t="shared" si="13"/>
        <v>0</v>
      </c>
      <c r="X83" s="1">
        <f>IF(V83&gt;0,COUNTIF($V$6:V83,"&gt;0"),"")</f>
        <v>78</v>
      </c>
      <c r="Y83" s="17" t="str">
        <f t="shared" si="14"/>
        <v>CAL-current-078|000078</v>
      </c>
      <c r="Z83" s="1"/>
      <c r="AA83" s="17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 t="s">
        <v>28</v>
      </c>
      <c r="B84" s="1" t="s">
        <v>86</v>
      </c>
      <c r="C84" s="1" t="s">
        <v>227</v>
      </c>
      <c r="D84" s="1" t="s">
        <v>228</v>
      </c>
      <c r="E84" s="4">
        <v>45787</v>
      </c>
      <c r="F84" s="4">
        <v>45832</v>
      </c>
      <c r="G84" s="5">
        <v>3773486550.71</v>
      </c>
      <c r="H84" s="5">
        <v>404302130.43000001</v>
      </c>
      <c r="I84" s="5">
        <v>3369184420.2800002</v>
      </c>
      <c r="J84" s="1" t="s">
        <v>27</v>
      </c>
      <c r="K84" s="1" t="s">
        <v>64</v>
      </c>
      <c r="L84" s="1" t="s">
        <v>73</v>
      </c>
      <c r="M84" s="1" t="s">
        <v>66</v>
      </c>
      <c r="N84" s="6"/>
      <c r="O84" s="6"/>
      <c r="P84" s="7" t="s">
        <v>67</v>
      </c>
      <c r="Q84" s="1">
        <f>IF(ISNUMBER(F84),Dashboard!$D$2-F84,"")</f>
        <v>-55</v>
      </c>
      <c r="R84" s="1">
        <f>IF(AND(OR(Dashboard!$P$1="All",A84=Dashboard!$P$1),OR(Dashboard!$P$2="All",J84=Dashboard!$P$2)),1,0)</f>
        <v>1</v>
      </c>
      <c r="S84" s="1">
        <f t="shared" si="10"/>
        <v>3369184420.2800002</v>
      </c>
      <c r="T84" s="1">
        <f t="shared" si="11"/>
        <v>0</v>
      </c>
      <c r="U84" s="1">
        <f>IF(OR(Dashboard!$P$3="All",AND(Dashboard!$P$3="Not due",Q84&lt;0),AND(Dashboard!$P$3="Due in 10 days",Q84&gt;=-10,Q84&lt;=0),AND(Dashboard!$P$3="Due in 30 days",Q84&gt;=-30,Q84&lt;=0),AND(Dashboard!$P$3="Overdue 1-60 days",Q84&gt;0,Q84&lt;=60),AND(Dashboard!$P$3="Over 60 days",Q84&gt;60),AND(Dashboard!$P$3="All overdue",Q84&gt;0)),1,0)</f>
        <v>1</v>
      </c>
      <c r="V84" s="1">
        <f t="shared" si="12"/>
        <v>3369184420.2800002</v>
      </c>
      <c r="W84" s="1">
        <f t="shared" si="13"/>
        <v>0</v>
      </c>
      <c r="X84" s="1">
        <f>IF(V84&gt;0,COUNTIF($V$6:V84,"&gt;0"),"")</f>
        <v>79</v>
      </c>
      <c r="Y84" s="17" t="str">
        <f t="shared" si="14"/>
        <v>CAL-current-079|000079</v>
      </c>
      <c r="Z84" s="1"/>
      <c r="AA84" s="17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 t="s">
        <v>28</v>
      </c>
      <c r="B85" s="1" t="s">
        <v>86</v>
      </c>
      <c r="C85" s="1" t="s">
        <v>229</v>
      </c>
      <c r="D85" s="1" t="s">
        <v>230</v>
      </c>
      <c r="E85" s="4">
        <v>45802</v>
      </c>
      <c r="F85" s="4">
        <v>45832</v>
      </c>
      <c r="G85" s="5">
        <v>2765892553.54</v>
      </c>
      <c r="H85" s="5">
        <v>296345630.74000001</v>
      </c>
      <c r="I85" s="5">
        <v>2469546922.8000002</v>
      </c>
      <c r="J85" s="1" t="s">
        <v>27</v>
      </c>
      <c r="K85" s="1" t="s">
        <v>64</v>
      </c>
      <c r="L85" s="1" t="s">
        <v>76</v>
      </c>
      <c r="M85" s="1" t="s">
        <v>66</v>
      </c>
      <c r="N85" s="6"/>
      <c r="O85" s="6"/>
      <c r="P85" s="7" t="s">
        <v>67</v>
      </c>
      <c r="Q85" s="1">
        <f>IF(ISNUMBER(F85),Dashboard!$D$2-F85,"")</f>
        <v>-55</v>
      </c>
      <c r="R85" s="1">
        <f>IF(AND(OR(Dashboard!$P$1="All",A85=Dashboard!$P$1),OR(Dashboard!$P$2="All",J85=Dashboard!$P$2)),1,0)</f>
        <v>1</v>
      </c>
      <c r="S85" s="1">
        <f t="shared" si="10"/>
        <v>2469546922.8000002</v>
      </c>
      <c r="T85" s="1">
        <f t="shared" si="11"/>
        <v>0</v>
      </c>
      <c r="U85" s="1">
        <f>IF(OR(Dashboard!$P$3="All",AND(Dashboard!$P$3="Not due",Q85&lt;0),AND(Dashboard!$P$3="Due in 10 days",Q85&gt;=-10,Q85&lt;=0),AND(Dashboard!$P$3="Due in 30 days",Q85&gt;=-30,Q85&lt;=0),AND(Dashboard!$P$3="Overdue 1-60 days",Q85&gt;0,Q85&lt;=60),AND(Dashboard!$P$3="Over 60 days",Q85&gt;60),AND(Dashboard!$P$3="All overdue",Q85&gt;0)),1,0)</f>
        <v>1</v>
      </c>
      <c r="V85" s="1">
        <f t="shared" si="12"/>
        <v>2469546922.8000002</v>
      </c>
      <c r="W85" s="1">
        <f t="shared" si="13"/>
        <v>0</v>
      </c>
      <c r="X85" s="1">
        <f>IF(V85&gt;0,COUNTIF($V$6:V85,"&gt;0"),"")</f>
        <v>80</v>
      </c>
      <c r="Y85" s="17" t="str">
        <f t="shared" si="14"/>
        <v>CAL-current-080|000080</v>
      </c>
      <c r="Z85" s="1"/>
      <c r="AA85" s="17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 t="s">
        <v>28</v>
      </c>
      <c r="B86" s="1" t="s">
        <v>86</v>
      </c>
      <c r="C86" s="1" t="s">
        <v>231</v>
      </c>
      <c r="D86" s="1" t="s">
        <v>232</v>
      </c>
      <c r="E86" s="4">
        <v>45802</v>
      </c>
      <c r="F86" s="4">
        <v>45832</v>
      </c>
      <c r="G86" s="5">
        <v>2633223293.3600001</v>
      </c>
      <c r="H86" s="5">
        <v>492391347.54000002</v>
      </c>
      <c r="I86" s="5">
        <v>2140831945.8199999</v>
      </c>
      <c r="J86" s="1" t="s">
        <v>27</v>
      </c>
      <c r="K86" s="1" t="s">
        <v>64</v>
      </c>
      <c r="L86" s="1" t="s">
        <v>65</v>
      </c>
      <c r="M86" s="1" t="s">
        <v>66</v>
      </c>
      <c r="N86" s="6"/>
      <c r="O86" s="6"/>
      <c r="P86" s="7" t="s">
        <v>67</v>
      </c>
      <c r="Q86" s="1">
        <f>IF(ISNUMBER(F86),Dashboard!$D$2-F86,"")</f>
        <v>-55</v>
      </c>
      <c r="R86" s="1">
        <f>IF(AND(OR(Dashboard!$P$1="All",A86=Dashboard!$P$1),OR(Dashboard!$P$2="All",J86=Dashboard!$P$2)),1,0)</f>
        <v>1</v>
      </c>
      <c r="S86" s="1">
        <f t="shared" si="10"/>
        <v>2140831945.8199999</v>
      </c>
      <c r="T86" s="1">
        <f t="shared" si="11"/>
        <v>0</v>
      </c>
      <c r="U86" s="1">
        <f>IF(OR(Dashboard!$P$3="All",AND(Dashboard!$P$3="Not due",Q86&lt;0),AND(Dashboard!$P$3="Due in 10 days",Q86&gt;=-10,Q86&lt;=0),AND(Dashboard!$P$3="Due in 30 days",Q86&gt;=-30,Q86&lt;=0),AND(Dashboard!$P$3="Overdue 1-60 days",Q86&gt;0,Q86&lt;=60),AND(Dashboard!$P$3="Over 60 days",Q86&gt;60),AND(Dashboard!$P$3="All overdue",Q86&gt;0)),1,0)</f>
        <v>1</v>
      </c>
      <c r="V86" s="1">
        <f t="shared" si="12"/>
        <v>2140831945.8199999</v>
      </c>
      <c r="W86" s="1">
        <f t="shared" si="13"/>
        <v>0</v>
      </c>
      <c r="X86" s="1">
        <f>IF(V86&gt;0,COUNTIF($V$6:V86,"&gt;0"),"")</f>
        <v>81</v>
      </c>
      <c r="Y86" s="17" t="str">
        <f t="shared" si="14"/>
        <v>CAL-current-081|000081</v>
      </c>
      <c r="Z86" s="1"/>
      <c r="AA86" s="17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 t="s">
        <v>28</v>
      </c>
      <c r="B87" s="1" t="s">
        <v>86</v>
      </c>
      <c r="C87" s="1" t="s">
        <v>233</v>
      </c>
      <c r="D87" s="1" t="s">
        <v>234</v>
      </c>
      <c r="E87" s="4">
        <v>45772</v>
      </c>
      <c r="F87" s="4">
        <v>45832</v>
      </c>
      <c r="G87" s="5">
        <v>4480159817.75</v>
      </c>
      <c r="H87" s="5">
        <v>1209970169.76</v>
      </c>
      <c r="I87" s="5">
        <v>3270189647.9899998</v>
      </c>
      <c r="J87" s="1" t="s">
        <v>27</v>
      </c>
      <c r="K87" s="1" t="s">
        <v>64</v>
      </c>
      <c r="L87" s="1" t="s">
        <v>70</v>
      </c>
      <c r="M87" s="1" t="s">
        <v>66</v>
      </c>
      <c r="N87" s="6"/>
      <c r="O87" s="6"/>
      <c r="P87" s="7" t="s">
        <v>67</v>
      </c>
      <c r="Q87" s="1">
        <f>IF(ISNUMBER(F87),Dashboard!$D$2-F87,"")</f>
        <v>-55</v>
      </c>
      <c r="R87" s="1">
        <f>IF(AND(OR(Dashboard!$P$1="All",A87=Dashboard!$P$1),OR(Dashboard!$P$2="All",J87=Dashboard!$P$2)),1,0)</f>
        <v>1</v>
      </c>
      <c r="S87" s="1">
        <f t="shared" si="10"/>
        <v>3270189647.9899998</v>
      </c>
      <c r="T87" s="1">
        <f t="shared" si="11"/>
        <v>0</v>
      </c>
      <c r="U87" s="1">
        <f>IF(OR(Dashboard!$P$3="All",AND(Dashboard!$P$3="Not due",Q87&lt;0),AND(Dashboard!$P$3="Due in 10 days",Q87&gt;=-10,Q87&lt;=0),AND(Dashboard!$P$3="Due in 30 days",Q87&gt;=-30,Q87&lt;=0),AND(Dashboard!$P$3="Overdue 1-60 days",Q87&gt;0,Q87&lt;=60),AND(Dashboard!$P$3="Over 60 days",Q87&gt;60),AND(Dashboard!$P$3="All overdue",Q87&gt;0)),1,0)</f>
        <v>1</v>
      </c>
      <c r="V87" s="1">
        <f t="shared" si="12"/>
        <v>3270189647.9899998</v>
      </c>
      <c r="W87" s="1">
        <f t="shared" si="13"/>
        <v>0</v>
      </c>
      <c r="X87" s="1">
        <f>IF(V87&gt;0,COUNTIF($V$6:V87,"&gt;0"),"")</f>
        <v>82</v>
      </c>
      <c r="Y87" s="17" t="str">
        <f t="shared" si="14"/>
        <v>CAL-current-082|000082</v>
      </c>
      <c r="Z87" s="1"/>
      <c r="AA87" s="17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 t="s">
        <v>28</v>
      </c>
      <c r="B88" s="1" t="s">
        <v>86</v>
      </c>
      <c r="C88" s="1" t="s">
        <v>235</v>
      </c>
      <c r="D88" s="1" t="s">
        <v>236</v>
      </c>
      <c r="E88" s="4">
        <v>45772</v>
      </c>
      <c r="F88" s="4">
        <v>45832</v>
      </c>
      <c r="G88" s="5">
        <v>4729388528.1700001</v>
      </c>
      <c r="H88" s="5">
        <v>506720199.44999999</v>
      </c>
      <c r="I88" s="5">
        <v>4222668328.7199998</v>
      </c>
      <c r="J88" s="1" t="s">
        <v>27</v>
      </c>
      <c r="K88" s="1" t="s">
        <v>64</v>
      </c>
      <c r="L88" s="1" t="s">
        <v>73</v>
      </c>
      <c r="M88" s="1" t="s">
        <v>66</v>
      </c>
      <c r="N88" s="6"/>
      <c r="O88" s="6"/>
      <c r="P88" s="7" t="s">
        <v>67</v>
      </c>
      <c r="Q88" s="1">
        <f>IF(ISNUMBER(F88),Dashboard!$D$2-F88,"")</f>
        <v>-55</v>
      </c>
      <c r="R88" s="1">
        <f>IF(AND(OR(Dashboard!$P$1="All",A88=Dashboard!$P$1),OR(Dashboard!$P$2="All",J88=Dashboard!$P$2)),1,0)</f>
        <v>1</v>
      </c>
      <c r="S88" s="1">
        <f t="shared" si="10"/>
        <v>4222668328.7199998</v>
      </c>
      <c r="T88" s="1">
        <f t="shared" si="11"/>
        <v>0</v>
      </c>
      <c r="U88" s="1">
        <f>IF(OR(Dashboard!$P$3="All",AND(Dashboard!$P$3="Not due",Q88&lt;0),AND(Dashboard!$P$3="Due in 10 days",Q88&gt;=-10,Q88&lt;=0),AND(Dashboard!$P$3="Due in 30 days",Q88&gt;=-30,Q88&lt;=0),AND(Dashboard!$P$3="Overdue 1-60 days",Q88&gt;0,Q88&lt;=60),AND(Dashboard!$P$3="Over 60 days",Q88&gt;60),AND(Dashboard!$P$3="All overdue",Q88&gt;0)),1,0)</f>
        <v>1</v>
      </c>
      <c r="V88" s="1">
        <f t="shared" si="12"/>
        <v>4222668328.7199998</v>
      </c>
      <c r="W88" s="1">
        <f t="shared" si="13"/>
        <v>0</v>
      </c>
      <c r="X88" s="1">
        <f>IF(V88&gt;0,COUNTIF($V$6:V88,"&gt;0"),"")</f>
        <v>83</v>
      </c>
      <c r="Y88" s="17" t="str">
        <f t="shared" si="14"/>
        <v>CAL-current-083|000083</v>
      </c>
      <c r="Z88" s="1"/>
      <c r="AA88" s="17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 t="s">
        <v>28</v>
      </c>
      <c r="B89" s="1" t="s">
        <v>86</v>
      </c>
      <c r="C89" s="1" t="s">
        <v>237</v>
      </c>
      <c r="D89" s="1" t="s">
        <v>238</v>
      </c>
      <c r="E89" s="4">
        <v>45772</v>
      </c>
      <c r="F89" s="4">
        <v>45832</v>
      </c>
      <c r="G89" s="5">
        <v>6773223990.8199997</v>
      </c>
      <c r="H89" s="5">
        <v>1829264873.4300001</v>
      </c>
      <c r="I89" s="5">
        <v>4943959117.3900003</v>
      </c>
      <c r="J89" s="1" t="s">
        <v>27</v>
      </c>
      <c r="K89" s="1" t="s">
        <v>64</v>
      </c>
      <c r="L89" s="1" t="s">
        <v>76</v>
      </c>
      <c r="M89" s="1" t="s">
        <v>66</v>
      </c>
      <c r="N89" s="6"/>
      <c r="O89" s="6"/>
      <c r="P89" s="7" t="s">
        <v>67</v>
      </c>
      <c r="Q89" s="1">
        <f>IF(ISNUMBER(F89),Dashboard!$D$2-F89,"")</f>
        <v>-55</v>
      </c>
      <c r="R89" s="1">
        <f>IF(AND(OR(Dashboard!$P$1="All",A89=Dashboard!$P$1),OR(Dashboard!$P$2="All",J89=Dashboard!$P$2)),1,0)</f>
        <v>1</v>
      </c>
      <c r="S89" s="1">
        <f t="shared" si="10"/>
        <v>4943959117.3900003</v>
      </c>
      <c r="T89" s="1">
        <f t="shared" si="11"/>
        <v>0</v>
      </c>
      <c r="U89" s="1">
        <f>IF(OR(Dashboard!$P$3="All",AND(Dashboard!$P$3="Not due",Q89&lt;0),AND(Dashboard!$P$3="Due in 10 days",Q89&gt;=-10,Q89&lt;=0),AND(Dashboard!$P$3="Due in 30 days",Q89&gt;=-30,Q89&lt;=0),AND(Dashboard!$P$3="Overdue 1-60 days",Q89&gt;0,Q89&lt;=60),AND(Dashboard!$P$3="Over 60 days",Q89&gt;60),AND(Dashboard!$P$3="All overdue",Q89&gt;0)),1,0)</f>
        <v>1</v>
      </c>
      <c r="V89" s="1">
        <f t="shared" si="12"/>
        <v>4943959117.3900003</v>
      </c>
      <c r="W89" s="1">
        <f t="shared" si="13"/>
        <v>0</v>
      </c>
      <c r="X89" s="1">
        <f>IF(V89&gt;0,COUNTIF($V$6:V89,"&gt;0"),"")</f>
        <v>84</v>
      </c>
      <c r="Y89" s="17" t="str">
        <f t="shared" si="14"/>
        <v>CAL-current-084|000084</v>
      </c>
      <c r="Z89" s="1"/>
      <c r="AA89" s="17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 t="s">
        <v>28</v>
      </c>
      <c r="B90" s="1" t="s">
        <v>86</v>
      </c>
      <c r="C90" s="1" t="s">
        <v>239</v>
      </c>
      <c r="D90" s="1" t="s">
        <v>240</v>
      </c>
      <c r="E90" s="4">
        <v>45772</v>
      </c>
      <c r="F90" s="4">
        <v>45832</v>
      </c>
      <c r="G90" s="5">
        <v>2470165237.2800002</v>
      </c>
      <c r="H90" s="5">
        <v>461900816.73000002</v>
      </c>
      <c r="I90" s="5">
        <v>2008264420.55</v>
      </c>
      <c r="J90" s="1" t="s">
        <v>27</v>
      </c>
      <c r="K90" s="1" t="s">
        <v>64</v>
      </c>
      <c r="L90" s="1" t="s">
        <v>65</v>
      </c>
      <c r="M90" s="1" t="s">
        <v>66</v>
      </c>
      <c r="N90" s="6"/>
      <c r="O90" s="6"/>
      <c r="P90" s="7" t="s">
        <v>67</v>
      </c>
      <c r="Q90" s="1">
        <f>IF(ISNUMBER(F90),Dashboard!$D$2-F90,"")</f>
        <v>-55</v>
      </c>
      <c r="R90" s="1">
        <f>IF(AND(OR(Dashboard!$P$1="All",A90=Dashboard!$P$1),OR(Dashboard!$P$2="All",J90=Dashboard!$P$2)),1,0)</f>
        <v>1</v>
      </c>
      <c r="S90" s="1">
        <f t="shared" si="10"/>
        <v>2008264420.55</v>
      </c>
      <c r="T90" s="1">
        <f t="shared" si="11"/>
        <v>0</v>
      </c>
      <c r="U90" s="1">
        <f>IF(OR(Dashboard!$P$3="All",AND(Dashboard!$P$3="Not due",Q90&lt;0),AND(Dashboard!$P$3="Due in 10 days",Q90&gt;=-10,Q90&lt;=0),AND(Dashboard!$P$3="Due in 30 days",Q90&gt;=-30,Q90&lt;=0),AND(Dashboard!$P$3="Overdue 1-60 days",Q90&gt;0,Q90&lt;=60),AND(Dashboard!$P$3="Over 60 days",Q90&gt;60),AND(Dashboard!$P$3="All overdue",Q90&gt;0)),1,0)</f>
        <v>1</v>
      </c>
      <c r="V90" s="1">
        <f t="shared" si="12"/>
        <v>2008264420.55</v>
      </c>
      <c r="W90" s="1">
        <f t="shared" si="13"/>
        <v>0</v>
      </c>
      <c r="X90" s="1">
        <f>IF(V90&gt;0,COUNTIF($V$6:V90,"&gt;0"),"")</f>
        <v>85</v>
      </c>
      <c r="Y90" s="17" t="str">
        <f t="shared" si="14"/>
        <v>CAL-current-085|000085</v>
      </c>
      <c r="Z90" s="1"/>
      <c r="AA90" s="17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 t="s">
        <v>28</v>
      </c>
      <c r="B91" s="1" t="s">
        <v>86</v>
      </c>
      <c r="C91" s="1" t="s">
        <v>241</v>
      </c>
      <c r="D91" s="1" t="s">
        <v>242</v>
      </c>
      <c r="E91" s="4">
        <v>45787</v>
      </c>
      <c r="F91" s="4">
        <v>45832</v>
      </c>
      <c r="G91" s="5">
        <v>2189669043.3699999</v>
      </c>
      <c r="H91" s="5">
        <v>409450308.92000002</v>
      </c>
      <c r="I91" s="5">
        <v>1780218734.45</v>
      </c>
      <c r="J91" s="1" t="s">
        <v>27</v>
      </c>
      <c r="K91" s="1" t="s">
        <v>64</v>
      </c>
      <c r="L91" s="1" t="s">
        <v>70</v>
      </c>
      <c r="M91" s="1" t="s">
        <v>66</v>
      </c>
      <c r="N91" s="6"/>
      <c r="O91" s="6"/>
      <c r="P91" s="7" t="s">
        <v>67</v>
      </c>
      <c r="Q91" s="1">
        <f>IF(ISNUMBER(F91),Dashboard!$D$2-F91,"")</f>
        <v>-55</v>
      </c>
      <c r="R91" s="1">
        <f>IF(AND(OR(Dashboard!$P$1="All",A91=Dashboard!$P$1),OR(Dashboard!$P$2="All",J91=Dashboard!$P$2)),1,0)</f>
        <v>1</v>
      </c>
      <c r="S91" s="1">
        <f t="shared" si="10"/>
        <v>1780218734.45</v>
      </c>
      <c r="T91" s="1">
        <f t="shared" si="11"/>
        <v>0</v>
      </c>
      <c r="U91" s="1">
        <f>IF(OR(Dashboard!$P$3="All",AND(Dashboard!$P$3="Not due",Q91&lt;0),AND(Dashboard!$P$3="Due in 10 days",Q91&gt;=-10,Q91&lt;=0),AND(Dashboard!$P$3="Due in 30 days",Q91&gt;=-30,Q91&lt;=0),AND(Dashboard!$P$3="Overdue 1-60 days",Q91&gt;0,Q91&lt;=60),AND(Dashboard!$P$3="Over 60 days",Q91&gt;60),AND(Dashboard!$P$3="All overdue",Q91&gt;0)),1,0)</f>
        <v>1</v>
      </c>
      <c r="V91" s="1">
        <f t="shared" si="12"/>
        <v>1780218734.45</v>
      </c>
      <c r="W91" s="1">
        <f t="shared" si="13"/>
        <v>0</v>
      </c>
      <c r="X91" s="1">
        <f>IF(V91&gt;0,COUNTIF($V$6:V91,"&gt;0"),"")</f>
        <v>86</v>
      </c>
      <c r="Y91" s="17" t="str">
        <f t="shared" si="14"/>
        <v>CAL-current-086|000086</v>
      </c>
      <c r="Z91" s="1"/>
      <c r="AA91" s="17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 t="s">
        <v>30</v>
      </c>
      <c r="B92" s="1" t="s">
        <v>243</v>
      </c>
      <c r="C92" s="1" t="s">
        <v>244</v>
      </c>
      <c r="D92" s="1" t="s">
        <v>245</v>
      </c>
      <c r="E92" s="4">
        <v>45731</v>
      </c>
      <c r="F92" s="4">
        <v>45761</v>
      </c>
      <c r="G92" s="5">
        <v>545795392.79999995</v>
      </c>
      <c r="H92" s="5">
        <v>58478077.799999997</v>
      </c>
      <c r="I92" s="5">
        <v>487317315</v>
      </c>
      <c r="J92" s="1" t="s">
        <v>27</v>
      </c>
      <c r="K92" s="1" t="s">
        <v>64</v>
      </c>
      <c r="L92" s="1" t="s">
        <v>73</v>
      </c>
      <c r="M92" s="1" t="s">
        <v>66</v>
      </c>
      <c r="N92" s="6"/>
      <c r="O92" s="6"/>
      <c r="P92" s="7" t="s">
        <v>67</v>
      </c>
      <c r="Q92" s="1">
        <f>IF(ISNUMBER(F92),Dashboard!$D$2-F92,"")</f>
        <v>16</v>
      </c>
      <c r="R92" s="1">
        <f>IF(AND(OR(Dashboard!$P$1="All",A92=Dashboard!$P$1),OR(Dashboard!$P$2="All",J92=Dashboard!$P$2)),1,0)</f>
        <v>1</v>
      </c>
      <c r="S92" s="1">
        <f t="shared" si="10"/>
        <v>487317315</v>
      </c>
      <c r="T92" s="1">
        <f t="shared" si="11"/>
        <v>487317315</v>
      </c>
      <c r="U92" s="1">
        <f>IF(OR(Dashboard!$P$3="All",AND(Dashboard!$P$3="Not due",Q92&lt;0),AND(Dashboard!$P$3="Due in 10 days",Q92&gt;=-10,Q92&lt;=0),AND(Dashboard!$P$3="Due in 30 days",Q92&gt;=-30,Q92&lt;=0),AND(Dashboard!$P$3="Overdue 1-60 days",Q92&gt;0,Q92&lt;=60),AND(Dashboard!$P$3="Over 60 days",Q92&gt;60),AND(Dashboard!$P$3="All overdue",Q92&gt;0)),1,0)</f>
        <v>1</v>
      </c>
      <c r="V92" s="1">
        <f t="shared" si="12"/>
        <v>487317315</v>
      </c>
      <c r="W92" s="1">
        <f t="shared" si="13"/>
        <v>7797077040</v>
      </c>
      <c r="X92" s="1">
        <f>IF(V92&gt;0,COUNTIF($V$6:V92,"&gt;0"),"")</f>
        <v>87</v>
      </c>
      <c r="Y92" s="17" t="str">
        <f t="shared" si="14"/>
        <v>CAL-current-087|000087</v>
      </c>
      <c r="Z92" s="1"/>
      <c r="AA92" s="17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 t="s">
        <v>30</v>
      </c>
      <c r="B93" s="1" t="s">
        <v>243</v>
      </c>
      <c r="C93" s="1" t="s">
        <v>246</v>
      </c>
      <c r="D93" s="1" t="s">
        <v>247</v>
      </c>
      <c r="E93" s="4">
        <v>45730</v>
      </c>
      <c r="F93" s="4">
        <v>45760</v>
      </c>
      <c r="G93" s="5">
        <v>1628056878.45</v>
      </c>
      <c r="H93" s="5">
        <v>439694193.44999999</v>
      </c>
      <c r="I93" s="5">
        <v>1188362685</v>
      </c>
      <c r="J93" s="1" t="s">
        <v>27</v>
      </c>
      <c r="K93" s="1" t="s">
        <v>64</v>
      </c>
      <c r="L93" s="1" t="s">
        <v>76</v>
      </c>
      <c r="M93" s="1" t="s">
        <v>66</v>
      </c>
      <c r="N93" s="6"/>
      <c r="O93" s="6"/>
      <c r="P93" s="7" t="s">
        <v>67</v>
      </c>
      <c r="Q93" s="1">
        <f>IF(ISNUMBER(F93),Dashboard!$D$2-F93,"")</f>
        <v>17</v>
      </c>
      <c r="R93" s="1">
        <f>IF(AND(OR(Dashboard!$P$1="All",A93=Dashboard!$P$1),OR(Dashboard!$P$2="All",J93=Dashboard!$P$2)),1,0)</f>
        <v>1</v>
      </c>
      <c r="S93" s="1">
        <f t="shared" si="10"/>
        <v>1188362685</v>
      </c>
      <c r="T93" s="1">
        <f t="shared" si="11"/>
        <v>1188362685</v>
      </c>
      <c r="U93" s="1">
        <f>IF(OR(Dashboard!$P$3="All",AND(Dashboard!$P$3="Not due",Q93&lt;0),AND(Dashboard!$P$3="Due in 10 days",Q93&gt;=-10,Q93&lt;=0),AND(Dashboard!$P$3="Due in 30 days",Q93&gt;=-30,Q93&lt;=0),AND(Dashboard!$P$3="Overdue 1-60 days",Q93&gt;0,Q93&lt;=60),AND(Dashboard!$P$3="Over 60 days",Q93&gt;60),AND(Dashboard!$P$3="All overdue",Q93&gt;0)),1,0)</f>
        <v>1</v>
      </c>
      <c r="V93" s="1">
        <f t="shared" si="12"/>
        <v>1188362685</v>
      </c>
      <c r="W93" s="1">
        <f t="shared" si="13"/>
        <v>20202165645</v>
      </c>
      <c r="X93" s="1">
        <f>IF(V93&gt;0,COUNTIF($V$6:V93,"&gt;0"),"")</f>
        <v>88</v>
      </c>
      <c r="Y93" s="17" t="str">
        <f t="shared" si="14"/>
        <v>CAL-current-088|000088</v>
      </c>
      <c r="Z93" s="1"/>
      <c r="AA93" s="17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 t="s">
        <v>30</v>
      </c>
      <c r="B94" s="1" t="s">
        <v>243</v>
      </c>
      <c r="C94" s="1" t="s">
        <v>248</v>
      </c>
      <c r="D94" s="1" t="s">
        <v>249</v>
      </c>
      <c r="E94" s="4">
        <v>45726</v>
      </c>
      <c r="F94" s="4">
        <v>45786</v>
      </c>
      <c r="G94" s="5">
        <v>673418358.17999995</v>
      </c>
      <c r="H94" s="5">
        <v>125923758.03</v>
      </c>
      <c r="I94" s="5">
        <v>547494600.14999998</v>
      </c>
      <c r="J94" s="1" t="s">
        <v>27</v>
      </c>
      <c r="K94" s="1" t="s">
        <v>64</v>
      </c>
      <c r="L94" s="1" t="s">
        <v>65</v>
      </c>
      <c r="M94" s="1" t="s">
        <v>66</v>
      </c>
      <c r="N94" s="6"/>
      <c r="O94" s="6"/>
      <c r="P94" s="7" t="s">
        <v>67</v>
      </c>
      <c r="Q94" s="1">
        <f>IF(ISNUMBER(F94),Dashboard!$D$2-F94,"")</f>
        <v>-9</v>
      </c>
      <c r="R94" s="1">
        <f>IF(AND(OR(Dashboard!$P$1="All",A94=Dashboard!$P$1),OR(Dashboard!$P$2="All",J94=Dashboard!$P$2)),1,0)</f>
        <v>1</v>
      </c>
      <c r="S94" s="1">
        <f t="shared" si="10"/>
        <v>547494600.14999998</v>
      </c>
      <c r="T94" s="1">
        <f t="shared" si="11"/>
        <v>0</v>
      </c>
      <c r="U94" s="1">
        <f>IF(OR(Dashboard!$P$3="All",AND(Dashboard!$P$3="Not due",Q94&lt;0),AND(Dashboard!$P$3="Due in 10 days",Q94&gt;=-10,Q94&lt;=0),AND(Dashboard!$P$3="Due in 30 days",Q94&gt;=-30,Q94&lt;=0),AND(Dashboard!$P$3="Overdue 1-60 days",Q94&gt;0,Q94&lt;=60),AND(Dashboard!$P$3="Over 60 days",Q94&gt;60),AND(Dashboard!$P$3="All overdue",Q94&gt;0)),1,0)</f>
        <v>1</v>
      </c>
      <c r="V94" s="1">
        <f t="shared" si="12"/>
        <v>547494600.14999998</v>
      </c>
      <c r="W94" s="1">
        <f t="shared" si="13"/>
        <v>0</v>
      </c>
      <c r="X94" s="1">
        <f>IF(V94&gt;0,COUNTIF($V$6:V94,"&gt;0"),"")</f>
        <v>89</v>
      </c>
      <c r="Y94" s="17" t="str">
        <f t="shared" si="14"/>
        <v>CAL-current-089|000089</v>
      </c>
      <c r="Z94" s="1"/>
      <c r="AA94" s="17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 t="s">
        <v>30</v>
      </c>
      <c r="B95" s="1" t="s">
        <v>243</v>
      </c>
      <c r="C95" s="1" t="s">
        <v>250</v>
      </c>
      <c r="D95" s="1" t="s">
        <v>251</v>
      </c>
      <c r="E95" s="4">
        <v>45741</v>
      </c>
      <c r="F95" s="4">
        <v>45786</v>
      </c>
      <c r="G95" s="5">
        <v>476576192.37</v>
      </c>
      <c r="H95" s="5">
        <v>128710358.52</v>
      </c>
      <c r="I95" s="5">
        <v>347865833.85000002</v>
      </c>
      <c r="J95" s="1" t="s">
        <v>27</v>
      </c>
      <c r="K95" s="1" t="s">
        <v>64</v>
      </c>
      <c r="L95" s="1" t="s">
        <v>70</v>
      </c>
      <c r="M95" s="1" t="s">
        <v>66</v>
      </c>
      <c r="N95" s="6"/>
      <c r="O95" s="6"/>
      <c r="P95" s="7" t="s">
        <v>67</v>
      </c>
      <c r="Q95" s="1">
        <f>IF(ISNUMBER(F95),Dashboard!$D$2-F95,"")</f>
        <v>-9</v>
      </c>
      <c r="R95" s="1">
        <f>IF(AND(OR(Dashboard!$P$1="All",A95=Dashboard!$P$1),OR(Dashboard!$P$2="All",J95=Dashboard!$P$2)),1,0)</f>
        <v>1</v>
      </c>
      <c r="S95" s="1">
        <f t="shared" si="10"/>
        <v>347865833.85000002</v>
      </c>
      <c r="T95" s="1">
        <f t="shared" si="11"/>
        <v>0</v>
      </c>
      <c r="U95" s="1">
        <f>IF(OR(Dashboard!$P$3="All",AND(Dashboard!$P$3="Not due",Q95&lt;0),AND(Dashboard!$P$3="Due in 10 days",Q95&gt;=-10,Q95&lt;=0),AND(Dashboard!$P$3="Due in 30 days",Q95&gt;=-30,Q95&lt;=0),AND(Dashboard!$P$3="Overdue 1-60 days",Q95&gt;0,Q95&lt;=60),AND(Dashboard!$P$3="Over 60 days",Q95&gt;60),AND(Dashboard!$P$3="All overdue",Q95&gt;0)),1,0)</f>
        <v>1</v>
      </c>
      <c r="V95" s="1">
        <f t="shared" si="12"/>
        <v>347865833.85000002</v>
      </c>
      <c r="W95" s="1">
        <f t="shared" si="13"/>
        <v>0</v>
      </c>
      <c r="X95" s="1">
        <f>IF(V95&gt;0,COUNTIF($V$6:V95,"&gt;0"),"")</f>
        <v>90</v>
      </c>
      <c r="Y95" s="17" t="str">
        <f t="shared" si="14"/>
        <v>CAL-current-090|000090</v>
      </c>
      <c r="Z95" s="1"/>
      <c r="AA95" s="17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 t="s">
        <v>30</v>
      </c>
      <c r="B96" s="1" t="s">
        <v>243</v>
      </c>
      <c r="C96" s="1" t="s">
        <v>252</v>
      </c>
      <c r="D96" s="1" t="s">
        <v>253</v>
      </c>
      <c r="E96" s="4">
        <v>45811</v>
      </c>
      <c r="F96" s="4">
        <v>45841</v>
      </c>
      <c r="G96" s="5">
        <v>262171212.96000001</v>
      </c>
      <c r="H96" s="5">
        <v>49023885.350000001</v>
      </c>
      <c r="I96" s="5">
        <v>213147327.61000001</v>
      </c>
      <c r="J96" s="1" t="s">
        <v>27</v>
      </c>
      <c r="K96" s="1" t="s">
        <v>64</v>
      </c>
      <c r="L96" s="1" t="s">
        <v>73</v>
      </c>
      <c r="M96" s="1" t="s">
        <v>66</v>
      </c>
      <c r="N96" s="6"/>
      <c r="O96" s="6"/>
      <c r="P96" s="7" t="s">
        <v>67</v>
      </c>
      <c r="Q96" s="1">
        <f>IF(ISNUMBER(F96),Dashboard!$D$2-F96,"")</f>
        <v>-64</v>
      </c>
      <c r="R96" s="1">
        <f>IF(AND(OR(Dashboard!$P$1="All",A96=Dashboard!$P$1),OR(Dashboard!$P$2="All",J96=Dashboard!$P$2)),1,0)</f>
        <v>1</v>
      </c>
      <c r="S96" s="1">
        <f t="shared" si="10"/>
        <v>213147327.61000001</v>
      </c>
      <c r="T96" s="1">
        <f t="shared" si="11"/>
        <v>0</v>
      </c>
      <c r="U96" s="1">
        <f>IF(OR(Dashboard!$P$3="All",AND(Dashboard!$P$3="Not due",Q96&lt;0),AND(Dashboard!$P$3="Due in 10 days",Q96&gt;=-10,Q96&lt;=0),AND(Dashboard!$P$3="Due in 30 days",Q96&gt;=-30,Q96&lt;=0),AND(Dashboard!$P$3="Overdue 1-60 days",Q96&gt;0,Q96&lt;=60),AND(Dashboard!$P$3="Over 60 days",Q96&gt;60),AND(Dashboard!$P$3="All overdue",Q96&gt;0)),1,0)</f>
        <v>1</v>
      </c>
      <c r="V96" s="1">
        <f t="shared" si="12"/>
        <v>213147327.61000001</v>
      </c>
      <c r="W96" s="1">
        <f t="shared" si="13"/>
        <v>0</v>
      </c>
      <c r="X96" s="1">
        <f>IF(V96&gt;0,COUNTIF($V$6:V96,"&gt;0"),"")</f>
        <v>91</v>
      </c>
      <c r="Y96" s="17" t="str">
        <f t="shared" si="14"/>
        <v>CAL-current-091|000091</v>
      </c>
      <c r="Z96" s="1"/>
      <c r="AA96" s="17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 t="s">
        <v>30</v>
      </c>
      <c r="B97" s="1" t="s">
        <v>243</v>
      </c>
      <c r="C97" s="1" t="s">
        <v>254</v>
      </c>
      <c r="D97" s="1" t="s">
        <v>255</v>
      </c>
      <c r="E97" s="4">
        <v>45796</v>
      </c>
      <c r="F97" s="4">
        <v>45841</v>
      </c>
      <c r="G97" s="5">
        <v>471014452.60000002</v>
      </c>
      <c r="H97" s="5">
        <v>50465834.210000001</v>
      </c>
      <c r="I97" s="5">
        <v>420548618.38999999</v>
      </c>
      <c r="J97" s="1" t="s">
        <v>27</v>
      </c>
      <c r="K97" s="1" t="s">
        <v>64</v>
      </c>
      <c r="L97" s="1" t="s">
        <v>76</v>
      </c>
      <c r="M97" s="1" t="s">
        <v>66</v>
      </c>
      <c r="N97" s="6"/>
      <c r="O97" s="6"/>
      <c r="P97" s="7" t="s">
        <v>67</v>
      </c>
      <c r="Q97" s="1">
        <f>IF(ISNUMBER(F97),Dashboard!$D$2-F97,"")</f>
        <v>-64</v>
      </c>
      <c r="R97" s="1">
        <f>IF(AND(OR(Dashboard!$P$1="All",A97=Dashboard!$P$1),OR(Dashboard!$P$2="All",J97=Dashboard!$P$2)),1,0)</f>
        <v>1</v>
      </c>
      <c r="S97" s="1">
        <f t="shared" si="10"/>
        <v>420548618.38999999</v>
      </c>
      <c r="T97" s="1">
        <f t="shared" si="11"/>
        <v>0</v>
      </c>
      <c r="U97" s="1">
        <f>IF(OR(Dashboard!$P$3="All",AND(Dashboard!$P$3="Not due",Q97&lt;0),AND(Dashboard!$P$3="Due in 10 days",Q97&gt;=-10,Q97&lt;=0),AND(Dashboard!$P$3="Due in 30 days",Q97&gt;=-30,Q97&lt;=0),AND(Dashboard!$P$3="Overdue 1-60 days",Q97&gt;0,Q97&lt;=60),AND(Dashboard!$P$3="Over 60 days",Q97&gt;60),AND(Dashboard!$P$3="All overdue",Q97&gt;0)),1,0)</f>
        <v>1</v>
      </c>
      <c r="V97" s="1">
        <f t="shared" si="12"/>
        <v>420548618.38999999</v>
      </c>
      <c r="W97" s="1">
        <f t="shared" si="13"/>
        <v>0</v>
      </c>
      <c r="X97" s="1">
        <f>IF(V97&gt;0,COUNTIF($V$6:V97,"&gt;0"),"")</f>
        <v>92</v>
      </c>
      <c r="Y97" s="17" t="str">
        <f t="shared" si="14"/>
        <v>CAL-current-092|000092</v>
      </c>
      <c r="Z97" s="1"/>
      <c r="AA97" s="17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 t="s">
        <v>30</v>
      </c>
      <c r="B98" s="1" t="s">
        <v>243</v>
      </c>
      <c r="C98" s="1" t="s">
        <v>256</v>
      </c>
      <c r="D98" s="1" t="s">
        <v>257</v>
      </c>
      <c r="E98" s="4">
        <v>45780</v>
      </c>
      <c r="F98" s="4">
        <v>45840</v>
      </c>
      <c r="G98" s="5">
        <v>244657167.27000001</v>
      </c>
      <c r="H98" s="5">
        <v>66075293.350000001</v>
      </c>
      <c r="I98" s="5">
        <v>178581873.91999999</v>
      </c>
      <c r="J98" s="1" t="s">
        <v>27</v>
      </c>
      <c r="K98" s="1" t="s">
        <v>64</v>
      </c>
      <c r="L98" s="1" t="s">
        <v>65</v>
      </c>
      <c r="M98" s="1" t="s">
        <v>66</v>
      </c>
      <c r="N98" s="6"/>
      <c r="O98" s="6"/>
      <c r="P98" s="7" t="s">
        <v>67</v>
      </c>
      <c r="Q98" s="1">
        <f>IF(ISNUMBER(F98),Dashboard!$D$2-F98,"")</f>
        <v>-63</v>
      </c>
      <c r="R98" s="1">
        <f>IF(AND(OR(Dashboard!$P$1="All",A98=Dashboard!$P$1),OR(Dashboard!$P$2="All",J98=Dashboard!$P$2)),1,0)</f>
        <v>1</v>
      </c>
      <c r="S98" s="1">
        <f t="shared" si="10"/>
        <v>178581873.91999999</v>
      </c>
      <c r="T98" s="1">
        <f t="shared" si="11"/>
        <v>0</v>
      </c>
      <c r="U98" s="1">
        <f>IF(OR(Dashboard!$P$3="All",AND(Dashboard!$P$3="Not due",Q98&lt;0),AND(Dashboard!$P$3="Due in 10 days",Q98&gt;=-10,Q98&lt;=0),AND(Dashboard!$P$3="Due in 30 days",Q98&gt;=-30,Q98&lt;=0),AND(Dashboard!$P$3="Overdue 1-60 days",Q98&gt;0,Q98&lt;=60),AND(Dashboard!$P$3="Over 60 days",Q98&gt;60),AND(Dashboard!$P$3="All overdue",Q98&gt;0)),1,0)</f>
        <v>1</v>
      </c>
      <c r="V98" s="1">
        <f t="shared" si="12"/>
        <v>178581873.91999999</v>
      </c>
      <c r="W98" s="1">
        <f t="shared" si="13"/>
        <v>0</v>
      </c>
      <c r="X98" s="1">
        <f>IF(V98&gt;0,COUNTIF($V$6:V98,"&gt;0"),"")</f>
        <v>93</v>
      </c>
      <c r="Y98" s="17" t="str">
        <f t="shared" si="14"/>
        <v>CAL-current-093|000093</v>
      </c>
      <c r="Z98" s="1"/>
      <c r="AA98" s="17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 t="s">
        <v>30</v>
      </c>
      <c r="B99" s="1" t="s">
        <v>243</v>
      </c>
      <c r="C99" s="1" t="s">
        <v>258</v>
      </c>
      <c r="D99" s="1" t="s">
        <v>259</v>
      </c>
      <c r="E99" s="4">
        <v>45780</v>
      </c>
      <c r="F99" s="4">
        <v>45840</v>
      </c>
      <c r="G99" s="5">
        <v>164544219.56999999</v>
      </c>
      <c r="H99" s="5">
        <v>44438949.810000002</v>
      </c>
      <c r="I99" s="5">
        <v>120105269.76000001</v>
      </c>
      <c r="J99" s="1" t="s">
        <v>27</v>
      </c>
      <c r="K99" s="1" t="s">
        <v>64</v>
      </c>
      <c r="L99" s="1" t="s">
        <v>70</v>
      </c>
      <c r="M99" s="1" t="s">
        <v>66</v>
      </c>
      <c r="N99" s="6"/>
      <c r="O99" s="6"/>
      <c r="P99" s="7" t="s">
        <v>67</v>
      </c>
      <c r="Q99" s="1">
        <f>IF(ISNUMBER(F99),Dashboard!$D$2-F99,"")</f>
        <v>-63</v>
      </c>
      <c r="R99" s="1">
        <f>IF(AND(OR(Dashboard!$P$1="All",A99=Dashboard!$P$1),OR(Dashboard!$P$2="All",J99=Dashboard!$P$2)),1,0)</f>
        <v>1</v>
      </c>
      <c r="S99" s="1">
        <f t="shared" si="10"/>
        <v>120105269.76000001</v>
      </c>
      <c r="T99" s="1">
        <f t="shared" si="11"/>
        <v>0</v>
      </c>
      <c r="U99" s="1">
        <f>IF(OR(Dashboard!$P$3="All",AND(Dashboard!$P$3="Not due",Q99&lt;0),AND(Dashboard!$P$3="Due in 10 days",Q99&gt;=-10,Q99&lt;=0),AND(Dashboard!$P$3="Due in 30 days",Q99&gt;=-30,Q99&lt;=0),AND(Dashboard!$P$3="Overdue 1-60 days",Q99&gt;0,Q99&lt;=60),AND(Dashboard!$P$3="Over 60 days",Q99&gt;60),AND(Dashboard!$P$3="All overdue",Q99&gt;0)),1,0)</f>
        <v>1</v>
      </c>
      <c r="V99" s="1">
        <f t="shared" si="12"/>
        <v>120105269.76000001</v>
      </c>
      <c r="W99" s="1">
        <f t="shared" si="13"/>
        <v>0</v>
      </c>
      <c r="X99" s="1">
        <f>IF(V99&gt;0,COUNTIF($V$6:V99,"&gt;0"),"")</f>
        <v>94</v>
      </c>
      <c r="Y99" s="17" t="str">
        <f t="shared" si="14"/>
        <v>CAL-current-094|000094</v>
      </c>
      <c r="Z99" s="1"/>
      <c r="AA99" s="17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 t="s">
        <v>30</v>
      </c>
      <c r="B100" s="1" t="s">
        <v>243</v>
      </c>
      <c r="C100" s="1" t="s">
        <v>260</v>
      </c>
      <c r="D100" s="1" t="s">
        <v>261</v>
      </c>
      <c r="E100" s="4">
        <v>45795</v>
      </c>
      <c r="F100" s="4">
        <v>45840</v>
      </c>
      <c r="G100" s="5">
        <v>184202171.88</v>
      </c>
      <c r="H100" s="5">
        <v>34444308.560000002</v>
      </c>
      <c r="I100" s="5">
        <v>149757863.31999999</v>
      </c>
      <c r="J100" s="1" t="s">
        <v>27</v>
      </c>
      <c r="K100" s="1" t="s">
        <v>64</v>
      </c>
      <c r="L100" s="1" t="s">
        <v>73</v>
      </c>
      <c r="M100" s="1" t="s">
        <v>66</v>
      </c>
      <c r="N100" s="6"/>
      <c r="O100" s="6"/>
      <c r="P100" s="7" t="s">
        <v>67</v>
      </c>
      <c r="Q100" s="1">
        <f>IF(ISNUMBER(F100),Dashboard!$D$2-F100,"")</f>
        <v>-63</v>
      </c>
      <c r="R100" s="1">
        <f>IF(AND(OR(Dashboard!$P$1="All",A100=Dashboard!$P$1),OR(Dashboard!$P$2="All",J100=Dashboard!$P$2)),1,0)</f>
        <v>1</v>
      </c>
      <c r="S100" s="1">
        <f t="shared" si="10"/>
        <v>149757863.31999999</v>
      </c>
      <c r="T100" s="1">
        <f t="shared" si="11"/>
        <v>0</v>
      </c>
      <c r="U100" s="1">
        <f>IF(OR(Dashboard!$P$3="All",AND(Dashboard!$P$3="Not due",Q100&lt;0),AND(Dashboard!$P$3="Due in 10 days",Q100&gt;=-10,Q100&lt;=0),AND(Dashboard!$P$3="Due in 30 days",Q100&gt;=-30,Q100&lt;=0),AND(Dashboard!$P$3="Overdue 1-60 days",Q100&gt;0,Q100&lt;=60),AND(Dashboard!$P$3="Over 60 days",Q100&gt;60),AND(Dashboard!$P$3="All overdue",Q100&gt;0)),1,0)</f>
        <v>1</v>
      </c>
      <c r="V100" s="1">
        <f t="shared" si="12"/>
        <v>149757863.31999999</v>
      </c>
      <c r="W100" s="1">
        <f t="shared" si="13"/>
        <v>0</v>
      </c>
      <c r="X100" s="1">
        <f>IF(V100&gt;0,COUNTIF($V$6:V100,"&gt;0"),"")</f>
        <v>95</v>
      </c>
      <c r="Y100" s="17" t="str">
        <f t="shared" si="14"/>
        <v>CAL-current-095|000095</v>
      </c>
      <c r="Z100" s="1"/>
      <c r="AA100" s="17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 t="s">
        <v>32</v>
      </c>
      <c r="B101" s="1" t="s">
        <v>262</v>
      </c>
      <c r="C101" s="1" t="s">
        <v>263</v>
      </c>
      <c r="D101" s="1" t="s">
        <v>264</v>
      </c>
      <c r="E101" s="4">
        <v>45756</v>
      </c>
      <c r="F101" s="4">
        <v>45801</v>
      </c>
      <c r="G101" s="5">
        <v>53459428.5</v>
      </c>
      <c r="H101" s="5">
        <v>9996478.5</v>
      </c>
      <c r="I101" s="5">
        <v>43462950</v>
      </c>
      <c r="J101" s="1" t="s">
        <v>31</v>
      </c>
      <c r="K101" s="1" t="s">
        <v>64</v>
      </c>
      <c r="L101" s="1" t="s">
        <v>76</v>
      </c>
      <c r="M101" s="1" t="s">
        <v>66</v>
      </c>
      <c r="N101" s="6"/>
      <c r="O101" s="6"/>
      <c r="P101" s="7" t="s">
        <v>67</v>
      </c>
      <c r="Q101" s="1">
        <f>IF(ISNUMBER(F101),Dashboard!$D$2-F101,"")</f>
        <v>-24</v>
      </c>
      <c r="R101" s="1">
        <f>IF(AND(OR(Dashboard!$P$1="All",A101=Dashboard!$P$1),OR(Dashboard!$P$2="All",J101=Dashboard!$P$2)),1,0)</f>
        <v>1</v>
      </c>
      <c r="S101" s="1">
        <f t="shared" si="10"/>
        <v>43462950</v>
      </c>
      <c r="T101" s="1">
        <f t="shared" si="11"/>
        <v>0</v>
      </c>
      <c r="U101" s="1">
        <f>IF(OR(Dashboard!$P$3="All",AND(Dashboard!$P$3="Not due",Q101&lt;0),AND(Dashboard!$P$3="Due in 10 days",Q101&gt;=-10,Q101&lt;=0),AND(Dashboard!$P$3="Due in 30 days",Q101&gt;=-30,Q101&lt;=0),AND(Dashboard!$P$3="Overdue 1-60 days",Q101&gt;0,Q101&lt;=60),AND(Dashboard!$P$3="Over 60 days",Q101&gt;60),AND(Dashboard!$P$3="All overdue",Q101&gt;0)),1,0)</f>
        <v>1</v>
      </c>
      <c r="V101" s="1">
        <f t="shared" si="12"/>
        <v>43462950</v>
      </c>
      <c r="W101" s="1">
        <f t="shared" si="13"/>
        <v>0</v>
      </c>
      <c r="X101" s="1">
        <f>IF(V101&gt;0,COUNTIF($V$6:V101,"&gt;0"),"")</f>
        <v>96</v>
      </c>
      <c r="Y101" s="17" t="str">
        <f t="shared" si="14"/>
        <v>CAL-current-096|000096</v>
      </c>
      <c r="Z101" s="1"/>
      <c r="AA101" s="17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 t="s">
        <v>34</v>
      </c>
      <c r="B102" s="1" t="s">
        <v>265</v>
      </c>
      <c r="C102" s="1" t="s">
        <v>266</v>
      </c>
      <c r="D102" s="1" t="s">
        <v>267</v>
      </c>
      <c r="E102" s="4">
        <v>45754</v>
      </c>
      <c r="F102" s="4">
        <v>45799</v>
      </c>
      <c r="G102" s="5">
        <v>363622.56</v>
      </c>
      <c r="H102" s="5">
        <v>38959.56</v>
      </c>
      <c r="I102" s="5">
        <v>324663</v>
      </c>
      <c r="J102" s="1" t="s">
        <v>33</v>
      </c>
      <c r="K102" s="1" t="s">
        <v>64</v>
      </c>
      <c r="L102" s="1" t="s">
        <v>65</v>
      </c>
      <c r="M102" s="1" t="s">
        <v>66</v>
      </c>
      <c r="N102" s="6"/>
      <c r="O102" s="6"/>
      <c r="P102" s="7" t="s">
        <v>67</v>
      </c>
      <c r="Q102" s="1">
        <f>IF(ISNUMBER(F102),Dashboard!$D$2-F102,"")</f>
        <v>-22</v>
      </c>
      <c r="R102" s="1">
        <f>IF(AND(OR(Dashboard!$P$1="All",A102=Dashboard!$P$1),OR(Dashboard!$P$2="All",J102=Dashboard!$P$2)),1,0)</f>
        <v>1</v>
      </c>
      <c r="S102" s="1">
        <f t="shared" ref="S102:S103" si="15">I102*R102</f>
        <v>324663</v>
      </c>
      <c r="T102" s="1">
        <f t="shared" ref="T102:T103" si="16">IF(AND(ISNUMBER(Q102),Q102&gt;0),S102,0)</f>
        <v>0</v>
      </c>
      <c r="U102" s="1">
        <f>IF(OR(Dashboard!$P$3="All",AND(Dashboard!$P$3="Not due",Q102&lt;0),AND(Dashboard!$P$3="Due in 10 days",Q102&gt;=-10,Q102&lt;=0),AND(Dashboard!$P$3="Due in 30 days",Q102&gt;=-30,Q102&lt;=0),AND(Dashboard!$P$3="Overdue 1-60 days",Q102&gt;0,Q102&lt;=60),AND(Dashboard!$P$3="Over 60 days",Q102&gt;60),AND(Dashboard!$P$3="All overdue",Q102&gt;0)),1,0)</f>
        <v>1</v>
      </c>
      <c r="V102" s="1">
        <f t="shared" ref="V102:V103" si="17">S102*U102</f>
        <v>324663</v>
      </c>
      <c r="W102" s="1">
        <f t="shared" si="13"/>
        <v>0</v>
      </c>
      <c r="X102" s="1">
        <f>IF(V102&gt;0,COUNTIF($V$6:V102,"&gt;0"),"")</f>
        <v>97</v>
      </c>
      <c r="Y102" s="17" t="str">
        <f t="shared" si="14"/>
        <v>CAL-current-097|000097</v>
      </c>
      <c r="Z102" s="1"/>
      <c r="AA102" s="17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 t="s">
        <v>36</v>
      </c>
      <c r="B103" s="1" t="s">
        <v>268</v>
      </c>
      <c r="C103" s="1" t="s">
        <v>269</v>
      </c>
      <c r="D103" s="1" t="s">
        <v>270</v>
      </c>
      <c r="E103" s="4">
        <v>45641</v>
      </c>
      <c r="F103" s="4">
        <v>45701</v>
      </c>
      <c r="G103" s="5">
        <v>4504227840</v>
      </c>
      <c r="H103" s="5">
        <v>482595840</v>
      </c>
      <c r="I103" s="5">
        <v>4021632000</v>
      </c>
      <c r="J103" s="1" t="s">
        <v>35</v>
      </c>
      <c r="K103" s="1" t="s">
        <v>64</v>
      </c>
      <c r="L103" s="1" t="s">
        <v>70</v>
      </c>
      <c r="M103" s="1" t="s">
        <v>66</v>
      </c>
      <c r="N103" s="6"/>
      <c r="O103" s="6"/>
      <c r="P103" s="7" t="s">
        <v>67</v>
      </c>
      <c r="Q103" s="1">
        <f>IF(ISNUMBER(F103),Dashboard!$D$2-F103,"")</f>
        <v>76</v>
      </c>
      <c r="R103" s="1">
        <f>IF(AND(OR(Dashboard!$P$1="All",A103=Dashboard!$P$1),OR(Dashboard!$P$2="All",J103=Dashboard!$P$2)),1,0)</f>
        <v>1</v>
      </c>
      <c r="S103" s="1">
        <f t="shared" si="15"/>
        <v>4021632000</v>
      </c>
      <c r="T103" s="1">
        <f t="shared" si="16"/>
        <v>4021632000</v>
      </c>
      <c r="U103" s="1">
        <f>IF(OR(Dashboard!$P$3="All",AND(Dashboard!$P$3="Not due",Q103&lt;0),AND(Dashboard!$P$3="Due in 10 days",Q103&gt;=-10,Q103&lt;=0),AND(Dashboard!$P$3="Due in 30 days",Q103&gt;=-30,Q103&lt;=0),AND(Dashboard!$P$3="Overdue 1-60 days",Q103&gt;0,Q103&lt;=60),AND(Dashboard!$P$3="Over 60 days",Q103&gt;60),AND(Dashboard!$P$3="All overdue",Q103&gt;0)),1,0)</f>
        <v>1</v>
      </c>
      <c r="V103" s="1">
        <f t="shared" si="17"/>
        <v>4021632000</v>
      </c>
      <c r="W103" s="1">
        <f t="shared" si="13"/>
        <v>305644032000</v>
      </c>
      <c r="X103" s="1">
        <f>IF(V103&gt;0,COUNTIF($V$6:V103,"&gt;0"),"")</f>
        <v>98</v>
      </c>
      <c r="Y103" s="17" t="str">
        <f t="shared" si="14"/>
        <v>CAL-current-098|000098</v>
      </c>
      <c r="Z103" s="1"/>
      <c r="AA103" s="17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O160"/>
  <sheetViews>
    <sheetView showGridLines="0" workbookViewId="0">
      <pane ySplit="5" topLeftCell="A6" activePane="bottomLeft" state="frozen"/>
      <selection pane="bottomLeft" activeCell="A6" sqref="A6"/>
    </sheetView>
  </sheetViews>
  <sheetFormatPr defaultRowHeight="14"/>
  <cols>
    <col min="1" max="1" width="18" customWidth="1"/>
    <col min="2" max="2" width="60" customWidth="1"/>
    <col min="3" max="11" width="18" customWidth="1"/>
    <col min="12" max="13" width="52" customWidth="1"/>
    <col min="14" max="15" width="18" customWidth="1"/>
    <col min="16" max="16" width="42" customWidth="1"/>
    <col min="17" max="23" width="18" customWidth="1"/>
  </cols>
  <sheetData>
    <row r="1" spans="1:41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1"/>
      <c r="C3" s="1"/>
      <c r="D3" s="4">
        <v>45747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38.15" customHeight="1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23</v>
      </c>
      <c r="K5" s="3" t="s">
        <v>47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52</v>
      </c>
      <c r="Q5" s="3" t="s">
        <v>53</v>
      </c>
      <c r="R5" s="3" t="s">
        <v>54</v>
      </c>
      <c r="S5" s="3" t="s">
        <v>55</v>
      </c>
      <c r="T5" s="3" t="s">
        <v>56</v>
      </c>
      <c r="U5" s="3" t="s">
        <v>57</v>
      </c>
      <c r="V5" s="3" t="s">
        <v>58</v>
      </c>
      <c r="W5" s="3" t="s">
        <v>59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 t="s">
        <v>24</v>
      </c>
      <c r="B6" s="1" t="s">
        <v>61</v>
      </c>
      <c r="C6" s="1" t="s">
        <v>271</v>
      </c>
      <c r="D6" s="1" t="s">
        <v>63</v>
      </c>
      <c r="E6" s="4">
        <v>45710</v>
      </c>
      <c r="F6" s="4">
        <v>45755</v>
      </c>
      <c r="G6" s="5">
        <v>921311767.20000005</v>
      </c>
      <c r="H6" s="5">
        <v>98711975.060000002</v>
      </c>
      <c r="I6" s="5">
        <v>822599792.13999999</v>
      </c>
      <c r="J6" s="1" t="s">
        <v>25</v>
      </c>
      <c r="K6" s="1" t="s">
        <v>64</v>
      </c>
      <c r="L6" s="1" t="s">
        <v>65</v>
      </c>
      <c r="M6" s="1" t="s">
        <v>66</v>
      </c>
      <c r="N6" s="6"/>
      <c r="O6" s="6"/>
      <c r="P6" s="7" t="s">
        <v>67</v>
      </c>
      <c r="Q6" s="1">
        <f t="shared" ref="Q6:Q37" si="0">IF(ISNUMBER(F6),$D$3-F6,"")</f>
        <v>-8</v>
      </c>
      <c r="R6" s="1">
        <f>IF(AND(OR(Dashboard!$P$1="All",A6=Dashboard!$P$1),OR(Dashboard!$P$2="All",J6=Dashboard!$P$2)),1,0)</f>
        <v>1</v>
      </c>
      <c r="S6" s="1">
        <f t="shared" ref="S6:S37" si="1">I6*R6</f>
        <v>822599792.13999999</v>
      </c>
      <c r="T6" s="1">
        <f t="shared" ref="T6:T37" si="2">IF(AND(ISNUMBER(Q6),Q6&gt;0),S6,0)</f>
        <v>0</v>
      </c>
      <c r="U6" s="1">
        <f>IF(OR(Dashboard!$P$3="All",AND(Dashboard!$P$3="Not due",Q6&lt;0),AND(Dashboard!$P$3="Due in 10 days",Q6&gt;=-10,Q6&lt;=0),AND(Dashboard!$P$3="Due in 30 days",Q6&gt;=-30,Q6&lt;=0),AND(Dashboard!$P$3="Overdue 1-60 days",Q6&gt;0,Q6&lt;=60),AND(Dashboard!$P$3="Over 60 days",Q6&gt;60),AND(Dashboard!$P$3="All overdue",Q6&gt;0)),1,0)</f>
        <v>1</v>
      </c>
      <c r="V6" s="1">
        <f t="shared" ref="V6:V37" si="3">S6*U6</f>
        <v>822599792.13999999</v>
      </c>
      <c r="W6" s="1">
        <f t="shared" ref="W6:W37" si="4">IF(Q6&gt;0,T6*Q6,0)</f>
        <v>0</v>
      </c>
      <c r="X6" s="1">
        <f>IF(V6&gt;0,COUNTIF($V$6:V6,"&gt;0"),"")</f>
        <v>1</v>
      </c>
      <c r="Y6" s="1" t="str">
        <f t="shared" ref="Y6:Y37" si="5">C6&amp;"|"&amp;D6</f>
        <v>CAL-prior-001|000001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 t="s">
        <v>24</v>
      </c>
      <c r="B7" s="1" t="s">
        <v>61</v>
      </c>
      <c r="C7" s="1" t="s">
        <v>272</v>
      </c>
      <c r="D7" s="1" t="s">
        <v>69</v>
      </c>
      <c r="E7" s="4">
        <v>45710</v>
      </c>
      <c r="F7" s="4">
        <v>45755</v>
      </c>
      <c r="G7" s="5">
        <v>457289979.52999997</v>
      </c>
      <c r="H7" s="5">
        <v>48995354.950000003</v>
      </c>
      <c r="I7" s="5">
        <v>408294624.57999998</v>
      </c>
      <c r="J7" s="1" t="s">
        <v>25</v>
      </c>
      <c r="K7" s="1" t="s">
        <v>64</v>
      </c>
      <c r="L7" s="1" t="s">
        <v>70</v>
      </c>
      <c r="M7" s="1" t="s">
        <v>66</v>
      </c>
      <c r="N7" s="6"/>
      <c r="O7" s="6"/>
      <c r="P7" s="7" t="s">
        <v>67</v>
      </c>
      <c r="Q7" s="1">
        <f t="shared" si="0"/>
        <v>-8</v>
      </c>
      <c r="R7" s="1">
        <f>IF(AND(OR(Dashboard!$P$1="All",A7=Dashboard!$P$1),OR(Dashboard!$P$2="All",J7=Dashboard!$P$2)),1,0)</f>
        <v>1</v>
      </c>
      <c r="S7" s="1">
        <f t="shared" si="1"/>
        <v>408294624.57999998</v>
      </c>
      <c r="T7" s="1">
        <f t="shared" si="2"/>
        <v>0</v>
      </c>
      <c r="U7" s="1">
        <f>IF(OR(Dashboard!$P$3="All",AND(Dashboard!$P$3="Not due",Q7&lt;0),AND(Dashboard!$P$3="Due in 10 days",Q7&gt;=-10,Q7&lt;=0),AND(Dashboard!$P$3="Due in 30 days",Q7&gt;=-30,Q7&lt;=0),AND(Dashboard!$P$3="Overdue 1-60 days",Q7&gt;0,Q7&lt;=60),AND(Dashboard!$P$3="Over 60 days",Q7&gt;60),AND(Dashboard!$P$3="All overdue",Q7&gt;0)),1,0)</f>
        <v>1</v>
      </c>
      <c r="V7" s="1">
        <f t="shared" si="3"/>
        <v>408294624.57999998</v>
      </c>
      <c r="W7" s="1">
        <f t="shared" si="4"/>
        <v>0</v>
      </c>
      <c r="X7" s="1">
        <f>IF(V7&gt;0,COUNTIF($V$6:V7,"&gt;0"),"")</f>
        <v>2</v>
      </c>
      <c r="Y7" s="1" t="str">
        <f t="shared" si="5"/>
        <v>CAL-prior-002|000002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 t="s">
        <v>24</v>
      </c>
      <c r="B8" s="1" t="s">
        <v>61</v>
      </c>
      <c r="C8" s="1" t="s">
        <v>273</v>
      </c>
      <c r="D8" s="1" t="s">
        <v>72</v>
      </c>
      <c r="E8" s="4">
        <v>45695</v>
      </c>
      <c r="F8" s="4">
        <v>45755</v>
      </c>
      <c r="G8" s="5">
        <v>416951731.02999997</v>
      </c>
      <c r="H8" s="5">
        <v>44673399.75</v>
      </c>
      <c r="I8" s="5">
        <v>372278331.27999997</v>
      </c>
      <c r="J8" s="1" t="s">
        <v>25</v>
      </c>
      <c r="K8" s="1" t="s">
        <v>64</v>
      </c>
      <c r="L8" s="1" t="s">
        <v>73</v>
      </c>
      <c r="M8" s="1" t="s">
        <v>66</v>
      </c>
      <c r="N8" s="6"/>
      <c r="O8" s="6"/>
      <c r="P8" s="7" t="s">
        <v>67</v>
      </c>
      <c r="Q8" s="1">
        <f t="shared" si="0"/>
        <v>-8</v>
      </c>
      <c r="R8" s="1">
        <f>IF(AND(OR(Dashboard!$P$1="All",A8=Dashboard!$P$1),OR(Dashboard!$P$2="All",J8=Dashboard!$P$2)),1,0)</f>
        <v>1</v>
      </c>
      <c r="S8" s="1">
        <f t="shared" si="1"/>
        <v>372278331.27999997</v>
      </c>
      <c r="T8" s="1">
        <f t="shared" si="2"/>
        <v>0</v>
      </c>
      <c r="U8" s="1">
        <f>IF(OR(Dashboard!$P$3="All",AND(Dashboard!$P$3="Not due",Q8&lt;0),AND(Dashboard!$P$3="Due in 10 days",Q8&gt;=-10,Q8&lt;=0),AND(Dashboard!$P$3="Due in 30 days",Q8&gt;=-30,Q8&lt;=0),AND(Dashboard!$P$3="Overdue 1-60 days",Q8&gt;0,Q8&lt;=60),AND(Dashboard!$P$3="Over 60 days",Q8&gt;60),AND(Dashboard!$P$3="All overdue",Q8&gt;0)),1,0)</f>
        <v>1</v>
      </c>
      <c r="V8" s="1">
        <f t="shared" si="3"/>
        <v>372278331.27999997</v>
      </c>
      <c r="W8" s="1">
        <f t="shared" si="4"/>
        <v>0</v>
      </c>
      <c r="X8" s="1">
        <f>IF(V8&gt;0,COUNTIF($V$6:V8,"&gt;0"),"")</f>
        <v>3</v>
      </c>
      <c r="Y8" s="1" t="str">
        <f t="shared" si="5"/>
        <v>CAL-prior-003|000003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 t="s">
        <v>28</v>
      </c>
      <c r="B9" s="1" t="s">
        <v>86</v>
      </c>
      <c r="C9" s="1" t="s">
        <v>274</v>
      </c>
      <c r="D9" s="1" t="s">
        <v>75</v>
      </c>
      <c r="E9" s="4">
        <v>45657</v>
      </c>
      <c r="F9" s="4">
        <v>45702</v>
      </c>
      <c r="G9" s="5">
        <v>923371026.5</v>
      </c>
      <c r="H9" s="5">
        <v>249377576.5</v>
      </c>
      <c r="I9" s="5">
        <v>673993450</v>
      </c>
      <c r="J9" s="1" t="s">
        <v>27</v>
      </c>
      <c r="K9" s="1" t="s">
        <v>64</v>
      </c>
      <c r="L9" s="1" t="s">
        <v>76</v>
      </c>
      <c r="M9" s="1" t="s">
        <v>66</v>
      </c>
      <c r="N9" s="6"/>
      <c r="O9" s="6"/>
      <c r="P9" s="7" t="s">
        <v>67</v>
      </c>
      <c r="Q9" s="1">
        <f t="shared" si="0"/>
        <v>45</v>
      </c>
      <c r="R9" s="1">
        <f>IF(AND(OR(Dashboard!$P$1="All",A9=Dashboard!$P$1),OR(Dashboard!$P$2="All",J9=Dashboard!$P$2)),1,0)</f>
        <v>1</v>
      </c>
      <c r="S9" s="1">
        <f t="shared" si="1"/>
        <v>673993450</v>
      </c>
      <c r="T9" s="1">
        <f t="shared" si="2"/>
        <v>673993450</v>
      </c>
      <c r="U9" s="1">
        <f>IF(OR(Dashboard!$P$3="All",AND(Dashboard!$P$3="Not due",Q9&lt;0),AND(Dashboard!$P$3="Due in 10 days",Q9&gt;=-10,Q9&lt;=0),AND(Dashboard!$P$3="Due in 30 days",Q9&gt;=-30,Q9&lt;=0),AND(Dashboard!$P$3="Overdue 1-60 days",Q9&gt;0,Q9&lt;=60),AND(Dashboard!$P$3="Over 60 days",Q9&gt;60),AND(Dashboard!$P$3="All overdue",Q9&gt;0)),1,0)</f>
        <v>1</v>
      </c>
      <c r="V9" s="1">
        <f t="shared" si="3"/>
        <v>673993450</v>
      </c>
      <c r="W9" s="1">
        <f t="shared" si="4"/>
        <v>30329705250</v>
      </c>
      <c r="X9" s="1">
        <f>IF(V9&gt;0,COUNTIF($V$6:V9,"&gt;0"),"")</f>
        <v>4</v>
      </c>
      <c r="Y9" s="1" t="str">
        <f t="shared" si="5"/>
        <v>CAL-prior-004|000004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 t="s">
        <v>28</v>
      </c>
      <c r="B10" s="1" t="s">
        <v>86</v>
      </c>
      <c r="C10" s="1" t="s">
        <v>275</v>
      </c>
      <c r="D10" s="1" t="s">
        <v>79</v>
      </c>
      <c r="E10" s="4">
        <v>45656</v>
      </c>
      <c r="F10" s="4">
        <v>45701</v>
      </c>
      <c r="G10" s="5">
        <v>566154503.03999996</v>
      </c>
      <c r="H10" s="5">
        <v>60659411.039999999</v>
      </c>
      <c r="I10" s="5">
        <v>505495092</v>
      </c>
      <c r="J10" s="1" t="s">
        <v>27</v>
      </c>
      <c r="K10" s="1" t="s">
        <v>64</v>
      </c>
      <c r="L10" s="1" t="s">
        <v>65</v>
      </c>
      <c r="M10" s="1" t="s">
        <v>66</v>
      </c>
      <c r="N10" s="6"/>
      <c r="O10" s="6"/>
      <c r="P10" s="7" t="s">
        <v>67</v>
      </c>
      <c r="Q10" s="1">
        <f t="shared" si="0"/>
        <v>46</v>
      </c>
      <c r="R10" s="1">
        <f>IF(AND(OR(Dashboard!$P$1="All",A10=Dashboard!$P$1),OR(Dashboard!$P$2="All",J10=Dashboard!$P$2)),1,0)</f>
        <v>1</v>
      </c>
      <c r="S10" s="1">
        <f t="shared" si="1"/>
        <v>505495092</v>
      </c>
      <c r="T10" s="1">
        <f t="shared" si="2"/>
        <v>505495092</v>
      </c>
      <c r="U10" s="1">
        <f>IF(OR(Dashboard!$P$3="All",AND(Dashboard!$P$3="Not due",Q10&lt;0),AND(Dashboard!$P$3="Due in 10 days",Q10&gt;=-10,Q10&lt;=0),AND(Dashboard!$P$3="Due in 30 days",Q10&gt;=-30,Q10&lt;=0),AND(Dashboard!$P$3="Overdue 1-60 days",Q10&gt;0,Q10&lt;=60),AND(Dashboard!$P$3="Over 60 days",Q10&gt;60),AND(Dashboard!$P$3="All overdue",Q10&gt;0)),1,0)</f>
        <v>1</v>
      </c>
      <c r="V10" s="1">
        <f t="shared" si="3"/>
        <v>505495092</v>
      </c>
      <c r="W10" s="1">
        <f t="shared" si="4"/>
        <v>23252774232</v>
      </c>
      <c r="X10" s="1">
        <f>IF(V10&gt;0,COUNTIF($V$6:V10,"&gt;0"),"")</f>
        <v>5</v>
      </c>
      <c r="Y10" s="1" t="str">
        <f t="shared" si="5"/>
        <v>CAL-prior-005|000005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 t="s">
        <v>28</v>
      </c>
      <c r="B11" s="1" t="s">
        <v>86</v>
      </c>
      <c r="C11" s="1" t="s">
        <v>276</v>
      </c>
      <c r="D11" s="1" t="s">
        <v>81</v>
      </c>
      <c r="E11" s="4">
        <v>45662</v>
      </c>
      <c r="F11" s="4">
        <v>45707</v>
      </c>
      <c r="G11" s="5">
        <v>33892571.840000004</v>
      </c>
      <c r="H11" s="5">
        <v>9153468.3100000005</v>
      </c>
      <c r="I11" s="5">
        <v>24739103.530000001</v>
      </c>
      <c r="J11" s="1" t="s">
        <v>25</v>
      </c>
      <c r="K11" s="1" t="s">
        <v>64</v>
      </c>
      <c r="L11" s="1" t="s">
        <v>70</v>
      </c>
      <c r="M11" s="1" t="s">
        <v>66</v>
      </c>
      <c r="N11" s="6"/>
      <c r="O11" s="6"/>
      <c r="P11" s="7" t="s">
        <v>67</v>
      </c>
      <c r="Q11" s="1">
        <f t="shared" si="0"/>
        <v>40</v>
      </c>
      <c r="R11" s="1">
        <f>IF(AND(OR(Dashboard!$P$1="All",A11=Dashboard!$P$1),OR(Dashboard!$P$2="All",J11=Dashboard!$P$2)),1,0)</f>
        <v>1</v>
      </c>
      <c r="S11" s="1">
        <f t="shared" si="1"/>
        <v>24739103.530000001</v>
      </c>
      <c r="T11" s="1">
        <f t="shared" si="2"/>
        <v>24739103.530000001</v>
      </c>
      <c r="U11" s="1">
        <f>IF(OR(Dashboard!$P$3="All",AND(Dashboard!$P$3="Not due",Q11&lt;0),AND(Dashboard!$P$3="Due in 10 days",Q11&gt;=-10,Q11&lt;=0),AND(Dashboard!$P$3="Due in 30 days",Q11&gt;=-30,Q11&lt;=0),AND(Dashboard!$P$3="Overdue 1-60 days",Q11&gt;0,Q11&lt;=60),AND(Dashboard!$P$3="Over 60 days",Q11&gt;60),AND(Dashboard!$P$3="All overdue",Q11&gt;0)),1,0)</f>
        <v>1</v>
      </c>
      <c r="V11" s="1">
        <f t="shared" si="3"/>
        <v>24739103.530000001</v>
      </c>
      <c r="W11" s="1">
        <f t="shared" si="4"/>
        <v>989564141.20000005</v>
      </c>
      <c r="X11" s="1">
        <f>IF(V11&gt;0,COUNTIF($V$6:V11,"&gt;0"),"")</f>
        <v>6</v>
      </c>
      <c r="Y11" s="1" t="str">
        <f t="shared" si="5"/>
        <v>CAL-prior-006|000006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 t="s">
        <v>28</v>
      </c>
      <c r="B12" s="1" t="s">
        <v>86</v>
      </c>
      <c r="C12" s="1" t="s">
        <v>277</v>
      </c>
      <c r="D12" s="1" t="s">
        <v>83</v>
      </c>
      <c r="E12" s="4">
        <v>45647</v>
      </c>
      <c r="F12" s="4">
        <v>45707</v>
      </c>
      <c r="G12" s="5">
        <v>25479687.969999999</v>
      </c>
      <c r="H12" s="5">
        <v>4764494.5</v>
      </c>
      <c r="I12" s="5">
        <v>20715193.469999999</v>
      </c>
      <c r="J12" s="1" t="s">
        <v>25</v>
      </c>
      <c r="K12" s="1" t="s">
        <v>64</v>
      </c>
      <c r="L12" s="1" t="s">
        <v>73</v>
      </c>
      <c r="M12" s="1" t="s">
        <v>66</v>
      </c>
      <c r="N12" s="6"/>
      <c r="O12" s="6"/>
      <c r="P12" s="7" t="s">
        <v>67</v>
      </c>
      <c r="Q12" s="1">
        <f t="shared" si="0"/>
        <v>40</v>
      </c>
      <c r="R12" s="1">
        <f>IF(AND(OR(Dashboard!$P$1="All",A12=Dashboard!$P$1),OR(Dashboard!$P$2="All",J12=Dashboard!$P$2)),1,0)</f>
        <v>1</v>
      </c>
      <c r="S12" s="1">
        <f t="shared" si="1"/>
        <v>20715193.469999999</v>
      </c>
      <c r="T12" s="1">
        <f t="shared" si="2"/>
        <v>20715193.469999999</v>
      </c>
      <c r="U12" s="1">
        <f>IF(OR(Dashboard!$P$3="All",AND(Dashboard!$P$3="Not due",Q12&lt;0),AND(Dashboard!$P$3="Due in 10 days",Q12&gt;=-10,Q12&lt;=0),AND(Dashboard!$P$3="Due in 30 days",Q12&gt;=-30,Q12&lt;=0),AND(Dashboard!$P$3="Overdue 1-60 days",Q12&gt;0,Q12&lt;=60),AND(Dashboard!$P$3="Over 60 days",Q12&gt;60),AND(Dashboard!$P$3="All overdue",Q12&gt;0)),1,0)</f>
        <v>1</v>
      </c>
      <c r="V12" s="1">
        <f t="shared" si="3"/>
        <v>20715193.469999999</v>
      </c>
      <c r="W12" s="1">
        <f t="shared" si="4"/>
        <v>828607738.79999995</v>
      </c>
      <c r="X12" s="1">
        <f>IF(V12&gt;0,COUNTIF($V$6:V12,"&gt;0"),"")</f>
        <v>7</v>
      </c>
      <c r="Y12" s="1" t="str">
        <f t="shared" si="5"/>
        <v>CAL-prior-007|000007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 t="s">
        <v>28</v>
      </c>
      <c r="B13" s="1" t="s">
        <v>86</v>
      </c>
      <c r="C13" s="1" t="s">
        <v>278</v>
      </c>
      <c r="D13" s="1" t="s">
        <v>85</v>
      </c>
      <c r="E13" s="4">
        <v>45646</v>
      </c>
      <c r="F13" s="4">
        <v>45706</v>
      </c>
      <c r="G13" s="5">
        <v>249599788.66</v>
      </c>
      <c r="H13" s="5">
        <v>26742834.5</v>
      </c>
      <c r="I13" s="5">
        <v>222856954.16</v>
      </c>
      <c r="J13" s="1" t="s">
        <v>25</v>
      </c>
      <c r="K13" s="1" t="s">
        <v>64</v>
      </c>
      <c r="L13" s="1" t="s">
        <v>76</v>
      </c>
      <c r="M13" s="1" t="s">
        <v>66</v>
      </c>
      <c r="N13" s="6"/>
      <c r="O13" s="6"/>
      <c r="P13" s="7" t="s">
        <v>67</v>
      </c>
      <c r="Q13" s="1">
        <f t="shared" si="0"/>
        <v>41</v>
      </c>
      <c r="R13" s="1">
        <f>IF(AND(OR(Dashboard!$P$1="All",A13=Dashboard!$P$1),OR(Dashboard!$P$2="All",J13=Dashboard!$P$2)),1,0)</f>
        <v>1</v>
      </c>
      <c r="S13" s="1">
        <f t="shared" si="1"/>
        <v>222856954.16</v>
      </c>
      <c r="T13" s="1">
        <f t="shared" si="2"/>
        <v>222856954.16</v>
      </c>
      <c r="U13" s="1">
        <f>IF(OR(Dashboard!$P$3="All",AND(Dashboard!$P$3="Not due",Q13&lt;0),AND(Dashboard!$P$3="Due in 10 days",Q13&gt;=-10,Q13&lt;=0),AND(Dashboard!$P$3="Due in 30 days",Q13&gt;=-30,Q13&lt;=0),AND(Dashboard!$P$3="Overdue 1-60 days",Q13&gt;0,Q13&lt;=60),AND(Dashboard!$P$3="Over 60 days",Q13&gt;60),AND(Dashboard!$P$3="All overdue",Q13&gt;0)),1,0)</f>
        <v>1</v>
      </c>
      <c r="V13" s="1">
        <f t="shared" si="3"/>
        <v>222856954.16</v>
      </c>
      <c r="W13" s="1">
        <f t="shared" si="4"/>
        <v>9137135120.5599995</v>
      </c>
      <c r="X13" s="1">
        <f>IF(V13&gt;0,COUNTIF($V$6:V13,"&gt;0"),"")</f>
        <v>8</v>
      </c>
      <c r="Y13" s="1" t="str">
        <f t="shared" si="5"/>
        <v>CAL-prior-008|000008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 t="s">
        <v>28</v>
      </c>
      <c r="B14" s="1" t="s">
        <v>86</v>
      </c>
      <c r="C14" s="1" t="s">
        <v>279</v>
      </c>
      <c r="D14" s="1" t="s">
        <v>88</v>
      </c>
      <c r="E14" s="4">
        <v>45661</v>
      </c>
      <c r="F14" s="4">
        <v>45706</v>
      </c>
      <c r="G14" s="5">
        <v>255090870.75999999</v>
      </c>
      <c r="H14" s="5">
        <v>47699918.920000002</v>
      </c>
      <c r="I14" s="5">
        <v>207390951.84</v>
      </c>
      <c r="J14" s="1" t="s">
        <v>25</v>
      </c>
      <c r="K14" s="1" t="s">
        <v>64</v>
      </c>
      <c r="L14" s="1" t="s">
        <v>65</v>
      </c>
      <c r="M14" s="1" t="s">
        <v>66</v>
      </c>
      <c r="N14" s="6"/>
      <c r="O14" s="6"/>
      <c r="P14" s="7" t="s">
        <v>67</v>
      </c>
      <c r="Q14" s="1">
        <f t="shared" si="0"/>
        <v>41</v>
      </c>
      <c r="R14" s="1">
        <f>IF(AND(OR(Dashboard!$P$1="All",A14=Dashboard!$P$1),OR(Dashboard!$P$2="All",J14=Dashboard!$P$2)),1,0)</f>
        <v>1</v>
      </c>
      <c r="S14" s="1">
        <f t="shared" si="1"/>
        <v>207390951.84</v>
      </c>
      <c r="T14" s="1">
        <f t="shared" si="2"/>
        <v>207390951.84</v>
      </c>
      <c r="U14" s="1">
        <f>IF(OR(Dashboard!$P$3="All",AND(Dashboard!$P$3="Not due",Q14&lt;0),AND(Dashboard!$P$3="Due in 10 days",Q14&gt;=-10,Q14&lt;=0),AND(Dashboard!$P$3="Due in 30 days",Q14&gt;=-30,Q14&lt;=0),AND(Dashboard!$P$3="Overdue 1-60 days",Q14&gt;0,Q14&lt;=60),AND(Dashboard!$P$3="Over 60 days",Q14&gt;60),AND(Dashboard!$P$3="All overdue",Q14&gt;0)),1,0)</f>
        <v>1</v>
      </c>
      <c r="V14" s="1">
        <f t="shared" si="3"/>
        <v>207390951.84</v>
      </c>
      <c r="W14" s="1">
        <f t="shared" si="4"/>
        <v>8503029025.4400005</v>
      </c>
      <c r="X14" s="1">
        <f>IF(V14&gt;0,COUNTIF($V$6:V14,"&gt;0"),"")</f>
        <v>9</v>
      </c>
      <c r="Y14" s="1" t="str">
        <f t="shared" si="5"/>
        <v>CAL-prior-009|000009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 t="s">
        <v>28</v>
      </c>
      <c r="B15" s="1" t="s">
        <v>86</v>
      </c>
      <c r="C15" s="1" t="s">
        <v>280</v>
      </c>
      <c r="D15" s="1" t="s">
        <v>90</v>
      </c>
      <c r="E15" s="4">
        <v>45662</v>
      </c>
      <c r="F15" s="4">
        <v>45722</v>
      </c>
      <c r="G15" s="5">
        <v>566154499.67999995</v>
      </c>
      <c r="H15" s="5">
        <v>60659410.68</v>
      </c>
      <c r="I15" s="5">
        <v>505495089</v>
      </c>
      <c r="J15" s="1" t="s">
        <v>27</v>
      </c>
      <c r="K15" s="1" t="s">
        <v>64</v>
      </c>
      <c r="L15" s="1" t="s">
        <v>70</v>
      </c>
      <c r="M15" s="1" t="s">
        <v>66</v>
      </c>
      <c r="N15" s="6"/>
      <c r="O15" s="6"/>
      <c r="P15" s="7" t="s">
        <v>67</v>
      </c>
      <c r="Q15" s="1">
        <f t="shared" si="0"/>
        <v>25</v>
      </c>
      <c r="R15" s="1">
        <f>IF(AND(OR(Dashboard!$P$1="All",A15=Dashboard!$P$1),OR(Dashboard!$P$2="All",J15=Dashboard!$P$2)),1,0)</f>
        <v>1</v>
      </c>
      <c r="S15" s="1">
        <f t="shared" si="1"/>
        <v>505495089</v>
      </c>
      <c r="T15" s="1">
        <f t="shared" si="2"/>
        <v>505495089</v>
      </c>
      <c r="U15" s="1">
        <f>IF(OR(Dashboard!$P$3="All",AND(Dashboard!$P$3="Not due",Q15&lt;0),AND(Dashboard!$P$3="Due in 10 days",Q15&gt;=-10,Q15&lt;=0),AND(Dashboard!$P$3="Due in 30 days",Q15&gt;=-30,Q15&lt;=0),AND(Dashboard!$P$3="Overdue 1-60 days",Q15&gt;0,Q15&lt;=60),AND(Dashboard!$P$3="Over 60 days",Q15&gt;60),AND(Dashboard!$P$3="All overdue",Q15&gt;0)),1,0)</f>
        <v>1</v>
      </c>
      <c r="V15" s="1">
        <f t="shared" si="3"/>
        <v>505495089</v>
      </c>
      <c r="W15" s="1">
        <f t="shared" si="4"/>
        <v>12637377225</v>
      </c>
      <c r="X15" s="1">
        <f>IF(V15&gt;0,COUNTIF($V$6:V15,"&gt;0"),"")</f>
        <v>10</v>
      </c>
      <c r="Y15" s="1" t="str">
        <f t="shared" si="5"/>
        <v>CAL-prior-010|000010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 t="s">
        <v>28</v>
      </c>
      <c r="B16" s="1" t="s">
        <v>86</v>
      </c>
      <c r="C16" s="1" t="s">
        <v>281</v>
      </c>
      <c r="D16" s="1" t="s">
        <v>92</v>
      </c>
      <c r="E16" s="4">
        <v>45685</v>
      </c>
      <c r="F16" s="4">
        <v>45730</v>
      </c>
      <c r="G16" s="5">
        <v>680859838.32000005</v>
      </c>
      <c r="H16" s="5">
        <v>127315254.31999999</v>
      </c>
      <c r="I16" s="5">
        <v>553544584</v>
      </c>
      <c r="J16" s="1" t="s">
        <v>25</v>
      </c>
      <c r="K16" s="1" t="s">
        <v>64</v>
      </c>
      <c r="L16" s="1" t="s">
        <v>73</v>
      </c>
      <c r="M16" s="1" t="s">
        <v>66</v>
      </c>
      <c r="N16" s="6"/>
      <c r="O16" s="6"/>
      <c r="P16" s="7" t="s">
        <v>67</v>
      </c>
      <c r="Q16" s="1">
        <f t="shared" si="0"/>
        <v>17</v>
      </c>
      <c r="R16" s="1">
        <f>IF(AND(OR(Dashboard!$P$1="All",A16=Dashboard!$P$1),OR(Dashboard!$P$2="All",J16=Dashboard!$P$2)),1,0)</f>
        <v>1</v>
      </c>
      <c r="S16" s="1">
        <f t="shared" si="1"/>
        <v>553544584</v>
      </c>
      <c r="T16" s="1">
        <f t="shared" si="2"/>
        <v>553544584</v>
      </c>
      <c r="U16" s="1">
        <f>IF(OR(Dashboard!$P$3="All",AND(Dashboard!$P$3="Not due",Q16&lt;0),AND(Dashboard!$P$3="Due in 10 days",Q16&gt;=-10,Q16&lt;=0),AND(Dashboard!$P$3="Due in 30 days",Q16&gt;=-30,Q16&lt;=0),AND(Dashboard!$P$3="Overdue 1-60 days",Q16&gt;0,Q16&lt;=60),AND(Dashboard!$P$3="Over 60 days",Q16&gt;60),AND(Dashboard!$P$3="All overdue",Q16&gt;0)),1,0)</f>
        <v>1</v>
      </c>
      <c r="V16" s="1">
        <f t="shared" si="3"/>
        <v>553544584</v>
      </c>
      <c r="W16" s="1">
        <f t="shared" si="4"/>
        <v>9410257928</v>
      </c>
      <c r="X16" s="1">
        <f>IF(V16&gt;0,COUNTIF($V$6:V16,"&gt;0"),"")</f>
        <v>11</v>
      </c>
      <c r="Y16" s="1" t="str">
        <f t="shared" si="5"/>
        <v>CAL-prior-011|000011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 t="s">
        <v>28</v>
      </c>
      <c r="B17" s="1" t="s">
        <v>86</v>
      </c>
      <c r="C17" s="1" t="s">
        <v>282</v>
      </c>
      <c r="D17" s="1" t="s">
        <v>94</v>
      </c>
      <c r="E17" s="4">
        <v>45699</v>
      </c>
      <c r="F17" s="4">
        <v>45729</v>
      </c>
      <c r="G17" s="5">
        <v>70077465.599999994</v>
      </c>
      <c r="H17" s="5">
        <v>13103916.33</v>
      </c>
      <c r="I17" s="5">
        <v>56973549.270000003</v>
      </c>
      <c r="J17" s="1" t="s">
        <v>25</v>
      </c>
      <c r="K17" s="1" t="s">
        <v>64</v>
      </c>
      <c r="L17" s="1" t="s">
        <v>76</v>
      </c>
      <c r="M17" s="1" t="s">
        <v>66</v>
      </c>
      <c r="N17" s="6"/>
      <c r="O17" s="6"/>
      <c r="P17" s="7" t="s">
        <v>67</v>
      </c>
      <c r="Q17" s="1">
        <f t="shared" si="0"/>
        <v>18</v>
      </c>
      <c r="R17" s="1">
        <f>IF(AND(OR(Dashboard!$P$1="All",A17=Dashboard!$P$1),OR(Dashboard!$P$2="All",J17=Dashboard!$P$2)),1,0)</f>
        <v>1</v>
      </c>
      <c r="S17" s="1">
        <f t="shared" si="1"/>
        <v>56973549.270000003</v>
      </c>
      <c r="T17" s="1">
        <f t="shared" si="2"/>
        <v>56973549.270000003</v>
      </c>
      <c r="U17" s="1">
        <f>IF(OR(Dashboard!$P$3="All",AND(Dashboard!$P$3="Not due",Q17&lt;0),AND(Dashboard!$P$3="Due in 10 days",Q17&gt;=-10,Q17&lt;=0),AND(Dashboard!$P$3="Due in 30 days",Q17&gt;=-30,Q17&lt;=0),AND(Dashboard!$P$3="Overdue 1-60 days",Q17&gt;0,Q17&lt;=60),AND(Dashboard!$P$3="Over 60 days",Q17&gt;60),AND(Dashboard!$P$3="All overdue",Q17&gt;0)),1,0)</f>
        <v>1</v>
      </c>
      <c r="V17" s="1">
        <f t="shared" si="3"/>
        <v>56973549.270000003</v>
      </c>
      <c r="W17" s="1">
        <f t="shared" si="4"/>
        <v>1025523886.86</v>
      </c>
      <c r="X17" s="1">
        <f>IF(V17&gt;0,COUNTIF($V$6:V17,"&gt;0"),"")</f>
        <v>12</v>
      </c>
      <c r="Y17" s="1" t="str">
        <f t="shared" si="5"/>
        <v>CAL-prior-012|000012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 t="s">
        <v>28</v>
      </c>
      <c r="B18" s="1" t="s">
        <v>86</v>
      </c>
      <c r="C18" s="1" t="s">
        <v>283</v>
      </c>
      <c r="D18" s="1" t="s">
        <v>96</v>
      </c>
      <c r="E18" s="4">
        <v>45699</v>
      </c>
      <c r="F18" s="4">
        <v>45729</v>
      </c>
      <c r="G18" s="5">
        <v>130119032.15000001</v>
      </c>
      <c r="H18" s="5">
        <v>35141636.420000002</v>
      </c>
      <c r="I18" s="5">
        <v>94977395.730000004</v>
      </c>
      <c r="J18" s="1" t="s">
        <v>25</v>
      </c>
      <c r="K18" s="1" t="s">
        <v>64</v>
      </c>
      <c r="L18" s="1" t="s">
        <v>65</v>
      </c>
      <c r="M18" s="1" t="s">
        <v>66</v>
      </c>
      <c r="N18" s="6"/>
      <c r="O18" s="6"/>
      <c r="P18" s="7" t="s">
        <v>67</v>
      </c>
      <c r="Q18" s="1">
        <f t="shared" si="0"/>
        <v>18</v>
      </c>
      <c r="R18" s="1">
        <f>IF(AND(OR(Dashboard!$P$1="All",A18=Dashboard!$P$1),OR(Dashboard!$P$2="All",J18=Dashboard!$P$2)),1,0)</f>
        <v>1</v>
      </c>
      <c r="S18" s="1">
        <f t="shared" si="1"/>
        <v>94977395.730000004</v>
      </c>
      <c r="T18" s="1">
        <f t="shared" si="2"/>
        <v>94977395.730000004</v>
      </c>
      <c r="U18" s="1">
        <f>IF(OR(Dashboard!$P$3="All",AND(Dashboard!$P$3="Not due",Q18&lt;0),AND(Dashboard!$P$3="Due in 10 days",Q18&gt;=-10,Q18&lt;=0),AND(Dashboard!$P$3="Due in 30 days",Q18&gt;=-30,Q18&lt;=0),AND(Dashboard!$P$3="Overdue 1-60 days",Q18&gt;0,Q18&lt;=60),AND(Dashboard!$P$3="Over 60 days",Q18&gt;60),AND(Dashboard!$P$3="All overdue",Q18&gt;0)),1,0)</f>
        <v>1</v>
      </c>
      <c r="V18" s="1">
        <f t="shared" si="3"/>
        <v>94977395.730000004</v>
      </c>
      <c r="W18" s="1">
        <f t="shared" si="4"/>
        <v>1709593123.1400001</v>
      </c>
      <c r="X18" s="1">
        <f>IF(V18&gt;0,COUNTIF($V$6:V18,"&gt;0"),"")</f>
        <v>13</v>
      </c>
      <c r="Y18" s="1" t="str">
        <f t="shared" si="5"/>
        <v>CAL-prior-013|000013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 t="s">
        <v>28</v>
      </c>
      <c r="B19" s="1" t="s">
        <v>86</v>
      </c>
      <c r="C19" s="1" t="s">
        <v>284</v>
      </c>
      <c r="D19" s="1" t="s">
        <v>98</v>
      </c>
      <c r="E19" s="4">
        <v>45720</v>
      </c>
      <c r="F19" s="4">
        <v>45750</v>
      </c>
      <c r="G19" s="5">
        <v>40977299.520000003</v>
      </c>
      <c r="H19" s="5">
        <v>4390424.95</v>
      </c>
      <c r="I19" s="5">
        <v>36586874.57</v>
      </c>
      <c r="J19" s="1" t="s">
        <v>25</v>
      </c>
      <c r="K19" s="1" t="s">
        <v>64</v>
      </c>
      <c r="L19" s="1" t="s">
        <v>70</v>
      </c>
      <c r="M19" s="1" t="s">
        <v>66</v>
      </c>
      <c r="N19" s="6"/>
      <c r="O19" s="6"/>
      <c r="P19" s="7" t="s">
        <v>67</v>
      </c>
      <c r="Q19" s="1">
        <f t="shared" si="0"/>
        <v>-3</v>
      </c>
      <c r="R19" s="1">
        <f>IF(AND(OR(Dashboard!$P$1="All",A19=Dashboard!$P$1),OR(Dashboard!$P$2="All",J19=Dashboard!$P$2)),1,0)</f>
        <v>1</v>
      </c>
      <c r="S19" s="1">
        <f t="shared" si="1"/>
        <v>36586874.57</v>
      </c>
      <c r="T19" s="1">
        <f t="shared" si="2"/>
        <v>0</v>
      </c>
      <c r="U19" s="1">
        <f>IF(OR(Dashboard!$P$3="All",AND(Dashboard!$P$3="Not due",Q19&lt;0),AND(Dashboard!$P$3="Due in 10 days",Q19&gt;=-10,Q19&lt;=0),AND(Dashboard!$P$3="Due in 30 days",Q19&gt;=-30,Q19&lt;=0),AND(Dashboard!$P$3="Overdue 1-60 days",Q19&gt;0,Q19&lt;=60),AND(Dashboard!$P$3="Over 60 days",Q19&gt;60),AND(Dashboard!$P$3="All overdue",Q19&gt;0)),1,0)</f>
        <v>1</v>
      </c>
      <c r="V19" s="1">
        <f t="shared" si="3"/>
        <v>36586874.57</v>
      </c>
      <c r="W19" s="1">
        <f t="shared" si="4"/>
        <v>0</v>
      </c>
      <c r="X19" s="1">
        <f>IF(V19&gt;0,COUNTIF($V$6:V19,"&gt;0"),"")</f>
        <v>14</v>
      </c>
      <c r="Y19" s="1" t="str">
        <f t="shared" si="5"/>
        <v>CAL-prior-014|000014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 t="s">
        <v>28</v>
      </c>
      <c r="B20" s="1" t="s">
        <v>86</v>
      </c>
      <c r="C20" s="1" t="s">
        <v>285</v>
      </c>
      <c r="D20" s="1" t="s">
        <v>100</v>
      </c>
      <c r="E20" s="4">
        <v>45705</v>
      </c>
      <c r="F20" s="4">
        <v>45750</v>
      </c>
      <c r="G20" s="5">
        <v>61359693.200000003</v>
      </c>
      <c r="H20" s="5">
        <v>11473763.77</v>
      </c>
      <c r="I20" s="5">
        <v>49885929.43</v>
      </c>
      <c r="J20" s="1" t="s">
        <v>25</v>
      </c>
      <c r="K20" s="1" t="s">
        <v>64</v>
      </c>
      <c r="L20" s="1" t="s">
        <v>73</v>
      </c>
      <c r="M20" s="1" t="s">
        <v>66</v>
      </c>
      <c r="N20" s="6"/>
      <c r="O20" s="6"/>
      <c r="P20" s="7" t="s">
        <v>67</v>
      </c>
      <c r="Q20" s="1">
        <f t="shared" si="0"/>
        <v>-3</v>
      </c>
      <c r="R20" s="1">
        <f>IF(AND(OR(Dashboard!$P$1="All",A20=Dashboard!$P$1),OR(Dashboard!$P$2="All",J20=Dashboard!$P$2)),1,0)</f>
        <v>1</v>
      </c>
      <c r="S20" s="1">
        <f t="shared" si="1"/>
        <v>49885929.43</v>
      </c>
      <c r="T20" s="1">
        <f t="shared" si="2"/>
        <v>0</v>
      </c>
      <c r="U20" s="1">
        <f>IF(OR(Dashboard!$P$3="All",AND(Dashboard!$P$3="Not due",Q20&lt;0),AND(Dashboard!$P$3="Due in 10 days",Q20&gt;=-10,Q20&lt;=0),AND(Dashboard!$P$3="Due in 30 days",Q20&gt;=-30,Q20&lt;=0),AND(Dashboard!$P$3="Overdue 1-60 days",Q20&gt;0,Q20&lt;=60),AND(Dashboard!$P$3="Over 60 days",Q20&gt;60),AND(Dashboard!$P$3="All overdue",Q20&gt;0)),1,0)</f>
        <v>1</v>
      </c>
      <c r="V20" s="1">
        <f t="shared" si="3"/>
        <v>49885929.43</v>
      </c>
      <c r="W20" s="1">
        <f t="shared" si="4"/>
        <v>0</v>
      </c>
      <c r="X20" s="1">
        <f>IF(V20&gt;0,COUNTIF($V$6:V20,"&gt;0"),"")</f>
        <v>15</v>
      </c>
      <c r="Y20" s="1" t="str">
        <f t="shared" si="5"/>
        <v>CAL-prior-015|000015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 t="s">
        <v>28</v>
      </c>
      <c r="B21" s="1" t="s">
        <v>86</v>
      </c>
      <c r="C21" s="1" t="s">
        <v>286</v>
      </c>
      <c r="D21" s="1" t="s">
        <v>102</v>
      </c>
      <c r="E21" s="4">
        <v>45719</v>
      </c>
      <c r="F21" s="4">
        <v>45749</v>
      </c>
      <c r="G21" s="5">
        <v>750211216.80999994</v>
      </c>
      <c r="H21" s="5">
        <v>202611788.47999999</v>
      </c>
      <c r="I21" s="5">
        <v>547599428.33000004</v>
      </c>
      <c r="J21" s="1" t="s">
        <v>25</v>
      </c>
      <c r="K21" s="1" t="s">
        <v>64</v>
      </c>
      <c r="L21" s="1" t="s">
        <v>76</v>
      </c>
      <c r="M21" s="1" t="s">
        <v>66</v>
      </c>
      <c r="N21" s="6"/>
      <c r="O21" s="6"/>
      <c r="P21" s="7" t="s">
        <v>67</v>
      </c>
      <c r="Q21" s="1">
        <f t="shared" si="0"/>
        <v>-2</v>
      </c>
      <c r="R21" s="1">
        <f>IF(AND(OR(Dashboard!$P$1="All",A21=Dashboard!$P$1),OR(Dashboard!$P$2="All",J21=Dashboard!$P$2)),1,0)</f>
        <v>1</v>
      </c>
      <c r="S21" s="1">
        <f t="shared" si="1"/>
        <v>547599428.33000004</v>
      </c>
      <c r="T21" s="1">
        <f t="shared" si="2"/>
        <v>0</v>
      </c>
      <c r="U21" s="1">
        <f>IF(OR(Dashboard!$P$3="All",AND(Dashboard!$P$3="Not due",Q21&lt;0),AND(Dashboard!$P$3="Due in 10 days",Q21&gt;=-10,Q21&lt;=0),AND(Dashboard!$P$3="Due in 30 days",Q21&gt;=-30,Q21&lt;=0),AND(Dashboard!$P$3="Overdue 1-60 days",Q21&gt;0,Q21&lt;=60),AND(Dashboard!$P$3="Over 60 days",Q21&gt;60),AND(Dashboard!$P$3="All overdue",Q21&gt;0)),1,0)</f>
        <v>1</v>
      </c>
      <c r="V21" s="1">
        <f t="shared" si="3"/>
        <v>547599428.33000004</v>
      </c>
      <c r="W21" s="1">
        <f t="shared" si="4"/>
        <v>0</v>
      </c>
      <c r="X21" s="1">
        <f>IF(V21&gt;0,COUNTIF($V$6:V21,"&gt;0"),"")</f>
        <v>16</v>
      </c>
      <c r="Y21" s="1" t="str">
        <f t="shared" si="5"/>
        <v>CAL-prior-016|000016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 t="s">
        <v>28</v>
      </c>
      <c r="B22" s="1" t="s">
        <v>86</v>
      </c>
      <c r="C22" s="1" t="s">
        <v>287</v>
      </c>
      <c r="D22" s="1" t="s">
        <v>104</v>
      </c>
      <c r="E22" s="4">
        <v>45719</v>
      </c>
      <c r="F22" s="4">
        <v>45749</v>
      </c>
      <c r="G22" s="5">
        <v>720090198.63</v>
      </c>
      <c r="H22" s="5">
        <v>194476914.96000001</v>
      </c>
      <c r="I22" s="5">
        <v>525613283.67000002</v>
      </c>
      <c r="J22" s="1" t="s">
        <v>25</v>
      </c>
      <c r="K22" s="1" t="s">
        <v>64</v>
      </c>
      <c r="L22" s="1" t="s">
        <v>65</v>
      </c>
      <c r="M22" s="1" t="s">
        <v>66</v>
      </c>
      <c r="N22" s="6"/>
      <c r="O22" s="6"/>
      <c r="P22" s="7" t="s">
        <v>67</v>
      </c>
      <c r="Q22" s="1">
        <f t="shared" si="0"/>
        <v>-2</v>
      </c>
      <c r="R22" s="1">
        <f>IF(AND(OR(Dashboard!$P$1="All",A22=Dashboard!$P$1),OR(Dashboard!$P$2="All",J22=Dashboard!$P$2)),1,0)</f>
        <v>1</v>
      </c>
      <c r="S22" s="1">
        <f t="shared" si="1"/>
        <v>525613283.67000002</v>
      </c>
      <c r="T22" s="1">
        <f t="shared" si="2"/>
        <v>0</v>
      </c>
      <c r="U22" s="1">
        <f>IF(OR(Dashboard!$P$3="All",AND(Dashboard!$P$3="Not due",Q22&lt;0),AND(Dashboard!$P$3="Due in 10 days",Q22&gt;=-10,Q22&lt;=0),AND(Dashboard!$P$3="Due in 30 days",Q22&gt;=-30,Q22&lt;=0),AND(Dashboard!$P$3="Overdue 1-60 days",Q22&gt;0,Q22&lt;=60),AND(Dashboard!$P$3="Over 60 days",Q22&gt;60),AND(Dashboard!$P$3="All overdue",Q22&gt;0)),1,0)</f>
        <v>1</v>
      </c>
      <c r="V22" s="1">
        <f t="shared" si="3"/>
        <v>525613283.67000002</v>
      </c>
      <c r="W22" s="1">
        <f t="shared" si="4"/>
        <v>0</v>
      </c>
      <c r="X22" s="1">
        <f>IF(V22&gt;0,COUNTIF($V$6:V22,"&gt;0"),"")</f>
        <v>17</v>
      </c>
      <c r="Y22" s="1" t="str">
        <f t="shared" si="5"/>
        <v>CAL-prior-017|000017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 t="s">
        <v>28</v>
      </c>
      <c r="B23" s="1" t="s">
        <v>86</v>
      </c>
      <c r="C23" s="1" t="s">
        <v>288</v>
      </c>
      <c r="D23" s="1" t="s">
        <v>106</v>
      </c>
      <c r="E23" s="4">
        <v>45696</v>
      </c>
      <c r="F23" s="4">
        <v>45756</v>
      </c>
      <c r="G23" s="5">
        <v>6192843.3600000003</v>
      </c>
      <c r="H23" s="5">
        <v>1158011.3600000001</v>
      </c>
      <c r="I23" s="5">
        <v>5034832</v>
      </c>
      <c r="J23" s="1" t="s">
        <v>27</v>
      </c>
      <c r="K23" s="1" t="s">
        <v>64</v>
      </c>
      <c r="L23" s="1" t="s">
        <v>70</v>
      </c>
      <c r="M23" s="1" t="s">
        <v>66</v>
      </c>
      <c r="N23" s="6"/>
      <c r="O23" s="6"/>
      <c r="P23" s="7" t="s">
        <v>67</v>
      </c>
      <c r="Q23" s="1">
        <f t="shared" si="0"/>
        <v>-9</v>
      </c>
      <c r="R23" s="1">
        <f>IF(AND(OR(Dashboard!$P$1="All",A23=Dashboard!$P$1),OR(Dashboard!$P$2="All",J23=Dashboard!$P$2)),1,0)</f>
        <v>1</v>
      </c>
      <c r="S23" s="1">
        <f t="shared" si="1"/>
        <v>5034832</v>
      </c>
      <c r="T23" s="1">
        <f t="shared" si="2"/>
        <v>0</v>
      </c>
      <c r="U23" s="1">
        <f>IF(OR(Dashboard!$P$3="All",AND(Dashboard!$P$3="Not due",Q23&lt;0),AND(Dashboard!$P$3="Due in 10 days",Q23&gt;=-10,Q23&lt;=0),AND(Dashboard!$P$3="Due in 30 days",Q23&gt;=-30,Q23&lt;=0),AND(Dashboard!$P$3="Overdue 1-60 days",Q23&gt;0,Q23&lt;=60),AND(Dashboard!$P$3="Over 60 days",Q23&gt;60),AND(Dashboard!$P$3="All overdue",Q23&gt;0)),1,0)</f>
        <v>1</v>
      </c>
      <c r="V23" s="1">
        <f t="shared" si="3"/>
        <v>5034832</v>
      </c>
      <c r="W23" s="1">
        <f t="shared" si="4"/>
        <v>0</v>
      </c>
      <c r="X23" s="1">
        <f>IF(V23&gt;0,COUNTIF($V$6:V23,"&gt;0"),"")</f>
        <v>18</v>
      </c>
      <c r="Y23" s="1" t="str">
        <f t="shared" si="5"/>
        <v>CAL-prior-018|000018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 t="s">
        <v>28</v>
      </c>
      <c r="B24" s="1" t="s">
        <v>86</v>
      </c>
      <c r="C24" s="1" t="s">
        <v>289</v>
      </c>
      <c r="D24" s="1" t="s">
        <v>108</v>
      </c>
      <c r="E24" s="4">
        <v>45723</v>
      </c>
      <c r="F24" s="4">
        <v>45768</v>
      </c>
      <c r="G24" s="5">
        <v>69630757.299999997</v>
      </c>
      <c r="H24" s="5">
        <v>18805387.010000002</v>
      </c>
      <c r="I24" s="5">
        <v>50825370.289999999</v>
      </c>
      <c r="J24" s="1" t="s">
        <v>25</v>
      </c>
      <c r="K24" s="1" t="s">
        <v>64</v>
      </c>
      <c r="L24" s="1" t="s">
        <v>73</v>
      </c>
      <c r="M24" s="1" t="s">
        <v>66</v>
      </c>
      <c r="N24" s="6"/>
      <c r="O24" s="6"/>
      <c r="P24" s="7" t="s">
        <v>67</v>
      </c>
      <c r="Q24" s="1">
        <f t="shared" si="0"/>
        <v>-21</v>
      </c>
      <c r="R24" s="1">
        <f>IF(AND(OR(Dashboard!$P$1="All",A24=Dashboard!$P$1),OR(Dashboard!$P$2="All",J24=Dashboard!$P$2)),1,0)</f>
        <v>1</v>
      </c>
      <c r="S24" s="1">
        <f t="shared" si="1"/>
        <v>50825370.289999999</v>
      </c>
      <c r="T24" s="1">
        <f t="shared" si="2"/>
        <v>0</v>
      </c>
      <c r="U24" s="1">
        <f>IF(OR(Dashboard!$P$3="All",AND(Dashboard!$P$3="Not due",Q24&lt;0),AND(Dashboard!$P$3="Due in 10 days",Q24&gt;=-10,Q24&lt;=0),AND(Dashboard!$P$3="Due in 30 days",Q24&gt;=-30,Q24&lt;=0),AND(Dashboard!$P$3="Overdue 1-60 days",Q24&gt;0,Q24&lt;=60),AND(Dashboard!$P$3="Over 60 days",Q24&gt;60),AND(Dashboard!$P$3="All overdue",Q24&gt;0)),1,0)</f>
        <v>1</v>
      </c>
      <c r="V24" s="1">
        <f t="shared" si="3"/>
        <v>50825370.289999999</v>
      </c>
      <c r="W24" s="1">
        <f t="shared" si="4"/>
        <v>0</v>
      </c>
      <c r="X24" s="1">
        <f>IF(V24&gt;0,COUNTIF($V$6:V24,"&gt;0"),"")</f>
        <v>19</v>
      </c>
      <c r="Y24" s="1" t="str">
        <f t="shared" si="5"/>
        <v>CAL-prior-019|000019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 t="s">
        <v>28</v>
      </c>
      <c r="B25" s="1" t="s">
        <v>86</v>
      </c>
      <c r="C25" s="1" t="s">
        <v>290</v>
      </c>
      <c r="D25" s="1" t="s">
        <v>110</v>
      </c>
      <c r="E25" s="4">
        <v>45738</v>
      </c>
      <c r="F25" s="4">
        <v>45768</v>
      </c>
      <c r="G25" s="5">
        <v>59163274.219999999</v>
      </c>
      <c r="H25" s="5">
        <v>15978402.529999999</v>
      </c>
      <c r="I25" s="5">
        <v>43184871.689999998</v>
      </c>
      <c r="J25" s="1" t="s">
        <v>25</v>
      </c>
      <c r="K25" s="1" t="s">
        <v>64</v>
      </c>
      <c r="L25" s="1" t="s">
        <v>76</v>
      </c>
      <c r="M25" s="1" t="s">
        <v>66</v>
      </c>
      <c r="N25" s="6"/>
      <c r="O25" s="6"/>
      <c r="P25" s="7" t="s">
        <v>67</v>
      </c>
      <c r="Q25" s="1">
        <f t="shared" si="0"/>
        <v>-21</v>
      </c>
      <c r="R25" s="1">
        <f>IF(AND(OR(Dashboard!$P$1="All",A25=Dashboard!$P$1),OR(Dashboard!$P$2="All",J25=Dashboard!$P$2)),1,0)</f>
        <v>1</v>
      </c>
      <c r="S25" s="1">
        <f t="shared" si="1"/>
        <v>43184871.689999998</v>
      </c>
      <c r="T25" s="1">
        <f t="shared" si="2"/>
        <v>0</v>
      </c>
      <c r="U25" s="1">
        <f>IF(OR(Dashboard!$P$3="All",AND(Dashboard!$P$3="Not due",Q25&lt;0),AND(Dashboard!$P$3="Due in 10 days",Q25&gt;=-10,Q25&lt;=0),AND(Dashboard!$P$3="Due in 30 days",Q25&gt;=-30,Q25&lt;=0),AND(Dashboard!$P$3="Overdue 1-60 days",Q25&gt;0,Q25&lt;=60),AND(Dashboard!$P$3="Over 60 days",Q25&gt;60),AND(Dashboard!$P$3="All overdue",Q25&gt;0)),1,0)</f>
        <v>1</v>
      </c>
      <c r="V25" s="1">
        <f t="shared" si="3"/>
        <v>43184871.689999998</v>
      </c>
      <c r="W25" s="1">
        <f t="shared" si="4"/>
        <v>0</v>
      </c>
      <c r="X25" s="1">
        <f>IF(V25&gt;0,COUNTIF($V$6:V25,"&gt;0"),"")</f>
        <v>20</v>
      </c>
      <c r="Y25" s="1" t="str">
        <f t="shared" si="5"/>
        <v>CAL-prior-020|000020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 t="s">
        <v>28</v>
      </c>
      <c r="B26" s="1" t="s">
        <v>86</v>
      </c>
      <c r="C26" s="1" t="s">
        <v>291</v>
      </c>
      <c r="D26" s="1" t="s">
        <v>112</v>
      </c>
      <c r="E26" s="4">
        <v>45738</v>
      </c>
      <c r="F26" s="4">
        <v>45768</v>
      </c>
      <c r="G26" s="5">
        <v>46081397.149999999</v>
      </c>
      <c r="H26" s="5">
        <v>8616846.6199999992</v>
      </c>
      <c r="I26" s="5">
        <v>37464550.530000001</v>
      </c>
      <c r="J26" s="1" t="s">
        <v>25</v>
      </c>
      <c r="K26" s="1" t="s">
        <v>64</v>
      </c>
      <c r="L26" s="1" t="s">
        <v>65</v>
      </c>
      <c r="M26" s="1" t="s">
        <v>66</v>
      </c>
      <c r="N26" s="6"/>
      <c r="O26" s="6"/>
      <c r="P26" s="7" t="s">
        <v>67</v>
      </c>
      <c r="Q26" s="1">
        <f t="shared" si="0"/>
        <v>-21</v>
      </c>
      <c r="R26" s="1">
        <f>IF(AND(OR(Dashboard!$P$1="All",A26=Dashboard!$P$1),OR(Dashboard!$P$2="All",J26=Dashboard!$P$2)),1,0)</f>
        <v>1</v>
      </c>
      <c r="S26" s="1">
        <f t="shared" si="1"/>
        <v>37464550.530000001</v>
      </c>
      <c r="T26" s="1">
        <f t="shared" si="2"/>
        <v>0</v>
      </c>
      <c r="U26" s="1">
        <f>IF(OR(Dashboard!$P$3="All",AND(Dashboard!$P$3="Not due",Q26&lt;0),AND(Dashboard!$P$3="Due in 10 days",Q26&gt;=-10,Q26&lt;=0),AND(Dashboard!$P$3="Due in 30 days",Q26&gt;=-30,Q26&lt;=0),AND(Dashboard!$P$3="Overdue 1-60 days",Q26&gt;0,Q26&lt;=60),AND(Dashboard!$P$3="Over 60 days",Q26&gt;60),AND(Dashboard!$P$3="All overdue",Q26&gt;0)),1,0)</f>
        <v>1</v>
      </c>
      <c r="V26" s="1">
        <f t="shared" si="3"/>
        <v>37464550.530000001</v>
      </c>
      <c r="W26" s="1">
        <f t="shared" si="4"/>
        <v>0</v>
      </c>
      <c r="X26" s="1">
        <f>IF(V26&gt;0,COUNTIF($V$6:V26,"&gt;0"),"")</f>
        <v>21</v>
      </c>
      <c r="Y26" s="1" t="str">
        <f t="shared" si="5"/>
        <v>CAL-prior-021|000021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 t="s">
        <v>28</v>
      </c>
      <c r="B27" s="1" t="s">
        <v>86</v>
      </c>
      <c r="C27" s="1" t="s">
        <v>292</v>
      </c>
      <c r="D27" s="1" t="s">
        <v>114</v>
      </c>
      <c r="E27" s="4">
        <v>45738</v>
      </c>
      <c r="F27" s="4">
        <v>45768</v>
      </c>
      <c r="G27" s="5">
        <v>37796801.380000003</v>
      </c>
      <c r="H27" s="5">
        <v>4049657.29</v>
      </c>
      <c r="I27" s="5">
        <v>33747144.090000004</v>
      </c>
      <c r="J27" s="1" t="s">
        <v>25</v>
      </c>
      <c r="K27" s="1" t="s">
        <v>64</v>
      </c>
      <c r="L27" s="1" t="s">
        <v>70</v>
      </c>
      <c r="M27" s="1" t="s">
        <v>66</v>
      </c>
      <c r="N27" s="6"/>
      <c r="O27" s="6"/>
      <c r="P27" s="7" t="s">
        <v>67</v>
      </c>
      <c r="Q27" s="1">
        <f t="shared" si="0"/>
        <v>-21</v>
      </c>
      <c r="R27" s="1">
        <f>IF(AND(OR(Dashboard!$P$1="All",A27=Dashboard!$P$1),OR(Dashboard!$P$2="All",J27=Dashboard!$P$2)),1,0)</f>
        <v>1</v>
      </c>
      <c r="S27" s="1">
        <f t="shared" si="1"/>
        <v>33747144.090000004</v>
      </c>
      <c r="T27" s="1">
        <f t="shared" si="2"/>
        <v>0</v>
      </c>
      <c r="U27" s="1">
        <f>IF(OR(Dashboard!$P$3="All",AND(Dashboard!$P$3="Not due",Q27&lt;0),AND(Dashboard!$P$3="Due in 10 days",Q27&gt;=-10,Q27&lt;=0),AND(Dashboard!$P$3="Due in 30 days",Q27&gt;=-30,Q27&lt;=0),AND(Dashboard!$P$3="Overdue 1-60 days",Q27&gt;0,Q27&lt;=60),AND(Dashboard!$P$3="Over 60 days",Q27&gt;60),AND(Dashboard!$P$3="All overdue",Q27&gt;0)),1,0)</f>
        <v>1</v>
      </c>
      <c r="V27" s="1">
        <f t="shared" si="3"/>
        <v>33747144.090000004</v>
      </c>
      <c r="W27" s="1">
        <f t="shared" si="4"/>
        <v>0</v>
      </c>
      <c r="X27" s="1">
        <f>IF(V27&gt;0,COUNTIF($V$6:V27,"&gt;0"),"")</f>
        <v>22</v>
      </c>
      <c r="Y27" s="1" t="str">
        <f t="shared" si="5"/>
        <v>CAL-prior-022|000022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 t="s">
        <v>28</v>
      </c>
      <c r="B28" s="1" t="s">
        <v>86</v>
      </c>
      <c r="C28" s="1" t="s">
        <v>293</v>
      </c>
      <c r="D28" s="1" t="s">
        <v>116</v>
      </c>
      <c r="E28" s="4">
        <v>45738</v>
      </c>
      <c r="F28" s="4">
        <v>45768</v>
      </c>
      <c r="G28" s="5">
        <v>28467217.59</v>
      </c>
      <c r="H28" s="5">
        <v>7688226.6500000004</v>
      </c>
      <c r="I28" s="5">
        <v>20778990.940000001</v>
      </c>
      <c r="J28" s="1" t="s">
        <v>25</v>
      </c>
      <c r="K28" s="1" t="s">
        <v>64</v>
      </c>
      <c r="L28" s="1" t="s">
        <v>73</v>
      </c>
      <c r="M28" s="1" t="s">
        <v>66</v>
      </c>
      <c r="N28" s="6"/>
      <c r="O28" s="6"/>
      <c r="P28" s="7" t="s">
        <v>67</v>
      </c>
      <c r="Q28" s="1">
        <f t="shared" si="0"/>
        <v>-21</v>
      </c>
      <c r="R28" s="1">
        <f>IF(AND(OR(Dashboard!$P$1="All",A28=Dashboard!$P$1),OR(Dashboard!$P$2="All",J28=Dashboard!$P$2)),1,0)</f>
        <v>1</v>
      </c>
      <c r="S28" s="1">
        <f t="shared" si="1"/>
        <v>20778990.940000001</v>
      </c>
      <c r="T28" s="1">
        <f t="shared" si="2"/>
        <v>0</v>
      </c>
      <c r="U28" s="1">
        <f>IF(OR(Dashboard!$P$3="All",AND(Dashboard!$P$3="Not due",Q28&lt;0),AND(Dashboard!$P$3="Due in 10 days",Q28&gt;=-10,Q28&lt;=0),AND(Dashboard!$P$3="Due in 30 days",Q28&gt;=-30,Q28&lt;=0),AND(Dashboard!$P$3="Overdue 1-60 days",Q28&gt;0,Q28&lt;=60),AND(Dashboard!$P$3="Over 60 days",Q28&gt;60),AND(Dashboard!$P$3="All overdue",Q28&gt;0)),1,0)</f>
        <v>1</v>
      </c>
      <c r="V28" s="1">
        <f t="shared" si="3"/>
        <v>20778990.940000001</v>
      </c>
      <c r="W28" s="1">
        <f t="shared" si="4"/>
        <v>0</v>
      </c>
      <c r="X28" s="1">
        <f>IF(V28&gt;0,COUNTIF($V$6:V28,"&gt;0"),"")</f>
        <v>23</v>
      </c>
      <c r="Y28" s="1" t="str">
        <f t="shared" si="5"/>
        <v>CAL-prior-023|000023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 t="s">
        <v>28</v>
      </c>
      <c r="B29" s="1" t="s">
        <v>86</v>
      </c>
      <c r="C29" s="1" t="s">
        <v>294</v>
      </c>
      <c r="D29" s="1" t="s">
        <v>118</v>
      </c>
      <c r="E29" s="4">
        <v>45708</v>
      </c>
      <c r="F29" s="4">
        <v>45768</v>
      </c>
      <c r="G29" s="5">
        <v>41928370.950000003</v>
      </c>
      <c r="H29" s="5">
        <v>7840264.4900000002</v>
      </c>
      <c r="I29" s="5">
        <v>34088106.460000001</v>
      </c>
      <c r="J29" s="1" t="s">
        <v>25</v>
      </c>
      <c r="K29" s="1" t="s">
        <v>64</v>
      </c>
      <c r="L29" s="1" t="s">
        <v>76</v>
      </c>
      <c r="M29" s="1" t="s">
        <v>66</v>
      </c>
      <c r="N29" s="6"/>
      <c r="O29" s="6"/>
      <c r="P29" s="7" t="s">
        <v>67</v>
      </c>
      <c r="Q29" s="1">
        <f t="shared" si="0"/>
        <v>-21</v>
      </c>
      <c r="R29" s="1">
        <f>IF(AND(OR(Dashboard!$P$1="All",A29=Dashboard!$P$1),OR(Dashboard!$P$2="All",J29=Dashboard!$P$2)),1,0)</f>
        <v>1</v>
      </c>
      <c r="S29" s="1">
        <f t="shared" si="1"/>
        <v>34088106.460000001</v>
      </c>
      <c r="T29" s="1">
        <f t="shared" si="2"/>
        <v>0</v>
      </c>
      <c r="U29" s="1">
        <f>IF(OR(Dashboard!$P$3="All",AND(Dashboard!$P$3="Not due",Q29&lt;0),AND(Dashboard!$P$3="Due in 10 days",Q29&gt;=-10,Q29&lt;=0),AND(Dashboard!$P$3="Due in 30 days",Q29&gt;=-30,Q29&lt;=0),AND(Dashboard!$P$3="Overdue 1-60 days",Q29&gt;0,Q29&lt;=60),AND(Dashboard!$P$3="Over 60 days",Q29&gt;60),AND(Dashboard!$P$3="All overdue",Q29&gt;0)),1,0)</f>
        <v>1</v>
      </c>
      <c r="V29" s="1">
        <f t="shared" si="3"/>
        <v>34088106.460000001</v>
      </c>
      <c r="W29" s="1">
        <f t="shared" si="4"/>
        <v>0</v>
      </c>
      <c r="X29" s="1">
        <f>IF(V29&gt;0,COUNTIF($V$6:V29,"&gt;0"),"")</f>
        <v>24</v>
      </c>
      <c r="Y29" s="1" t="str">
        <f t="shared" si="5"/>
        <v>CAL-prior-024|000024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 t="s">
        <v>28</v>
      </c>
      <c r="B30" s="1" t="s">
        <v>86</v>
      </c>
      <c r="C30" s="1" t="s">
        <v>295</v>
      </c>
      <c r="D30" s="1" t="s">
        <v>120</v>
      </c>
      <c r="E30" s="4">
        <v>45707</v>
      </c>
      <c r="F30" s="4">
        <v>45767</v>
      </c>
      <c r="G30" s="5">
        <v>661252773.02999997</v>
      </c>
      <c r="H30" s="5">
        <v>70848511.400000006</v>
      </c>
      <c r="I30" s="5">
        <v>590404261.63</v>
      </c>
      <c r="J30" s="1" t="s">
        <v>25</v>
      </c>
      <c r="K30" s="1" t="s">
        <v>64</v>
      </c>
      <c r="L30" s="1" t="s">
        <v>65</v>
      </c>
      <c r="M30" s="1" t="s">
        <v>66</v>
      </c>
      <c r="N30" s="6"/>
      <c r="O30" s="6"/>
      <c r="P30" s="7" t="s">
        <v>67</v>
      </c>
      <c r="Q30" s="1">
        <f t="shared" si="0"/>
        <v>-20</v>
      </c>
      <c r="R30" s="1">
        <f>IF(AND(OR(Dashboard!$P$1="All",A30=Dashboard!$P$1),OR(Dashboard!$P$2="All",J30=Dashboard!$P$2)),1,0)</f>
        <v>1</v>
      </c>
      <c r="S30" s="1">
        <f t="shared" si="1"/>
        <v>590404261.63</v>
      </c>
      <c r="T30" s="1">
        <f t="shared" si="2"/>
        <v>0</v>
      </c>
      <c r="U30" s="1">
        <f>IF(OR(Dashboard!$P$3="All",AND(Dashboard!$P$3="Not due",Q30&lt;0),AND(Dashboard!$P$3="Due in 10 days",Q30&gt;=-10,Q30&lt;=0),AND(Dashboard!$P$3="Due in 30 days",Q30&gt;=-30,Q30&lt;=0),AND(Dashboard!$P$3="Overdue 1-60 days",Q30&gt;0,Q30&lt;=60),AND(Dashboard!$P$3="Over 60 days",Q30&gt;60),AND(Dashboard!$P$3="All overdue",Q30&gt;0)),1,0)</f>
        <v>1</v>
      </c>
      <c r="V30" s="1">
        <f t="shared" si="3"/>
        <v>590404261.63</v>
      </c>
      <c r="W30" s="1">
        <f t="shared" si="4"/>
        <v>0</v>
      </c>
      <c r="X30" s="1">
        <f>IF(V30&gt;0,COUNTIF($V$6:V30,"&gt;0"),"")</f>
        <v>25</v>
      </c>
      <c r="Y30" s="1" t="str">
        <f t="shared" si="5"/>
        <v>CAL-prior-025|000025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 t="s">
        <v>28</v>
      </c>
      <c r="B31" s="1" t="s">
        <v>86</v>
      </c>
      <c r="C31" s="1" t="s">
        <v>296</v>
      </c>
      <c r="D31" s="1" t="s">
        <v>122</v>
      </c>
      <c r="E31" s="4">
        <v>45722</v>
      </c>
      <c r="F31" s="4">
        <v>45767</v>
      </c>
      <c r="G31" s="5">
        <v>775002106.98000002</v>
      </c>
      <c r="H31" s="5">
        <v>83035940.030000001</v>
      </c>
      <c r="I31" s="5">
        <v>691966166.95000005</v>
      </c>
      <c r="J31" s="1" t="s">
        <v>25</v>
      </c>
      <c r="K31" s="1" t="s">
        <v>64</v>
      </c>
      <c r="L31" s="1" t="s">
        <v>70</v>
      </c>
      <c r="M31" s="1" t="s">
        <v>66</v>
      </c>
      <c r="N31" s="6"/>
      <c r="O31" s="6"/>
      <c r="P31" s="7" t="s">
        <v>67</v>
      </c>
      <c r="Q31" s="1">
        <f t="shared" si="0"/>
        <v>-20</v>
      </c>
      <c r="R31" s="1">
        <f>IF(AND(OR(Dashboard!$P$1="All",A31=Dashboard!$P$1),OR(Dashboard!$P$2="All",J31=Dashboard!$P$2)),1,0)</f>
        <v>1</v>
      </c>
      <c r="S31" s="1">
        <f t="shared" si="1"/>
        <v>691966166.95000005</v>
      </c>
      <c r="T31" s="1">
        <f t="shared" si="2"/>
        <v>0</v>
      </c>
      <c r="U31" s="1">
        <f>IF(OR(Dashboard!$P$3="All",AND(Dashboard!$P$3="Not due",Q31&lt;0),AND(Dashboard!$P$3="Due in 10 days",Q31&gt;=-10,Q31&lt;=0),AND(Dashboard!$P$3="Due in 30 days",Q31&gt;=-30,Q31&lt;=0),AND(Dashboard!$P$3="Overdue 1-60 days",Q31&gt;0,Q31&lt;=60),AND(Dashboard!$P$3="Over 60 days",Q31&gt;60),AND(Dashboard!$P$3="All overdue",Q31&gt;0)),1,0)</f>
        <v>1</v>
      </c>
      <c r="V31" s="1">
        <f t="shared" si="3"/>
        <v>691966166.95000005</v>
      </c>
      <c r="W31" s="1">
        <f t="shared" si="4"/>
        <v>0</v>
      </c>
      <c r="X31" s="1">
        <f>IF(V31&gt;0,COUNTIF($V$6:V31,"&gt;0"),"")</f>
        <v>26</v>
      </c>
      <c r="Y31" s="1" t="str">
        <f t="shared" si="5"/>
        <v>CAL-prior-026|000026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 t="s">
        <v>28</v>
      </c>
      <c r="B32" s="1" t="s">
        <v>86</v>
      </c>
      <c r="C32" s="1" t="s">
        <v>297</v>
      </c>
      <c r="D32" s="1" t="s">
        <v>124</v>
      </c>
      <c r="E32" s="4">
        <v>45737</v>
      </c>
      <c r="F32" s="4">
        <v>45767</v>
      </c>
      <c r="G32" s="5">
        <v>620024905.75999999</v>
      </c>
      <c r="H32" s="5">
        <v>167451981.84999999</v>
      </c>
      <c r="I32" s="5">
        <v>452572923.91000003</v>
      </c>
      <c r="J32" s="1" t="s">
        <v>25</v>
      </c>
      <c r="K32" s="1" t="s">
        <v>64</v>
      </c>
      <c r="L32" s="1" t="s">
        <v>73</v>
      </c>
      <c r="M32" s="1" t="s">
        <v>66</v>
      </c>
      <c r="N32" s="6"/>
      <c r="O32" s="6"/>
      <c r="P32" s="7" t="s">
        <v>67</v>
      </c>
      <c r="Q32" s="1">
        <f t="shared" si="0"/>
        <v>-20</v>
      </c>
      <c r="R32" s="1">
        <f>IF(AND(OR(Dashboard!$P$1="All",A32=Dashboard!$P$1),OR(Dashboard!$P$2="All",J32=Dashboard!$P$2)),1,0)</f>
        <v>1</v>
      </c>
      <c r="S32" s="1">
        <f t="shared" si="1"/>
        <v>452572923.91000003</v>
      </c>
      <c r="T32" s="1">
        <f t="shared" si="2"/>
        <v>0</v>
      </c>
      <c r="U32" s="1">
        <f>IF(OR(Dashboard!$P$3="All",AND(Dashboard!$P$3="Not due",Q32&lt;0),AND(Dashboard!$P$3="Due in 10 days",Q32&gt;=-10,Q32&lt;=0),AND(Dashboard!$P$3="Due in 30 days",Q32&gt;=-30,Q32&lt;=0),AND(Dashboard!$P$3="Overdue 1-60 days",Q32&gt;0,Q32&lt;=60),AND(Dashboard!$P$3="Over 60 days",Q32&gt;60),AND(Dashboard!$P$3="All overdue",Q32&gt;0)),1,0)</f>
        <v>1</v>
      </c>
      <c r="V32" s="1">
        <f t="shared" si="3"/>
        <v>452572923.91000003</v>
      </c>
      <c r="W32" s="1">
        <f t="shared" si="4"/>
        <v>0</v>
      </c>
      <c r="X32" s="1">
        <f>IF(V32&gt;0,COUNTIF($V$6:V32,"&gt;0"),"")</f>
        <v>27</v>
      </c>
      <c r="Y32" s="1" t="str">
        <f t="shared" si="5"/>
        <v>CAL-prior-027|000027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 t="s">
        <v>28</v>
      </c>
      <c r="B33" s="1" t="s">
        <v>86</v>
      </c>
      <c r="C33" s="1" t="s">
        <v>298</v>
      </c>
      <c r="D33" s="1" t="s">
        <v>126</v>
      </c>
      <c r="E33" s="4">
        <v>45707</v>
      </c>
      <c r="F33" s="4">
        <v>45767</v>
      </c>
      <c r="G33" s="5">
        <v>820114491.37</v>
      </c>
      <c r="H33" s="5">
        <v>153354742.28999999</v>
      </c>
      <c r="I33" s="5">
        <v>666759749.08000004</v>
      </c>
      <c r="J33" s="1" t="s">
        <v>25</v>
      </c>
      <c r="K33" s="1" t="s">
        <v>64</v>
      </c>
      <c r="L33" s="1" t="s">
        <v>76</v>
      </c>
      <c r="M33" s="1" t="s">
        <v>66</v>
      </c>
      <c r="N33" s="6"/>
      <c r="O33" s="6"/>
      <c r="P33" s="7" t="s">
        <v>67</v>
      </c>
      <c r="Q33" s="1">
        <f t="shared" si="0"/>
        <v>-20</v>
      </c>
      <c r="R33" s="1">
        <f>IF(AND(OR(Dashboard!$P$1="All",A33=Dashboard!$P$1),OR(Dashboard!$P$2="All",J33=Dashboard!$P$2)),1,0)</f>
        <v>1</v>
      </c>
      <c r="S33" s="1">
        <f t="shared" si="1"/>
        <v>666759749.08000004</v>
      </c>
      <c r="T33" s="1">
        <f t="shared" si="2"/>
        <v>0</v>
      </c>
      <c r="U33" s="1">
        <f>IF(OR(Dashboard!$P$3="All",AND(Dashboard!$P$3="Not due",Q33&lt;0),AND(Dashboard!$P$3="Due in 10 days",Q33&gt;=-10,Q33&lt;=0),AND(Dashboard!$P$3="Due in 30 days",Q33&gt;=-30,Q33&lt;=0),AND(Dashboard!$P$3="Overdue 1-60 days",Q33&gt;0,Q33&lt;=60),AND(Dashboard!$P$3="Over 60 days",Q33&gt;60),AND(Dashboard!$P$3="All overdue",Q33&gt;0)),1,0)</f>
        <v>1</v>
      </c>
      <c r="V33" s="1">
        <f t="shared" si="3"/>
        <v>666759749.08000004</v>
      </c>
      <c r="W33" s="1">
        <f t="shared" si="4"/>
        <v>0</v>
      </c>
      <c r="X33" s="1">
        <f>IF(V33&gt;0,COUNTIF($V$6:V33,"&gt;0"),"")</f>
        <v>28</v>
      </c>
      <c r="Y33" s="1" t="str">
        <f t="shared" si="5"/>
        <v>CAL-prior-028|000028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 t="s">
        <v>28</v>
      </c>
      <c r="B34" s="1" t="s">
        <v>86</v>
      </c>
      <c r="C34" s="1" t="s">
        <v>299</v>
      </c>
      <c r="D34" s="1" t="s">
        <v>128</v>
      </c>
      <c r="E34" s="4">
        <v>45737</v>
      </c>
      <c r="F34" s="4">
        <v>45767</v>
      </c>
      <c r="G34" s="5">
        <v>576182850.86000001</v>
      </c>
      <c r="H34" s="5">
        <v>107741508.7</v>
      </c>
      <c r="I34" s="5">
        <v>468441342.16000003</v>
      </c>
      <c r="J34" s="1" t="s">
        <v>25</v>
      </c>
      <c r="K34" s="1" t="s">
        <v>64</v>
      </c>
      <c r="L34" s="1" t="s">
        <v>65</v>
      </c>
      <c r="M34" s="1" t="s">
        <v>66</v>
      </c>
      <c r="N34" s="6"/>
      <c r="O34" s="6"/>
      <c r="P34" s="7" t="s">
        <v>67</v>
      </c>
      <c r="Q34" s="1">
        <f t="shared" si="0"/>
        <v>-20</v>
      </c>
      <c r="R34" s="1">
        <f>IF(AND(OR(Dashboard!$P$1="All",A34=Dashboard!$P$1),OR(Dashboard!$P$2="All",J34=Dashboard!$P$2)),1,0)</f>
        <v>1</v>
      </c>
      <c r="S34" s="1">
        <f t="shared" si="1"/>
        <v>468441342.16000003</v>
      </c>
      <c r="T34" s="1">
        <f t="shared" si="2"/>
        <v>0</v>
      </c>
      <c r="U34" s="1">
        <f>IF(OR(Dashboard!$P$3="All",AND(Dashboard!$P$3="Not due",Q34&lt;0),AND(Dashboard!$P$3="Due in 10 days",Q34&gt;=-10,Q34&lt;=0),AND(Dashboard!$P$3="Due in 30 days",Q34&gt;=-30,Q34&lt;=0),AND(Dashboard!$P$3="Overdue 1-60 days",Q34&gt;0,Q34&lt;=60),AND(Dashboard!$P$3="Over 60 days",Q34&gt;60),AND(Dashboard!$P$3="All overdue",Q34&gt;0)),1,0)</f>
        <v>1</v>
      </c>
      <c r="V34" s="1">
        <f t="shared" si="3"/>
        <v>468441342.16000003</v>
      </c>
      <c r="W34" s="1">
        <f t="shared" si="4"/>
        <v>0</v>
      </c>
      <c r="X34" s="1">
        <f>IF(V34&gt;0,COUNTIF($V$6:V34,"&gt;0"),"")</f>
        <v>29</v>
      </c>
      <c r="Y34" s="1" t="str">
        <f t="shared" si="5"/>
        <v>CAL-prior-029|000029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 t="s">
        <v>28</v>
      </c>
      <c r="B35" s="1" t="s">
        <v>86</v>
      </c>
      <c r="C35" s="1" t="s">
        <v>300</v>
      </c>
      <c r="D35" s="1" t="s">
        <v>130</v>
      </c>
      <c r="E35" s="4">
        <v>45707</v>
      </c>
      <c r="F35" s="4">
        <v>45767</v>
      </c>
      <c r="G35" s="5">
        <v>610108748.24000001</v>
      </c>
      <c r="H35" s="5">
        <v>164773895.50999999</v>
      </c>
      <c r="I35" s="5">
        <v>445334852.73000002</v>
      </c>
      <c r="J35" s="1" t="s">
        <v>25</v>
      </c>
      <c r="K35" s="1" t="s">
        <v>64</v>
      </c>
      <c r="L35" s="1" t="s">
        <v>70</v>
      </c>
      <c r="M35" s="1" t="s">
        <v>66</v>
      </c>
      <c r="N35" s="6"/>
      <c r="O35" s="6"/>
      <c r="P35" s="7" t="s">
        <v>67</v>
      </c>
      <c r="Q35" s="1">
        <f t="shared" si="0"/>
        <v>-20</v>
      </c>
      <c r="R35" s="1">
        <f>IF(AND(OR(Dashboard!$P$1="All",A35=Dashboard!$P$1),OR(Dashboard!$P$2="All",J35=Dashboard!$P$2)),1,0)</f>
        <v>1</v>
      </c>
      <c r="S35" s="1">
        <f t="shared" si="1"/>
        <v>445334852.73000002</v>
      </c>
      <c r="T35" s="1">
        <f t="shared" si="2"/>
        <v>0</v>
      </c>
      <c r="U35" s="1">
        <f>IF(OR(Dashboard!$P$3="All",AND(Dashboard!$P$3="Not due",Q35&lt;0),AND(Dashboard!$P$3="Due in 10 days",Q35&gt;=-10,Q35&lt;=0),AND(Dashboard!$P$3="Due in 30 days",Q35&gt;=-30,Q35&lt;=0),AND(Dashboard!$P$3="Overdue 1-60 days",Q35&gt;0,Q35&lt;=60),AND(Dashboard!$P$3="Over 60 days",Q35&gt;60),AND(Dashboard!$P$3="All overdue",Q35&gt;0)),1,0)</f>
        <v>1</v>
      </c>
      <c r="V35" s="1">
        <f t="shared" si="3"/>
        <v>445334852.73000002</v>
      </c>
      <c r="W35" s="1">
        <f t="shared" si="4"/>
        <v>0</v>
      </c>
      <c r="X35" s="1">
        <f>IF(V35&gt;0,COUNTIF($V$6:V35,"&gt;0"),"")</f>
        <v>30</v>
      </c>
      <c r="Y35" s="1" t="str">
        <f t="shared" si="5"/>
        <v>CAL-prior-030|000030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 t="s">
        <v>28</v>
      </c>
      <c r="B36" s="1" t="s">
        <v>86</v>
      </c>
      <c r="C36" s="1" t="s">
        <v>301</v>
      </c>
      <c r="D36" s="1" t="s">
        <v>132</v>
      </c>
      <c r="E36" s="4">
        <v>45722</v>
      </c>
      <c r="F36" s="4">
        <v>45767</v>
      </c>
      <c r="G36" s="5">
        <v>291854808.60000002</v>
      </c>
      <c r="H36" s="5">
        <v>31270158.059999999</v>
      </c>
      <c r="I36" s="5">
        <v>260584650.53999999</v>
      </c>
      <c r="J36" s="1" t="s">
        <v>25</v>
      </c>
      <c r="K36" s="1" t="s">
        <v>64</v>
      </c>
      <c r="L36" s="1" t="s">
        <v>73</v>
      </c>
      <c r="M36" s="1" t="s">
        <v>66</v>
      </c>
      <c r="N36" s="6"/>
      <c r="O36" s="6"/>
      <c r="P36" s="7" t="s">
        <v>67</v>
      </c>
      <c r="Q36" s="1">
        <f t="shared" si="0"/>
        <v>-20</v>
      </c>
      <c r="R36" s="1">
        <f>IF(AND(OR(Dashboard!$P$1="All",A36=Dashboard!$P$1),OR(Dashboard!$P$2="All",J36=Dashboard!$P$2)),1,0)</f>
        <v>1</v>
      </c>
      <c r="S36" s="1">
        <f t="shared" si="1"/>
        <v>260584650.53999999</v>
      </c>
      <c r="T36" s="1">
        <f t="shared" si="2"/>
        <v>0</v>
      </c>
      <c r="U36" s="1">
        <f>IF(OR(Dashboard!$P$3="All",AND(Dashboard!$P$3="Not due",Q36&lt;0),AND(Dashboard!$P$3="Due in 10 days",Q36&gt;=-10,Q36&lt;=0),AND(Dashboard!$P$3="Due in 30 days",Q36&gt;=-30,Q36&lt;=0),AND(Dashboard!$P$3="Overdue 1-60 days",Q36&gt;0,Q36&lt;=60),AND(Dashboard!$P$3="Over 60 days",Q36&gt;60),AND(Dashboard!$P$3="All overdue",Q36&gt;0)),1,0)</f>
        <v>1</v>
      </c>
      <c r="V36" s="1">
        <f t="shared" si="3"/>
        <v>260584650.53999999</v>
      </c>
      <c r="W36" s="1">
        <f t="shared" si="4"/>
        <v>0</v>
      </c>
      <c r="X36" s="1">
        <f>IF(V36&gt;0,COUNTIF($V$6:V36,"&gt;0"),"")</f>
        <v>31</v>
      </c>
      <c r="Y36" s="1" t="str">
        <f t="shared" si="5"/>
        <v>CAL-prior-031|000031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 t="s">
        <v>28</v>
      </c>
      <c r="B37" s="1" t="s">
        <v>86</v>
      </c>
      <c r="C37" s="1" t="s">
        <v>302</v>
      </c>
      <c r="D37" s="1" t="s">
        <v>134</v>
      </c>
      <c r="E37" s="4">
        <v>45734</v>
      </c>
      <c r="F37" s="4">
        <v>45764</v>
      </c>
      <c r="G37" s="5">
        <v>29621301.98</v>
      </c>
      <c r="H37" s="5">
        <v>7999913.6699999999</v>
      </c>
      <c r="I37" s="5">
        <v>21621388.309999999</v>
      </c>
      <c r="J37" s="1" t="s">
        <v>27</v>
      </c>
      <c r="K37" s="1" t="s">
        <v>64</v>
      </c>
      <c r="L37" s="1" t="s">
        <v>76</v>
      </c>
      <c r="M37" s="1" t="s">
        <v>66</v>
      </c>
      <c r="N37" s="6"/>
      <c r="O37" s="6"/>
      <c r="P37" s="7" t="s">
        <v>67</v>
      </c>
      <c r="Q37" s="1">
        <f t="shared" si="0"/>
        <v>-17</v>
      </c>
      <c r="R37" s="1">
        <f>IF(AND(OR(Dashboard!$P$1="All",A37=Dashboard!$P$1),OR(Dashboard!$P$2="All",J37=Dashboard!$P$2)),1,0)</f>
        <v>1</v>
      </c>
      <c r="S37" s="1">
        <f t="shared" si="1"/>
        <v>21621388.309999999</v>
      </c>
      <c r="T37" s="1">
        <f t="shared" si="2"/>
        <v>0</v>
      </c>
      <c r="U37" s="1">
        <f>IF(OR(Dashboard!$P$3="All",AND(Dashboard!$P$3="Not due",Q37&lt;0),AND(Dashboard!$P$3="Due in 10 days",Q37&gt;=-10,Q37&lt;=0),AND(Dashboard!$P$3="Due in 30 days",Q37&gt;=-30,Q37&lt;=0),AND(Dashboard!$P$3="Overdue 1-60 days",Q37&gt;0,Q37&lt;=60),AND(Dashboard!$P$3="Over 60 days",Q37&gt;60),AND(Dashboard!$P$3="All overdue",Q37&gt;0)),1,0)</f>
        <v>1</v>
      </c>
      <c r="V37" s="1">
        <f t="shared" si="3"/>
        <v>21621388.309999999</v>
      </c>
      <c r="W37" s="1">
        <f t="shared" si="4"/>
        <v>0</v>
      </c>
      <c r="X37" s="1">
        <f>IF(V37&gt;0,COUNTIF($V$6:V37,"&gt;0"),"")</f>
        <v>32</v>
      </c>
      <c r="Y37" s="1" t="str">
        <f t="shared" si="5"/>
        <v>CAL-prior-032|000032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 t="s">
        <v>28</v>
      </c>
      <c r="B38" s="1" t="s">
        <v>86</v>
      </c>
      <c r="C38" s="1" t="s">
        <v>303</v>
      </c>
      <c r="D38" s="1" t="s">
        <v>136</v>
      </c>
      <c r="E38" s="4">
        <v>45719</v>
      </c>
      <c r="F38" s="4">
        <v>45764</v>
      </c>
      <c r="G38" s="5">
        <v>52006785.82</v>
      </c>
      <c r="H38" s="5">
        <v>9724846.1300000008</v>
      </c>
      <c r="I38" s="5">
        <v>42281939.689999998</v>
      </c>
      <c r="J38" s="1" t="s">
        <v>27</v>
      </c>
      <c r="K38" s="1" t="s">
        <v>64</v>
      </c>
      <c r="L38" s="1" t="s">
        <v>65</v>
      </c>
      <c r="M38" s="1" t="s">
        <v>66</v>
      </c>
      <c r="N38" s="6"/>
      <c r="O38" s="6"/>
      <c r="P38" s="7" t="s">
        <v>67</v>
      </c>
      <c r="Q38" s="1">
        <f t="shared" ref="Q38:Q69" si="6">IF(ISNUMBER(F38),$D$3-F38,"")</f>
        <v>-17</v>
      </c>
      <c r="R38" s="1">
        <f>IF(AND(OR(Dashboard!$P$1="All",A38=Dashboard!$P$1),OR(Dashboard!$P$2="All",J38=Dashboard!$P$2)),1,0)</f>
        <v>1</v>
      </c>
      <c r="S38" s="1">
        <f t="shared" ref="S38:S69" si="7">I38*R38</f>
        <v>42281939.689999998</v>
      </c>
      <c r="T38" s="1">
        <f t="shared" ref="T38:T69" si="8">IF(AND(ISNUMBER(Q38),Q38&gt;0),S38,0)</f>
        <v>0</v>
      </c>
      <c r="U38" s="1">
        <f>IF(OR(Dashboard!$P$3="All",AND(Dashboard!$P$3="Not due",Q38&lt;0),AND(Dashboard!$P$3="Due in 10 days",Q38&gt;=-10,Q38&lt;=0),AND(Dashboard!$P$3="Due in 30 days",Q38&gt;=-30,Q38&lt;=0),AND(Dashboard!$P$3="Overdue 1-60 days",Q38&gt;0,Q38&lt;=60),AND(Dashboard!$P$3="Over 60 days",Q38&gt;60),AND(Dashboard!$P$3="All overdue",Q38&gt;0)),1,0)</f>
        <v>1</v>
      </c>
      <c r="V38" s="1">
        <f t="shared" ref="V38:V69" si="9">S38*U38</f>
        <v>42281939.689999998</v>
      </c>
      <c r="W38" s="1">
        <f t="shared" ref="W38:W69" si="10">IF(Q38&gt;0,T38*Q38,0)</f>
        <v>0</v>
      </c>
      <c r="X38" s="1">
        <f>IF(V38&gt;0,COUNTIF($V$6:V38,"&gt;0"),"")</f>
        <v>33</v>
      </c>
      <c r="Y38" s="1" t="str">
        <f t="shared" ref="Y38:Y69" si="11">C38&amp;"|"&amp;D38</f>
        <v>CAL-prior-033|000033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 t="s">
        <v>28</v>
      </c>
      <c r="B39" s="1" t="s">
        <v>86</v>
      </c>
      <c r="C39" s="1" t="s">
        <v>304</v>
      </c>
      <c r="D39" s="1" t="s">
        <v>138</v>
      </c>
      <c r="E39" s="4">
        <v>45703</v>
      </c>
      <c r="F39" s="4">
        <v>45763</v>
      </c>
      <c r="G39" s="5">
        <v>42546809.039999999</v>
      </c>
      <c r="H39" s="5">
        <v>7955907.3799999999</v>
      </c>
      <c r="I39" s="5">
        <v>34590901.659999996</v>
      </c>
      <c r="J39" s="1" t="s">
        <v>27</v>
      </c>
      <c r="K39" s="1" t="s">
        <v>64</v>
      </c>
      <c r="L39" s="1" t="s">
        <v>70</v>
      </c>
      <c r="M39" s="1" t="s">
        <v>66</v>
      </c>
      <c r="N39" s="6"/>
      <c r="O39" s="6"/>
      <c r="P39" s="7" t="s">
        <v>67</v>
      </c>
      <c r="Q39" s="1">
        <f t="shared" si="6"/>
        <v>-16</v>
      </c>
      <c r="R39" s="1">
        <f>IF(AND(OR(Dashboard!$P$1="All",A39=Dashboard!$P$1),OR(Dashboard!$P$2="All",J39=Dashboard!$P$2)),1,0)</f>
        <v>1</v>
      </c>
      <c r="S39" s="1">
        <f t="shared" si="7"/>
        <v>34590901.659999996</v>
      </c>
      <c r="T39" s="1">
        <f t="shared" si="8"/>
        <v>0</v>
      </c>
      <c r="U39" s="1">
        <f>IF(OR(Dashboard!$P$3="All",AND(Dashboard!$P$3="Not due",Q39&lt;0),AND(Dashboard!$P$3="Due in 10 days",Q39&gt;=-10,Q39&lt;=0),AND(Dashboard!$P$3="Due in 30 days",Q39&gt;=-30,Q39&lt;=0),AND(Dashboard!$P$3="Overdue 1-60 days",Q39&gt;0,Q39&lt;=60),AND(Dashboard!$P$3="Over 60 days",Q39&gt;60),AND(Dashboard!$P$3="All overdue",Q39&gt;0)),1,0)</f>
        <v>1</v>
      </c>
      <c r="V39" s="1">
        <f t="shared" si="9"/>
        <v>34590901.659999996</v>
      </c>
      <c r="W39" s="1">
        <f t="shared" si="10"/>
        <v>0</v>
      </c>
      <c r="X39" s="1">
        <f>IF(V39&gt;0,COUNTIF($V$6:V39,"&gt;0"),"")</f>
        <v>34</v>
      </c>
      <c r="Y39" s="1" t="str">
        <f t="shared" si="11"/>
        <v>CAL-prior-034|000034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 t="s">
        <v>28</v>
      </c>
      <c r="B40" s="1" t="s">
        <v>86</v>
      </c>
      <c r="C40" s="1" t="s">
        <v>305</v>
      </c>
      <c r="D40" s="1" t="s">
        <v>140</v>
      </c>
      <c r="E40" s="4">
        <v>45733</v>
      </c>
      <c r="F40" s="4">
        <v>45763</v>
      </c>
      <c r="G40" s="5">
        <v>58942212.380000003</v>
      </c>
      <c r="H40" s="5">
        <v>6315237.04</v>
      </c>
      <c r="I40" s="5">
        <v>52626975.340000004</v>
      </c>
      <c r="J40" s="1" t="s">
        <v>27</v>
      </c>
      <c r="K40" s="1" t="s">
        <v>64</v>
      </c>
      <c r="L40" s="1" t="s">
        <v>73</v>
      </c>
      <c r="M40" s="1" t="s">
        <v>66</v>
      </c>
      <c r="N40" s="6"/>
      <c r="O40" s="6"/>
      <c r="P40" s="7" t="s">
        <v>67</v>
      </c>
      <c r="Q40" s="1">
        <f t="shared" si="6"/>
        <v>-16</v>
      </c>
      <c r="R40" s="1">
        <f>IF(AND(OR(Dashboard!$P$1="All",A40=Dashboard!$P$1),OR(Dashboard!$P$2="All",J40=Dashboard!$P$2)),1,0)</f>
        <v>1</v>
      </c>
      <c r="S40" s="1">
        <f t="shared" si="7"/>
        <v>52626975.340000004</v>
      </c>
      <c r="T40" s="1">
        <f t="shared" si="8"/>
        <v>0</v>
      </c>
      <c r="U40" s="1">
        <f>IF(OR(Dashboard!$P$3="All",AND(Dashboard!$P$3="Not due",Q40&lt;0),AND(Dashboard!$P$3="Due in 10 days",Q40&gt;=-10,Q40&lt;=0),AND(Dashboard!$P$3="Due in 30 days",Q40&gt;=-30,Q40&lt;=0),AND(Dashboard!$P$3="Overdue 1-60 days",Q40&gt;0,Q40&lt;=60),AND(Dashboard!$P$3="Over 60 days",Q40&gt;60),AND(Dashboard!$P$3="All overdue",Q40&gt;0)),1,0)</f>
        <v>1</v>
      </c>
      <c r="V40" s="1">
        <f t="shared" si="9"/>
        <v>52626975.340000004</v>
      </c>
      <c r="W40" s="1">
        <f t="shared" si="10"/>
        <v>0</v>
      </c>
      <c r="X40" s="1">
        <f>IF(V40&gt;0,COUNTIF($V$6:V40,"&gt;0"),"")</f>
        <v>35</v>
      </c>
      <c r="Y40" s="1" t="str">
        <f t="shared" si="11"/>
        <v>CAL-prior-035|000035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 t="s">
        <v>28</v>
      </c>
      <c r="B41" s="1" t="s">
        <v>86</v>
      </c>
      <c r="C41" s="1" t="s">
        <v>306</v>
      </c>
      <c r="D41" s="1" t="s">
        <v>142</v>
      </c>
      <c r="E41" s="4">
        <v>45745</v>
      </c>
      <c r="F41" s="4">
        <v>45805</v>
      </c>
      <c r="G41" s="5">
        <v>235118668.28</v>
      </c>
      <c r="H41" s="5">
        <v>25191285.890000001</v>
      </c>
      <c r="I41" s="5">
        <v>209927382.38999999</v>
      </c>
      <c r="J41" s="1" t="s">
        <v>25</v>
      </c>
      <c r="K41" s="1" t="s">
        <v>64</v>
      </c>
      <c r="L41" s="1" t="s">
        <v>76</v>
      </c>
      <c r="M41" s="1" t="s">
        <v>66</v>
      </c>
      <c r="N41" s="6"/>
      <c r="O41" s="6"/>
      <c r="P41" s="7" t="s">
        <v>67</v>
      </c>
      <c r="Q41" s="1">
        <f t="shared" si="6"/>
        <v>-58</v>
      </c>
      <c r="R41" s="1">
        <f>IF(AND(OR(Dashboard!$P$1="All",A41=Dashboard!$P$1),OR(Dashboard!$P$2="All",J41=Dashboard!$P$2)),1,0)</f>
        <v>1</v>
      </c>
      <c r="S41" s="1">
        <f t="shared" si="7"/>
        <v>209927382.38999999</v>
      </c>
      <c r="T41" s="1">
        <f t="shared" si="8"/>
        <v>0</v>
      </c>
      <c r="U41" s="1">
        <f>IF(OR(Dashboard!$P$3="All",AND(Dashboard!$P$3="Not due",Q41&lt;0),AND(Dashboard!$P$3="Due in 10 days",Q41&gt;=-10,Q41&lt;=0),AND(Dashboard!$P$3="Due in 30 days",Q41&gt;=-30,Q41&lt;=0),AND(Dashboard!$P$3="Overdue 1-60 days",Q41&gt;0,Q41&lt;=60),AND(Dashboard!$P$3="Over 60 days",Q41&gt;60),AND(Dashboard!$P$3="All overdue",Q41&gt;0)),1,0)</f>
        <v>1</v>
      </c>
      <c r="V41" s="1">
        <f t="shared" si="9"/>
        <v>209927382.38999999</v>
      </c>
      <c r="W41" s="1">
        <f t="shared" si="10"/>
        <v>0</v>
      </c>
      <c r="X41" s="1">
        <f>IF(V41&gt;0,COUNTIF($V$6:V41,"&gt;0"),"")</f>
        <v>36</v>
      </c>
      <c r="Y41" s="1" t="str">
        <f t="shared" si="11"/>
        <v>CAL-prior-036|000036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 t="s">
        <v>28</v>
      </c>
      <c r="B42" s="1" t="s">
        <v>86</v>
      </c>
      <c r="C42" s="1" t="s">
        <v>307</v>
      </c>
      <c r="D42" s="1" t="s">
        <v>144</v>
      </c>
      <c r="E42" s="4">
        <v>45775</v>
      </c>
      <c r="F42" s="4">
        <v>45805</v>
      </c>
      <c r="G42" s="5">
        <v>228972121.66</v>
      </c>
      <c r="H42" s="5">
        <v>24532727.32</v>
      </c>
      <c r="I42" s="5">
        <v>204439394.34</v>
      </c>
      <c r="J42" s="1" t="s">
        <v>25</v>
      </c>
      <c r="K42" s="1" t="s">
        <v>64</v>
      </c>
      <c r="L42" s="1" t="s">
        <v>65</v>
      </c>
      <c r="M42" s="1" t="s">
        <v>66</v>
      </c>
      <c r="N42" s="6"/>
      <c r="O42" s="6"/>
      <c r="P42" s="7" t="s">
        <v>67</v>
      </c>
      <c r="Q42" s="1">
        <f t="shared" si="6"/>
        <v>-58</v>
      </c>
      <c r="R42" s="1">
        <f>IF(AND(OR(Dashboard!$P$1="All",A42=Dashboard!$P$1),OR(Dashboard!$P$2="All",J42=Dashboard!$P$2)),1,0)</f>
        <v>1</v>
      </c>
      <c r="S42" s="1">
        <f t="shared" si="7"/>
        <v>204439394.34</v>
      </c>
      <c r="T42" s="1">
        <f t="shared" si="8"/>
        <v>0</v>
      </c>
      <c r="U42" s="1">
        <f>IF(OR(Dashboard!$P$3="All",AND(Dashboard!$P$3="Not due",Q42&lt;0),AND(Dashboard!$P$3="Due in 10 days",Q42&gt;=-10,Q42&lt;=0),AND(Dashboard!$P$3="Due in 30 days",Q42&gt;=-30,Q42&lt;=0),AND(Dashboard!$P$3="Overdue 1-60 days",Q42&gt;0,Q42&lt;=60),AND(Dashboard!$P$3="Over 60 days",Q42&gt;60),AND(Dashboard!$P$3="All overdue",Q42&gt;0)),1,0)</f>
        <v>1</v>
      </c>
      <c r="V42" s="1">
        <f t="shared" si="9"/>
        <v>204439394.34</v>
      </c>
      <c r="W42" s="1">
        <f t="shared" si="10"/>
        <v>0</v>
      </c>
      <c r="X42" s="1">
        <f>IF(V42&gt;0,COUNTIF($V$6:V42,"&gt;0"),"")</f>
        <v>37</v>
      </c>
      <c r="Y42" s="1" t="str">
        <f t="shared" si="11"/>
        <v>CAL-prior-037|000037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 t="s">
        <v>28</v>
      </c>
      <c r="B43" s="1" t="s">
        <v>86</v>
      </c>
      <c r="C43" s="1" t="s">
        <v>308</v>
      </c>
      <c r="D43" s="1" t="s">
        <v>146</v>
      </c>
      <c r="E43" s="4">
        <v>45775</v>
      </c>
      <c r="F43" s="4">
        <v>45805</v>
      </c>
      <c r="G43" s="5">
        <v>232893300.22</v>
      </c>
      <c r="H43" s="5">
        <v>43549153.700000003</v>
      </c>
      <c r="I43" s="5">
        <v>189344146.52000001</v>
      </c>
      <c r="J43" s="1" t="s">
        <v>25</v>
      </c>
      <c r="K43" s="1" t="s">
        <v>64</v>
      </c>
      <c r="L43" s="1" t="s">
        <v>70</v>
      </c>
      <c r="M43" s="1" t="s">
        <v>66</v>
      </c>
      <c r="N43" s="6"/>
      <c r="O43" s="6"/>
      <c r="P43" s="7" t="s">
        <v>67</v>
      </c>
      <c r="Q43" s="1">
        <f t="shared" si="6"/>
        <v>-58</v>
      </c>
      <c r="R43" s="1">
        <f>IF(AND(OR(Dashboard!$P$1="All",A43=Dashboard!$P$1),OR(Dashboard!$P$2="All",J43=Dashboard!$P$2)),1,0)</f>
        <v>1</v>
      </c>
      <c r="S43" s="1">
        <f t="shared" si="7"/>
        <v>189344146.52000001</v>
      </c>
      <c r="T43" s="1">
        <f t="shared" si="8"/>
        <v>0</v>
      </c>
      <c r="U43" s="1">
        <f>IF(OR(Dashboard!$P$3="All",AND(Dashboard!$P$3="Not due",Q43&lt;0),AND(Dashboard!$P$3="Due in 10 days",Q43&gt;=-10,Q43&lt;=0),AND(Dashboard!$P$3="Due in 30 days",Q43&gt;=-30,Q43&lt;=0),AND(Dashboard!$P$3="Overdue 1-60 days",Q43&gt;0,Q43&lt;=60),AND(Dashboard!$P$3="Over 60 days",Q43&gt;60),AND(Dashboard!$P$3="All overdue",Q43&gt;0)),1,0)</f>
        <v>1</v>
      </c>
      <c r="V43" s="1">
        <f t="shared" si="9"/>
        <v>189344146.52000001</v>
      </c>
      <c r="W43" s="1">
        <f t="shared" si="10"/>
        <v>0</v>
      </c>
      <c r="X43" s="1">
        <f>IF(V43&gt;0,COUNTIF($V$6:V43,"&gt;0"),"")</f>
        <v>38</v>
      </c>
      <c r="Y43" s="1" t="str">
        <f t="shared" si="11"/>
        <v>CAL-prior-038|000038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 t="s">
        <v>28</v>
      </c>
      <c r="B44" s="1" t="s">
        <v>86</v>
      </c>
      <c r="C44" s="1" t="s">
        <v>309</v>
      </c>
      <c r="D44" s="1" t="s">
        <v>148</v>
      </c>
      <c r="E44" s="4">
        <v>45745</v>
      </c>
      <c r="F44" s="4">
        <v>45805</v>
      </c>
      <c r="G44" s="5">
        <v>183779938.47999999</v>
      </c>
      <c r="H44" s="5">
        <v>19690707.690000001</v>
      </c>
      <c r="I44" s="5">
        <v>164089230.78999999</v>
      </c>
      <c r="J44" s="1" t="s">
        <v>25</v>
      </c>
      <c r="K44" s="1" t="s">
        <v>64</v>
      </c>
      <c r="L44" s="1" t="s">
        <v>73</v>
      </c>
      <c r="M44" s="1" t="s">
        <v>66</v>
      </c>
      <c r="N44" s="6"/>
      <c r="O44" s="6"/>
      <c r="P44" s="7" t="s">
        <v>67</v>
      </c>
      <c r="Q44" s="1">
        <f t="shared" si="6"/>
        <v>-58</v>
      </c>
      <c r="R44" s="1">
        <f>IF(AND(OR(Dashboard!$P$1="All",A44=Dashboard!$P$1),OR(Dashboard!$P$2="All",J44=Dashboard!$P$2)),1,0)</f>
        <v>1</v>
      </c>
      <c r="S44" s="1">
        <f t="shared" si="7"/>
        <v>164089230.78999999</v>
      </c>
      <c r="T44" s="1">
        <f t="shared" si="8"/>
        <v>0</v>
      </c>
      <c r="U44" s="1">
        <f>IF(OR(Dashboard!$P$3="All",AND(Dashboard!$P$3="Not due",Q44&lt;0),AND(Dashboard!$P$3="Due in 10 days",Q44&gt;=-10,Q44&lt;=0),AND(Dashboard!$P$3="Due in 30 days",Q44&gt;=-30,Q44&lt;=0),AND(Dashboard!$P$3="Overdue 1-60 days",Q44&gt;0,Q44&lt;=60),AND(Dashboard!$P$3="Over 60 days",Q44&gt;60),AND(Dashboard!$P$3="All overdue",Q44&gt;0)),1,0)</f>
        <v>1</v>
      </c>
      <c r="V44" s="1">
        <f t="shared" si="9"/>
        <v>164089230.78999999</v>
      </c>
      <c r="W44" s="1">
        <f t="shared" si="10"/>
        <v>0</v>
      </c>
      <c r="X44" s="1">
        <f>IF(V44&gt;0,COUNTIF($V$6:V44,"&gt;0"),"")</f>
        <v>39</v>
      </c>
      <c r="Y44" s="1" t="str">
        <f t="shared" si="11"/>
        <v>CAL-prior-039|000039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 t="s">
        <v>28</v>
      </c>
      <c r="B45" s="1" t="s">
        <v>86</v>
      </c>
      <c r="C45" s="1" t="s">
        <v>310</v>
      </c>
      <c r="D45" s="1" t="s">
        <v>150</v>
      </c>
      <c r="E45" s="4">
        <v>45760</v>
      </c>
      <c r="F45" s="4">
        <v>45805</v>
      </c>
      <c r="G45" s="5">
        <v>275580110.76999998</v>
      </c>
      <c r="H45" s="5">
        <v>29526440.440000001</v>
      </c>
      <c r="I45" s="5">
        <v>246053670.33000001</v>
      </c>
      <c r="J45" s="1" t="s">
        <v>25</v>
      </c>
      <c r="K45" s="1" t="s">
        <v>64</v>
      </c>
      <c r="L45" s="1" t="s">
        <v>76</v>
      </c>
      <c r="M45" s="1" t="s">
        <v>66</v>
      </c>
      <c r="N45" s="6"/>
      <c r="O45" s="6"/>
      <c r="P45" s="7" t="s">
        <v>67</v>
      </c>
      <c r="Q45" s="1">
        <f t="shared" si="6"/>
        <v>-58</v>
      </c>
      <c r="R45" s="1">
        <f>IF(AND(OR(Dashboard!$P$1="All",A45=Dashboard!$P$1),OR(Dashboard!$P$2="All",J45=Dashboard!$P$2)),1,0)</f>
        <v>1</v>
      </c>
      <c r="S45" s="1">
        <f t="shared" si="7"/>
        <v>246053670.33000001</v>
      </c>
      <c r="T45" s="1">
        <f t="shared" si="8"/>
        <v>0</v>
      </c>
      <c r="U45" s="1">
        <f>IF(OR(Dashboard!$P$3="All",AND(Dashboard!$P$3="Not due",Q45&lt;0),AND(Dashboard!$P$3="Due in 10 days",Q45&gt;=-10,Q45&lt;=0),AND(Dashboard!$P$3="Due in 30 days",Q45&gt;=-30,Q45&lt;=0),AND(Dashboard!$P$3="Overdue 1-60 days",Q45&gt;0,Q45&lt;=60),AND(Dashboard!$P$3="Over 60 days",Q45&gt;60),AND(Dashboard!$P$3="All overdue",Q45&gt;0)),1,0)</f>
        <v>1</v>
      </c>
      <c r="V45" s="1">
        <f t="shared" si="9"/>
        <v>246053670.33000001</v>
      </c>
      <c r="W45" s="1">
        <f t="shared" si="10"/>
        <v>0</v>
      </c>
      <c r="X45" s="1">
        <f>IF(V45&gt;0,COUNTIF($V$6:V45,"&gt;0"),"")</f>
        <v>40</v>
      </c>
      <c r="Y45" s="1" t="str">
        <f t="shared" si="11"/>
        <v>CAL-prior-040|000040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 t="s">
        <v>28</v>
      </c>
      <c r="B46" s="1" t="s">
        <v>86</v>
      </c>
      <c r="C46" s="1" t="s">
        <v>311</v>
      </c>
      <c r="D46" s="1" t="s">
        <v>152</v>
      </c>
      <c r="E46" s="4">
        <v>45760</v>
      </c>
      <c r="F46" s="4">
        <v>45805</v>
      </c>
      <c r="G46" s="5">
        <v>296441165.63</v>
      </c>
      <c r="H46" s="5">
        <v>80060752.760000005</v>
      </c>
      <c r="I46" s="5">
        <v>216380412.87</v>
      </c>
      <c r="J46" s="1" t="s">
        <v>25</v>
      </c>
      <c r="K46" s="1" t="s">
        <v>64</v>
      </c>
      <c r="L46" s="1" t="s">
        <v>65</v>
      </c>
      <c r="M46" s="1" t="s">
        <v>66</v>
      </c>
      <c r="N46" s="6"/>
      <c r="O46" s="6"/>
      <c r="P46" s="7" t="s">
        <v>67</v>
      </c>
      <c r="Q46" s="1">
        <f t="shared" si="6"/>
        <v>-58</v>
      </c>
      <c r="R46" s="1">
        <f>IF(AND(OR(Dashboard!$P$1="All",A46=Dashboard!$P$1),OR(Dashboard!$P$2="All",J46=Dashboard!$P$2)),1,0)</f>
        <v>1</v>
      </c>
      <c r="S46" s="1">
        <f t="shared" si="7"/>
        <v>216380412.87</v>
      </c>
      <c r="T46" s="1">
        <f t="shared" si="8"/>
        <v>0</v>
      </c>
      <c r="U46" s="1">
        <f>IF(OR(Dashboard!$P$3="All",AND(Dashboard!$P$3="Not due",Q46&lt;0),AND(Dashboard!$P$3="Due in 10 days",Q46&gt;=-10,Q46&lt;=0),AND(Dashboard!$P$3="Due in 30 days",Q46&gt;=-30,Q46&lt;=0),AND(Dashboard!$P$3="Overdue 1-60 days",Q46&gt;0,Q46&lt;=60),AND(Dashboard!$P$3="Over 60 days",Q46&gt;60),AND(Dashboard!$P$3="All overdue",Q46&gt;0)),1,0)</f>
        <v>1</v>
      </c>
      <c r="V46" s="1">
        <f t="shared" si="9"/>
        <v>216380412.87</v>
      </c>
      <c r="W46" s="1">
        <f t="shared" si="10"/>
        <v>0</v>
      </c>
      <c r="X46" s="1">
        <f>IF(V46&gt;0,COUNTIF($V$6:V46,"&gt;0"),"")</f>
        <v>41</v>
      </c>
      <c r="Y46" s="1" t="str">
        <f t="shared" si="11"/>
        <v>CAL-prior-041|000041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 t="s">
        <v>28</v>
      </c>
      <c r="B47" s="1" t="s">
        <v>86</v>
      </c>
      <c r="C47" s="1" t="s">
        <v>312</v>
      </c>
      <c r="D47" s="1" t="s">
        <v>154</v>
      </c>
      <c r="E47" s="4">
        <v>45775</v>
      </c>
      <c r="F47" s="4">
        <v>45805</v>
      </c>
      <c r="G47" s="5">
        <v>145438983.02000001</v>
      </c>
      <c r="H47" s="5">
        <v>39279141.399999999</v>
      </c>
      <c r="I47" s="5">
        <v>106159841.62</v>
      </c>
      <c r="J47" s="1" t="s">
        <v>25</v>
      </c>
      <c r="K47" s="1" t="s">
        <v>64</v>
      </c>
      <c r="L47" s="1" t="s">
        <v>70</v>
      </c>
      <c r="M47" s="1" t="s">
        <v>66</v>
      </c>
      <c r="N47" s="6"/>
      <c r="O47" s="6"/>
      <c r="P47" s="7" t="s">
        <v>67</v>
      </c>
      <c r="Q47" s="1">
        <f t="shared" si="6"/>
        <v>-58</v>
      </c>
      <c r="R47" s="1">
        <f>IF(AND(OR(Dashboard!$P$1="All",A47=Dashboard!$P$1),OR(Dashboard!$P$2="All",J47=Dashboard!$P$2)),1,0)</f>
        <v>1</v>
      </c>
      <c r="S47" s="1">
        <f t="shared" si="7"/>
        <v>106159841.62</v>
      </c>
      <c r="T47" s="1">
        <f t="shared" si="8"/>
        <v>0</v>
      </c>
      <c r="U47" s="1">
        <f>IF(OR(Dashboard!$P$3="All",AND(Dashboard!$P$3="Not due",Q47&lt;0),AND(Dashboard!$P$3="Due in 10 days",Q47&gt;=-10,Q47&lt;=0),AND(Dashboard!$P$3="Due in 30 days",Q47&gt;=-30,Q47&lt;=0),AND(Dashboard!$P$3="Overdue 1-60 days",Q47&gt;0,Q47&lt;=60),AND(Dashboard!$P$3="Over 60 days",Q47&gt;60),AND(Dashboard!$P$3="All overdue",Q47&gt;0)),1,0)</f>
        <v>1</v>
      </c>
      <c r="V47" s="1">
        <f t="shared" si="9"/>
        <v>106159841.62</v>
      </c>
      <c r="W47" s="1">
        <f t="shared" si="10"/>
        <v>0</v>
      </c>
      <c r="X47" s="1">
        <f>IF(V47&gt;0,COUNTIF($V$6:V47,"&gt;0"),"")</f>
        <v>42</v>
      </c>
      <c r="Y47" s="1" t="str">
        <f t="shared" si="11"/>
        <v>CAL-prior-042|000042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 t="s">
        <v>28</v>
      </c>
      <c r="B48" s="1" t="s">
        <v>86</v>
      </c>
      <c r="C48" s="1" t="s">
        <v>313</v>
      </c>
      <c r="D48" s="1" t="s">
        <v>156</v>
      </c>
      <c r="E48" s="4">
        <v>45745</v>
      </c>
      <c r="F48" s="4">
        <v>45805</v>
      </c>
      <c r="G48" s="5">
        <v>115835394.34999999</v>
      </c>
      <c r="H48" s="5">
        <v>12410935.109999999</v>
      </c>
      <c r="I48" s="5">
        <v>103424459.23999999</v>
      </c>
      <c r="J48" s="1" t="s">
        <v>25</v>
      </c>
      <c r="K48" s="1" t="s">
        <v>64</v>
      </c>
      <c r="L48" s="1" t="s">
        <v>73</v>
      </c>
      <c r="M48" s="1" t="s">
        <v>66</v>
      </c>
      <c r="N48" s="6"/>
      <c r="O48" s="6"/>
      <c r="P48" s="7" t="s">
        <v>67</v>
      </c>
      <c r="Q48" s="1">
        <f t="shared" si="6"/>
        <v>-58</v>
      </c>
      <c r="R48" s="1">
        <f>IF(AND(OR(Dashboard!$P$1="All",A48=Dashboard!$P$1),OR(Dashboard!$P$2="All",J48=Dashboard!$P$2)),1,0)</f>
        <v>1</v>
      </c>
      <c r="S48" s="1">
        <f t="shared" si="7"/>
        <v>103424459.23999999</v>
      </c>
      <c r="T48" s="1">
        <f t="shared" si="8"/>
        <v>0</v>
      </c>
      <c r="U48" s="1">
        <f>IF(OR(Dashboard!$P$3="All",AND(Dashboard!$P$3="Not due",Q48&lt;0),AND(Dashboard!$P$3="Due in 10 days",Q48&gt;=-10,Q48&lt;=0),AND(Dashboard!$P$3="Due in 30 days",Q48&gt;=-30,Q48&lt;=0),AND(Dashboard!$P$3="Overdue 1-60 days",Q48&gt;0,Q48&lt;=60),AND(Dashboard!$P$3="Over 60 days",Q48&gt;60),AND(Dashboard!$P$3="All overdue",Q48&gt;0)),1,0)</f>
        <v>1</v>
      </c>
      <c r="V48" s="1">
        <f t="shared" si="9"/>
        <v>103424459.23999999</v>
      </c>
      <c r="W48" s="1">
        <f t="shared" si="10"/>
        <v>0</v>
      </c>
      <c r="X48" s="1">
        <f>IF(V48&gt;0,COUNTIF($V$6:V48,"&gt;0"),"")</f>
        <v>43</v>
      </c>
      <c r="Y48" s="1" t="str">
        <f t="shared" si="11"/>
        <v>CAL-prior-043|000043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 t="s">
        <v>28</v>
      </c>
      <c r="B49" s="1" t="s">
        <v>86</v>
      </c>
      <c r="C49" s="1" t="s">
        <v>314</v>
      </c>
      <c r="D49" s="1" t="s">
        <v>158</v>
      </c>
      <c r="E49" s="4">
        <v>45775</v>
      </c>
      <c r="F49" s="4">
        <v>45805</v>
      </c>
      <c r="G49" s="5">
        <v>295229027.42000002</v>
      </c>
      <c r="H49" s="5">
        <v>79733386.969999999</v>
      </c>
      <c r="I49" s="5">
        <v>215495640.44999999</v>
      </c>
      <c r="J49" s="1" t="s">
        <v>25</v>
      </c>
      <c r="K49" s="1" t="s">
        <v>64</v>
      </c>
      <c r="L49" s="1" t="s">
        <v>76</v>
      </c>
      <c r="M49" s="1" t="s">
        <v>66</v>
      </c>
      <c r="N49" s="6"/>
      <c r="O49" s="6"/>
      <c r="P49" s="7" t="s">
        <v>67</v>
      </c>
      <c r="Q49" s="1">
        <f t="shared" si="6"/>
        <v>-58</v>
      </c>
      <c r="R49" s="1">
        <f>IF(AND(OR(Dashboard!$P$1="All",A49=Dashboard!$P$1),OR(Dashboard!$P$2="All",J49=Dashboard!$P$2)),1,0)</f>
        <v>1</v>
      </c>
      <c r="S49" s="1">
        <f t="shared" si="7"/>
        <v>215495640.44999999</v>
      </c>
      <c r="T49" s="1">
        <f t="shared" si="8"/>
        <v>0</v>
      </c>
      <c r="U49" s="1">
        <f>IF(OR(Dashboard!$P$3="All",AND(Dashboard!$P$3="Not due",Q49&lt;0),AND(Dashboard!$P$3="Due in 10 days",Q49&gt;=-10,Q49&lt;=0),AND(Dashboard!$P$3="Due in 30 days",Q49&gt;=-30,Q49&lt;=0),AND(Dashboard!$P$3="Overdue 1-60 days",Q49&gt;0,Q49&lt;=60),AND(Dashboard!$P$3="Over 60 days",Q49&gt;60),AND(Dashboard!$P$3="All overdue",Q49&gt;0)),1,0)</f>
        <v>1</v>
      </c>
      <c r="V49" s="1">
        <f t="shared" si="9"/>
        <v>215495640.44999999</v>
      </c>
      <c r="W49" s="1">
        <f t="shared" si="10"/>
        <v>0</v>
      </c>
      <c r="X49" s="1">
        <f>IF(V49&gt;0,COUNTIF($V$6:V49,"&gt;0"),"")</f>
        <v>44</v>
      </c>
      <c r="Y49" s="1" t="str">
        <f t="shared" si="11"/>
        <v>CAL-prior-044|000044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 t="s">
        <v>28</v>
      </c>
      <c r="B50" s="1" t="s">
        <v>86</v>
      </c>
      <c r="C50" s="1" t="s">
        <v>315</v>
      </c>
      <c r="D50" s="1" t="s">
        <v>160</v>
      </c>
      <c r="E50" s="4">
        <v>45775</v>
      </c>
      <c r="F50" s="4">
        <v>45805</v>
      </c>
      <c r="G50" s="5">
        <v>225947296.03</v>
      </c>
      <c r="H50" s="5">
        <v>61022262.43</v>
      </c>
      <c r="I50" s="5">
        <v>164925033.59999999</v>
      </c>
      <c r="J50" s="1" t="s">
        <v>25</v>
      </c>
      <c r="K50" s="1" t="s">
        <v>64</v>
      </c>
      <c r="L50" s="1" t="s">
        <v>65</v>
      </c>
      <c r="M50" s="1" t="s">
        <v>66</v>
      </c>
      <c r="N50" s="6"/>
      <c r="O50" s="6"/>
      <c r="P50" s="7" t="s">
        <v>67</v>
      </c>
      <c r="Q50" s="1">
        <f t="shared" si="6"/>
        <v>-58</v>
      </c>
      <c r="R50" s="1">
        <f>IF(AND(OR(Dashboard!$P$1="All",A50=Dashboard!$P$1),OR(Dashboard!$P$2="All",J50=Dashboard!$P$2)),1,0)</f>
        <v>1</v>
      </c>
      <c r="S50" s="1">
        <f t="shared" si="7"/>
        <v>164925033.59999999</v>
      </c>
      <c r="T50" s="1">
        <f t="shared" si="8"/>
        <v>0</v>
      </c>
      <c r="U50" s="1">
        <f>IF(OR(Dashboard!$P$3="All",AND(Dashboard!$P$3="Not due",Q50&lt;0),AND(Dashboard!$P$3="Due in 10 days",Q50&gt;=-10,Q50&lt;=0),AND(Dashboard!$P$3="Due in 30 days",Q50&gt;=-30,Q50&lt;=0),AND(Dashboard!$P$3="Overdue 1-60 days",Q50&gt;0,Q50&lt;=60),AND(Dashboard!$P$3="Over 60 days",Q50&gt;60),AND(Dashboard!$P$3="All overdue",Q50&gt;0)),1,0)</f>
        <v>1</v>
      </c>
      <c r="V50" s="1">
        <f t="shared" si="9"/>
        <v>164925033.59999999</v>
      </c>
      <c r="W50" s="1">
        <f t="shared" si="10"/>
        <v>0</v>
      </c>
      <c r="X50" s="1">
        <f>IF(V50&gt;0,COUNTIF($V$6:V50,"&gt;0"),"")</f>
        <v>45</v>
      </c>
      <c r="Y50" s="1" t="str">
        <f t="shared" si="11"/>
        <v>CAL-prior-045|000045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 t="s">
        <v>28</v>
      </c>
      <c r="B51" s="1" t="s">
        <v>86</v>
      </c>
      <c r="C51" s="1" t="s">
        <v>316</v>
      </c>
      <c r="D51" s="1" t="s">
        <v>162</v>
      </c>
      <c r="E51" s="4">
        <v>45760</v>
      </c>
      <c r="F51" s="4">
        <v>45805</v>
      </c>
      <c r="G51" s="5">
        <v>349324249.14999998</v>
      </c>
      <c r="H51" s="5">
        <v>94343045.390000001</v>
      </c>
      <c r="I51" s="5">
        <v>254981203.75999999</v>
      </c>
      <c r="J51" s="1" t="s">
        <v>25</v>
      </c>
      <c r="K51" s="1" t="s">
        <v>64</v>
      </c>
      <c r="L51" s="1" t="s">
        <v>70</v>
      </c>
      <c r="M51" s="1" t="s">
        <v>66</v>
      </c>
      <c r="N51" s="6"/>
      <c r="O51" s="6"/>
      <c r="P51" s="7" t="s">
        <v>67</v>
      </c>
      <c r="Q51" s="1">
        <f t="shared" si="6"/>
        <v>-58</v>
      </c>
      <c r="R51" s="1">
        <f>IF(AND(OR(Dashboard!$P$1="All",A51=Dashboard!$P$1),OR(Dashboard!$P$2="All",J51=Dashboard!$P$2)),1,0)</f>
        <v>1</v>
      </c>
      <c r="S51" s="1">
        <f t="shared" si="7"/>
        <v>254981203.75999999</v>
      </c>
      <c r="T51" s="1">
        <f t="shared" si="8"/>
        <v>0</v>
      </c>
      <c r="U51" s="1">
        <f>IF(OR(Dashboard!$P$3="All",AND(Dashboard!$P$3="Not due",Q51&lt;0),AND(Dashboard!$P$3="Due in 10 days",Q51&gt;=-10,Q51&lt;=0),AND(Dashboard!$P$3="Due in 30 days",Q51&gt;=-30,Q51&lt;=0),AND(Dashboard!$P$3="Overdue 1-60 days",Q51&gt;0,Q51&lt;=60),AND(Dashboard!$P$3="Over 60 days",Q51&gt;60),AND(Dashboard!$P$3="All overdue",Q51&gt;0)),1,0)</f>
        <v>1</v>
      </c>
      <c r="V51" s="1">
        <f t="shared" si="9"/>
        <v>254981203.75999999</v>
      </c>
      <c r="W51" s="1">
        <f t="shared" si="10"/>
        <v>0</v>
      </c>
      <c r="X51" s="1">
        <f>IF(V51&gt;0,COUNTIF($V$6:V51,"&gt;0"),"")</f>
        <v>46</v>
      </c>
      <c r="Y51" s="1" t="str">
        <f t="shared" si="11"/>
        <v>CAL-prior-046|000046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 t="s">
        <v>28</v>
      </c>
      <c r="B52" s="1" t="s">
        <v>86</v>
      </c>
      <c r="C52" s="1" t="s">
        <v>317</v>
      </c>
      <c r="D52" s="1" t="s">
        <v>164</v>
      </c>
      <c r="E52" s="4">
        <v>45760</v>
      </c>
      <c r="F52" s="4">
        <v>45805</v>
      </c>
      <c r="G52" s="5">
        <v>156323512.68000001</v>
      </c>
      <c r="H52" s="5">
        <v>42218758.899999999</v>
      </c>
      <c r="I52" s="5">
        <v>114104753.78</v>
      </c>
      <c r="J52" s="1" t="s">
        <v>25</v>
      </c>
      <c r="K52" s="1" t="s">
        <v>64</v>
      </c>
      <c r="L52" s="1" t="s">
        <v>73</v>
      </c>
      <c r="M52" s="1" t="s">
        <v>66</v>
      </c>
      <c r="N52" s="6"/>
      <c r="O52" s="6"/>
      <c r="P52" s="7" t="s">
        <v>67</v>
      </c>
      <c r="Q52" s="1">
        <f t="shared" si="6"/>
        <v>-58</v>
      </c>
      <c r="R52" s="1">
        <f>IF(AND(OR(Dashboard!$P$1="All",A52=Dashboard!$P$1),OR(Dashboard!$P$2="All",J52=Dashboard!$P$2)),1,0)</f>
        <v>1</v>
      </c>
      <c r="S52" s="1">
        <f t="shared" si="7"/>
        <v>114104753.78</v>
      </c>
      <c r="T52" s="1">
        <f t="shared" si="8"/>
        <v>0</v>
      </c>
      <c r="U52" s="1">
        <f>IF(OR(Dashboard!$P$3="All",AND(Dashboard!$P$3="Not due",Q52&lt;0),AND(Dashboard!$P$3="Due in 10 days",Q52&gt;=-10,Q52&lt;=0),AND(Dashboard!$P$3="Due in 30 days",Q52&gt;=-30,Q52&lt;=0),AND(Dashboard!$P$3="Overdue 1-60 days",Q52&gt;0,Q52&lt;=60),AND(Dashboard!$P$3="Over 60 days",Q52&gt;60),AND(Dashboard!$P$3="All overdue",Q52&gt;0)),1,0)</f>
        <v>1</v>
      </c>
      <c r="V52" s="1">
        <f t="shared" si="9"/>
        <v>114104753.78</v>
      </c>
      <c r="W52" s="1">
        <f t="shared" si="10"/>
        <v>0</v>
      </c>
      <c r="X52" s="1">
        <f>IF(V52&gt;0,COUNTIF($V$6:V52,"&gt;0"),"")</f>
        <v>47</v>
      </c>
      <c r="Y52" s="1" t="str">
        <f t="shared" si="11"/>
        <v>CAL-prior-047|000047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 t="s">
        <v>28</v>
      </c>
      <c r="B53" s="1" t="s">
        <v>86</v>
      </c>
      <c r="C53" s="1" t="s">
        <v>318</v>
      </c>
      <c r="D53" s="1" t="s">
        <v>166</v>
      </c>
      <c r="E53" s="4">
        <v>45745</v>
      </c>
      <c r="F53" s="4">
        <v>45805</v>
      </c>
      <c r="G53" s="5">
        <v>194504978.09</v>
      </c>
      <c r="H53" s="5">
        <v>52530541.530000001</v>
      </c>
      <c r="I53" s="5">
        <v>141974436.56</v>
      </c>
      <c r="J53" s="1" t="s">
        <v>25</v>
      </c>
      <c r="K53" s="1" t="s">
        <v>64</v>
      </c>
      <c r="L53" s="1" t="s">
        <v>76</v>
      </c>
      <c r="M53" s="1" t="s">
        <v>66</v>
      </c>
      <c r="N53" s="6"/>
      <c r="O53" s="6"/>
      <c r="P53" s="7" t="s">
        <v>67</v>
      </c>
      <c r="Q53" s="1">
        <f t="shared" si="6"/>
        <v>-58</v>
      </c>
      <c r="R53" s="1">
        <f>IF(AND(OR(Dashboard!$P$1="All",A53=Dashboard!$P$1),OR(Dashboard!$P$2="All",J53=Dashboard!$P$2)),1,0)</f>
        <v>1</v>
      </c>
      <c r="S53" s="1">
        <f t="shared" si="7"/>
        <v>141974436.56</v>
      </c>
      <c r="T53" s="1">
        <f t="shared" si="8"/>
        <v>0</v>
      </c>
      <c r="U53" s="1">
        <f>IF(OR(Dashboard!$P$3="All",AND(Dashboard!$P$3="Not due",Q53&lt;0),AND(Dashboard!$P$3="Due in 10 days",Q53&gt;=-10,Q53&lt;=0),AND(Dashboard!$P$3="Due in 30 days",Q53&gt;=-30,Q53&lt;=0),AND(Dashboard!$P$3="Overdue 1-60 days",Q53&gt;0,Q53&lt;=60),AND(Dashboard!$P$3="Over 60 days",Q53&gt;60),AND(Dashboard!$P$3="All overdue",Q53&gt;0)),1,0)</f>
        <v>1</v>
      </c>
      <c r="V53" s="1">
        <f t="shared" si="9"/>
        <v>141974436.56</v>
      </c>
      <c r="W53" s="1">
        <f t="shared" si="10"/>
        <v>0</v>
      </c>
      <c r="X53" s="1">
        <f>IF(V53&gt;0,COUNTIF($V$6:V53,"&gt;0"),"")</f>
        <v>48</v>
      </c>
      <c r="Y53" s="1" t="str">
        <f t="shared" si="11"/>
        <v>CAL-prior-048|000048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 t="s">
        <v>28</v>
      </c>
      <c r="B54" s="1" t="s">
        <v>86</v>
      </c>
      <c r="C54" s="1" t="s">
        <v>319</v>
      </c>
      <c r="D54" s="1" t="s">
        <v>168</v>
      </c>
      <c r="E54" s="4">
        <v>45745</v>
      </c>
      <c r="F54" s="4">
        <v>45805</v>
      </c>
      <c r="G54" s="5">
        <v>225591951.72999999</v>
      </c>
      <c r="H54" s="5">
        <v>42183860.890000001</v>
      </c>
      <c r="I54" s="5">
        <v>183408090.84</v>
      </c>
      <c r="J54" s="1" t="s">
        <v>25</v>
      </c>
      <c r="K54" s="1" t="s">
        <v>64</v>
      </c>
      <c r="L54" s="1" t="s">
        <v>65</v>
      </c>
      <c r="M54" s="1" t="s">
        <v>66</v>
      </c>
      <c r="N54" s="6"/>
      <c r="O54" s="6"/>
      <c r="P54" s="7" t="s">
        <v>67</v>
      </c>
      <c r="Q54" s="1">
        <f t="shared" si="6"/>
        <v>-58</v>
      </c>
      <c r="R54" s="1">
        <f>IF(AND(OR(Dashboard!$P$1="All",A54=Dashboard!$P$1),OR(Dashboard!$P$2="All",J54=Dashboard!$P$2)),1,0)</f>
        <v>1</v>
      </c>
      <c r="S54" s="1">
        <f t="shared" si="7"/>
        <v>183408090.84</v>
      </c>
      <c r="T54" s="1">
        <f t="shared" si="8"/>
        <v>0</v>
      </c>
      <c r="U54" s="1">
        <f>IF(OR(Dashboard!$P$3="All",AND(Dashboard!$P$3="Not due",Q54&lt;0),AND(Dashboard!$P$3="Due in 10 days",Q54&gt;=-10,Q54&lt;=0),AND(Dashboard!$P$3="Due in 30 days",Q54&gt;=-30,Q54&lt;=0),AND(Dashboard!$P$3="Overdue 1-60 days",Q54&gt;0,Q54&lt;=60),AND(Dashboard!$P$3="Over 60 days",Q54&gt;60),AND(Dashboard!$P$3="All overdue",Q54&gt;0)),1,0)</f>
        <v>1</v>
      </c>
      <c r="V54" s="1">
        <f t="shared" si="9"/>
        <v>183408090.84</v>
      </c>
      <c r="W54" s="1">
        <f t="shared" si="10"/>
        <v>0</v>
      </c>
      <c r="X54" s="1">
        <f>IF(V54&gt;0,COUNTIF($V$6:V54,"&gt;0"),"")</f>
        <v>49</v>
      </c>
      <c r="Y54" s="1" t="str">
        <f t="shared" si="11"/>
        <v>CAL-prior-049|000049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 t="s">
        <v>28</v>
      </c>
      <c r="B55" s="1" t="s">
        <v>86</v>
      </c>
      <c r="C55" s="1" t="s">
        <v>320</v>
      </c>
      <c r="D55" s="1" t="s">
        <v>170</v>
      </c>
      <c r="E55" s="4">
        <v>45745</v>
      </c>
      <c r="F55" s="4">
        <v>45805</v>
      </c>
      <c r="G55" s="5">
        <v>273206016.06</v>
      </c>
      <c r="H55" s="5">
        <v>29272073.149999999</v>
      </c>
      <c r="I55" s="5">
        <v>243933942.91</v>
      </c>
      <c r="J55" s="1" t="s">
        <v>25</v>
      </c>
      <c r="K55" s="1" t="s">
        <v>64</v>
      </c>
      <c r="L55" s="1" t="s">
        <v>70</v>
      </c>
      <c r="M55" s="1" t="s">
        <v>66</v>
      </c>
      <c r="N55" s="6"/>
      <c r="O55" s="6"/>
      <c r="P55" s="7" t="s">
        <v>67</v>
      </c>
      <c r="Q55" s="1">
        <f t="shared" si="6"/>
        <v>-58</v>
      </c>
      <c r="R55" s="1">
        <f>IF(AND(OR(Dashboard!$P$1="All",A55=Dashboard!$P$1),OR(Dashboard!$P$2="All",J55=Dashboard!$P$2)),1,0)</f>
        <v>1</v>
      </c>
      <c r="S55" s="1">
        <f t="shared" si="7"/>
        <v>243933942.91</v>
      </c>
      <c r="T55" s="1">
        <f t="shared" si="8"/>
        <v>0</v>
      </c>
      <c r="U55" s="1">
        <f>IF(OR(Dashboard!$P$3="All",AND(Dashboard!$P$3="Not due",Q55&lt;0),AND(Dashboard!$P$3="Due in 10 days",Q55&gt;=-10,Q55&lt;=0),AND(Dashboard!$P$3="Due in 30 days",Q55&gt;=-30,Q55&lt;=0),AND(Dashboard!$P$3="Overdue 1-60 days",Q55&gt;0,Q55&lt;=60),AND(Dashboard!$P$3="Over 60 days",Q55&gt;60),AND(Dashboard!$P$3="All overdue",Q55&gt;0)),1,0)</f>
        <v>1</v>
      </c>
      <c r="V55" s="1">
        <f t="shared" si="9"/>
        <v>243933942.91</v>
      </c>
      <c r="W55" s="1">
        <f t="shared" si="10"/>
        <v>0</v>
      </c>
      <c r="X55" s="1">
        <f>IF(V55&gt;0,COUNTIF($V$6:V55,"&gt;0"),"")</f>
        <v>50</v>
      </c>
      <c r="Y55" s="1" t="str">
        <f t="shared" si="11"/>
        <v>CAL-prior-050|000050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 t="s">
        <v>28</v>
      </c>
      <c r="B56" s="1" t="s">
        <v>86</v>
      </c>
      <c r="C56" s="1" t="s">
        <v>321</v>
      </c>
      <c r="D56" s="1" t="s">
        <v>172</v>
      </c>
      <c r="E56" s="4">
        <v>45774</v>
      </c>
      <c r="F56" s="4">
        <v>45804</v>
      </c>
      <c r="G56" s="5">
        <v>391973900.58999997</v>
      </c>
      <c r="H56" s="5">
        <v>73295932.629999995</v>
      </c>
      <c r="I56" s="5">
        <v>318677967.95999998</v>
      </c>
      <c r="J56" s="1" t="s">
        <v>25</v>
      </c>
      <c r="K56" s="1" t="s">
        <v>64</v>
      </c>
      <c r="L56" s="1" t="s">
        <v>73</v>
      </c>
      <c r="M56" s="1" t="s">
        <v>66</v>
      </c>
      <c r="N56" s="6"/>
      <c r="O56" s="6"/>
      <c r="P56" s="7" t="s">
        <v>67</v>
      </c>
      <c r="Q56" s="1">
        <f t="shared" si="6"/>
        <v>-57</v>
      </c>
      <c r="R56" s="1">
        <f>IF(AND(OR(Dashboard!$P$1="All",A56=Dashboard!$P$1),OR(Dashboard!$P$2="All",J56=Dashboard!$P$2)),1,0)</f>
        <v>1</v>
      </c>
      <c r="S56" s="1">
        <f t="shared" si="7"/>
        <v>318677967.95999998</v>
      </c>
      <c r="T56" s="1">
        <f t="shared" si="8"/>
        <v>0</v>
      </c>
      <c r="U56" s="1">
        <f>IF(OR(Dashboard!$P$3="All",AND(Dashboard!$P$3="Not due",Q56&lt;0),AND(Dashboard!$P$3="Due in 10 days",Q56&gt;=-10,Q56&lt;=0),AND(Dashboard!$P$3="Due in 30 days",Q56&gt;=-30,Q56&lt;=0),AND(Dashboard!$P$3="Overdue 1-60 days",Q56&gt;0,Q56&lt;=60),AND(Dashboard!$P$3="Over 60 days",Q56&gt;60),AND(Dashboard!$P$3="All overdue",Q56&gt;0)),1,0)</f>
        <v>1</v>
      </c>
      <c r="V56" s="1">
        <f t="shared" si="9"/>
        <v>318677967.95999998</v>
      </c>
      <c r="W56" s="1">
        <f t="shared" si="10"/>
        <v>0</v>
      </c>
      <c r="X56" s="1">
        <f>IF(V56&gt;0,COUNTIF($V$6:V56,"&gt;0"),"")</f>
        <v>51</v>
      </c>
      <c r="Y56" s="1" t="str">
        <f t="shared" si="11"/>
        <v>CAL-prior-051|000051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 t="s">
        <v>28</v>
      </c>
      <c r="B57" s="1" t="s">
        <v>86</v>
      </c>
      <c r="C57" s="1" t="s">
        <v>322</v>
      </c>
      <c r="D57" s="1" t="s">
        <v>174</v>
      </c>
      <c r="E57" s="4">
        <v>45744</v>
      </c>
      <c r="F57" s="4">
        <v>45804</v>
      </c>
      <c r="G57" s="5">
        <v>259617773.69999999</v>
      </c>
      <c r="H57" s="5">
        <v>70115749.099999994</v>
      </c>
      <c r="I57" s="5">
        <v>189502024.59999999</v>
      </c>
      <c r="J57" s="1" t="s">
        <v>25</v>
      </c>
      <c r="K57" s="1" t="s">
        <v>64</v>
      </c>
      <c r="L57" s="1" t="s">
        <v>76</v>
      </c>
      <c r="M57" s="1" t="s">
        <v>66</v>
      </c>
      <c r="N57" s="6"/>
      <c r="O57" s="6"/>
      <c r="P57" s="7" t="s">
        <v>67</v>
      </c>
      <c r="Q57" s="1">
        <f t="shared" si="6"/>
        <v>-57</v>
      </c>
      <c r="R57" s="1">
        <f>IF(AND(OR(Dashboard!$P$1="All",A57=Dashboard!$P$1),OR(Dashboard!$P$2="All",J57=Dashboard!$P$2)),1,0)</f>
        <v>1</v>
      </c>
      <c r="S57" s="1">
        <f t="shared" si="7"/>
        <v>189502024.59999999</v>
      </c>
      <c r="T57" s="1">
        <f t="shared" si="8"/>
        <v>0</v>
      </c>
      <c r="U57" s="1">
        <f>IF(OR(Dashboard!$P$3="All",AND(Dashboard!$P$3="Not due",Q57&lt;0),AND(Dashboard!$P$3="Due in 10 days",Q57&gt;=-10,Q57&lt;=0),AND(Dashboard!$P$3="Due in 30 days",Q57&gt;=-30,Q57&lt;=0),AND(Dashboard!$P$3="Overdue 1-60 days",Q57&gt;0,Q57&lt;=60),AND(Dashboard!$P$3="Over 60 days",Q57&gt;60),AND(Dashboard!$P$3="All overdue",Q57&gt;0)),1,0)</f>
        <v>1</v>
      </c>
      <c r="V57" s="1">
        <f t="shared" si="9"/>
        <v>189502024.59999999</v>
      </c>
      <c r="W57" s="1">
        <f t="shared" si="10"/>
        <v>0</v>
      </c>
      <c r="X57" s="1">
        <f>IF(V57&gt;0,COUNTIF($V$6:V57,"&gt;0"),"")</f>
        <v>52</v>
      </c>
      <c r="Y57" s="1" t="str">
        <f t="shared" si="11"/>
        <v>CAL-prior-052|000052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 t="s">
        <v>28</v>
      </c>
      <c r="B58" s="1" t="s">
        <v>86</v>
      </c>
      <c r="C58" s="1" t="s">
        <v>323</v>
      </c>
      <c r="D58" s="1" t="s">
        <v>176</v>
      </c>
      <c r="E58" s="4">
        <v>45759</v>
      </c>
      <c r="F58" s="4">
        <v>45804</v>
      </c>
      <c r="G58" s="5">
        <v>258302317.24000001</v>
      </c>
      <c r="H58" s="5">
        <v>27675248.280000001</v>
      </c>
      <c r="I58" s="5">
        <v>230627068.96000001</v>
      </c>
      <c r="J58" s="1" t="s">
        <v>25</v>
      </c>
      <c r="K58" s="1" t="s">
        <v>64</v>
      </c>
      <c r="L58" s="1" t="s">
        <v>65</v>
      </c>
      <c r="M58" s="1" t="s">
        <v>66</v>
      </c>
      <c r="N58" s="6"/>
      <c r="O58" s="6"/>
      <c r="P58" s="7" t="s">
        <v>67</v>
      </c>
      <c r="Q58" s="1">
        <f t="shared" si="6"/>
        <v>-57</v>
      </c>
      <c r="R58" s="1">
        <f>IF(AND(OR(Dashboard!$P$1="All",A58=Dashboard!$P$1),OR(Dashboard!$P$2="All",J58=Dashboard!$P$2)),1,0)</f>
        <v>1</v>
      </c>
      <c r="S58" s="1">
        <f t="shared" si="7"/>
        <v>230627068.96000001</v>
      </c>
      <c r="T58" s="1">
        <f t="shared" si="8"/>
        <v>0</v>
      </c>
      <c r="U58" s="1">
        <f>IF(OR(Dashboard!$P$3="All",AND(Dashboard!$P$3="Not due",Q58&lt;0),AND(Dashboard!$P$3="Due in 10 days",Q58&gt;=-10,Q58&lt;=0),AND(Dashboard!$P$3="Due in 30 days",Q58&gt;=-30,Q58&lt;=0),AND(Dashboard!$P$3="Overdue 1-60 days",Q58&gt;0,Q58&lt;=60),AND(Dashboard!$P$3="Over 60 days",Q58&gt;60),AND(Dashboard!$P$3="All overdue",Q58&gt;0)),1,0)</f>
        <v>1</v>
      </c>
      <c r="V58" s="1">
        <f t="shared" si="9"/>
        <v>230627068.96000001</v>
      </c>
      <c r="W58" s="1">
        <f t="shared" si="10"/>
        <v>0</v>
      </c>
      <c r="X58" s="1">
        <f>IF(V58&gt;0,COUNTIF($V$6:V58,"&gt;0"),"")</f>
        <v>53</v>
      </c>
      <c r="Y58" s="1" t="str">
        <f t="shared" si="11"/>
        <v>CAL-prior-053|000053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 t="s">
        <v>28</v>
      </c>
      <c r="B59" s="1" t="s">
        <v>86</v>
      </c>
      <c r="C59" s="1" t="s">
        <v>324</v>
      </c>
      <c r="D59" s="1" t="s">
        <v>178</v>
      </c>
      <c r="E59" s="4">
        <v>45744</v>
      </c>
      <c r="F59" s="4">
        <v>45804</v>
      </c>
      <c r="G59" s="5">
        <v>365937220.06999999</v>
      </c>
      <c r="H59" s="5">
        <v>68427285.049999997</v>
      </c>
      <c r="I59" s="5">
        <v>297509935.01999998</v>
      </c>
      <c r="J59" s="1" t="s">
        <v>25</v>
      </c>
      <c r="K59" s="1" t="s">
        <v>64</v>
      </c>
      <c r="L59" s="1" t="s">
        <v>70</v>
      </c>
      <c r="M59" s="1" t="s">
        <v>66</v>
      </c>
      <c r="N59" s="6"/>
      <c r="O59" s="6"/>
      <c r="P59" s="7" t="s">
        <v>67</v>
      </c>
      <c r="Q59" s="1">
        <f t="shared" si="6"/>
        <v>-57</v>
      </c>
      <c r="R59" s="1">
        <f>IF(AND(OR(Dashboard!$P$1="All",A59=Dashboard!$P$1),OR(Dashboard!$P$2="All",J59=Dashboard!$P$2)),1,0)</f>
        <v>1</v>
      </c>
      <c r="S59" s="1">
        <f t="shared" si="7"/>
        <v>297509935.01999998</v>
      </c>
      <c r="T59" s="1">
        <f t="shared" si="8"/>
        <v>0</v>
      </c>
      <c r="U59" s="1">
        <f>IF(OR(Dashboard!$P$3="All",AND(Dashboard!$P$3="Not due",Q59&lt;0),AND(Dashboard!$P$3="Due in 10 days",Q59&gt;=-10,Q59&lt;=0),AND(Dashboard!$P$3="Due in 30 days",Q59&gt;=-30,Q59&lt;=0),AND(Dashboard!$P$3="Overdue 1-60 days",Q59&gt;0,Q59&lt;=60),AND(Dashboard!$P$3="Over 60 days",Q59&gt;60),AND(Dashboard!$P$3="All overdue",Q59&gt;0)),1,0)</f>
        <v>1</v>
      </c>
      <c r="V59" s="1">
        <f t="shared" si="9"/>
        <v>297509935.01999998</v>
      </c>
      <c r="W59" s="1">
        <f t="shared" si="10"/>
        <v>0</v>
      </c>
      <c r="X59" s="1">
        <f>IF(V59&gt;0,COUNTIF($V$6:V59,"&gt;0"),"")</f>
        <v>54</v>
      </c>
      <c r="Y59" s="1" t="str">
        <f t="shared" si="11"/>
        <v>CAL-prior-054|000054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 t="s">
        <v>28</v>
      </c>
      <c r="B60" s="1" t="s">
        <v>86</v>
      </c>
      <c r="C60" s="1" t="s">
        <v>325</v>
      </c>
      <c r="D60" s="1" t="s">
        <v>180</v>
      </c>
      <c r="E60" s="4">
        <v>45759</v>
      </c>
      <c r="F60" s="4">
        <v>45804</v>
      </c>
      <c r="G60" s="5">
        <v>335679426.38999999</v>
      </c>
      <c r="H60" s="5">
        <v>62769323.630000003</v>
      </c>
      <c r="I60" s="5">
        <v>272910102.75999999</v>
      </c>
      <c r="J60" s="1" t="s">
        <v>25</v>
      </c>
      <c r="K60" s="1" t="s">
        <v>64</v>
      </c>
      <c r="L60" s="1" t="s">
        <v>73</v>
      </c>
      <c r="M60" s="1" t="s">
        <v>66</v>
      </c>
      <c r="N60" s="6"/>
      <c r="O60" s="6"/>
      <c r="P60" s="7" t="s">
        <v>67</v>
      </c>
      <c r="Q60" s="1">
        <f t="shared" si="6"/>
        <v>-57</v>
      </c>
      <c r="R60" s="1">
        <f>IF(AND(OR(Dashboard!$P$1="All",A60=Dashboard!$P$1),OR(Dashboard!$P$2="All",J60=Dashboard!$P$2)),1,0)</f>
        <v>1</v>
      </c>
      <c r="S60" s="1">
        <f t="shared" si="7"/>
        <v>272910102.75999999</v>
      </c>
      <c r="T60" s="1">
        <f t="shared" si="8"/>
        <v>0</v>
      </c>
      <c r="U60" s="1">
        <f>IF(OR(Dashboard!$P$3="All",AND(Dashboard!$P$3="Not due",Q60&lt;0),AND(Dashboard!$P$3="Due in 10 days",Q60&gt;=-10,Q60&lt;=0),AND(Dashboard!$P$3="Due in 30 days",Q60&gt;=-30,Q60&lt;=0),AND(Dashboard!$P$3="Overdue 1-60 days",Q60&gt;0,Q60&lt;=60),AND(Dashboard!$P$3="Over 60 days",Q60&gt;60),AND(Dashboard!$P$3="All overdue",Q60&gt;0)),1,0)</f>
        <v>1</v>
      </c>
      <c r="V60" s="1">
        <f t="shared" si="9"/>
        <v>272910102.75999999</v>
      </c>
      <c r="W60" s="1">
        <f t="shared" si="10"/>
        <v>0</v>
      </c>
      <c r="X60" s="1">
        <f>IF(V60&gt;0,COUNTIF($V$6:V60,"&gt;0"),"")</f>
        <v>55</v>
      </c>
      <c r="Y60" s="1" t="str">
        <f t="shared" si="11"/>
        <v>CAL-prior-055|000055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 t="s">
        <v>28</v>
      </c>
      <c r="B61" s="1" t="s">
        <v>86</v>
      </c>
      <c r="C61" s="1" t="s">
        <v>326</v>
      </c>
      <c r="D61" s="1" t="s">
        <v>182</v>
      </c>
      <c r="E61" s="4">
        <v>45774</v>
      </c>
      <c r="F61" s="4">
        <v>45804</v>
      </c>
      <c r="G61" s="5">
        <v>412249713.38999999</v>
      </c>
      <c r="H61" s="5">
        <v>44169612.149999999</v>
      </c>
      <c r="I61" s="5">
        <v>368080101.24000001</v>
      </c>
      <c r="J61" s="1" t="s">
        <v>25</v>
      </c>
      <c r="K61" s="1" t="s">
        <v>64</v>
      </c>
      <c r="L61" s="1" t="s">
        <v>76</v>
      </c>
      <c r="M61" s="1" t="s">
        <v>66</v>
      </c>
      <c r="N61" s="6"/>
      <c r="O61" s="6"/>
      <c r="P61" s="7" t="s">
        <v>67</v>
      </c>
      <c r="Q61" s="1">
        <f t="shared" si="6"/>
        <v>-57</v>
      </c>
      <c r="R61" s="1">
        <f>IF(AND(OR(Dashboard!$P$1="All",A61=Dashboard!$P$1),OR(Dashboard!$P$2="All",J61=Dashboard!$P$2)),1,0)</f>
        <v>1</v>
      </c>
      <c r="S61" s="1">
        <f t="shared" si="7"/>
        <v>368080101.24000001</v>
      </c>
      <c r="T61" s="1">
        <f t="shared" si="8"/>
        <v>0</v>
      </c>
      <c r="U61" s="1">
        <f>IF(OR(Dashboard!$P$3="All",AND(Dashboard!$P$3="Not due",Q61&lt;0),AND(Dashboard!$P$3="Due in 10 days",Q61&gt;=-10,Q61&lt;=0),AND(Dashboard!$P$3="Due in 30 days",Q61&gt;=-30,Q61&lt;=0),AND(Dashboard!$P$3="Overdue 1-60 days",Q61&gt;0,Q61&lt;=60),AND(Dashboard!$P$3="Over 60 days",Q61&gt;60),AND(Dashboard!$P$3="All overdue",Q61&gt;0)),1,0)</f>
        <v>1</v>
      </c>
      <c r="V61" s="1">
        <f t="shared" si="9"/>
        <v>368080101.24000001</v>
      </c>
      <c r="W61" s="1">
        <f t="shared" si="10"/>
        <v>0</v>
      </c>
      <c r="X61" s="1">
        <f>IF(V61&gt;0,COUNTIF($V$6:V61,"&gt;0"),"")</f>
        <v>56</v>
      </c>
      <c r="Y61" s="1" t="str">
        <f t="shared" si="11"/>
        <v>CAL-prior-056|000056</v>
      </c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 t="s">
        <v>28</v>
      </c>
      <c r="B62" s="1" t="s">
        <v>86</v>
      </c>
      <c r="C62" s="1" t="s">
        <v>327</v>
      </c>
      <c r="D62" s="1" t="s">
        <v>184</v>
      </c>
      <c r="E62" s="4">
        <v>45774</v>
      </c>
      <c r="F62" s="4">
        <v>45804</v>
      </c>
      <c r="G62" s="5">
        <v>430047671.80000001</v>
      </c>
      <c r="H62" s="5">
        <v>116144261.73</v>
      </c>
      <c r="I62" s="5">
        <v>313903410.06999999</v>
      </c>
      <c r="J62" s="1" t="s">
        <v>25</v>
      </c>
      <c r="K62" s="1" t="s">
        <v>64</v>
      </c>
      <c r="L62" s="1" t="s">
        <v>65</v>
      </c>
      <c r="M62" s="1" t="s">
        <v>66</v>
      </c>
      <c r="N62" s="6"/>
      <c r="O62" s="6"/>
      <c r="P62" s="7" t="s">
        <v>67</v>
      </c>
      <c r="Q62" s="1">
        <f t="shared" si="6"/>
        <v>-57</v>
      </c>
      <c r="R62" s="1">
        <f>IF(AND(OR(Dashboard!$P$1="All",A62=Dashboard!$P$1),OR(Dashboard!$P$2="All",J62=Dashboard!$P$2)),1,0)</f>
        <v>1</v>
      </c>
      <c r="S62" s="1">
        <f t="shared" si="7"/>
        <v>313903410.06999999</v>
      </c>
      <c r="T62" s="1">
        <f t="shared" si="8"/>
        <v>0</v>
      </c>
      <c r="U62" s="1">
        <f>IF(OR(Dashboard!$P$3="All",AND(Dashboard!$P$3="Not due",Q62&lt;0),AND(Dashboard!$P$3="Due in 10 days",Q62&gt;=-10,Q62&lt;=0),AND(Dashboard!$P$3="Due in 30 days",Q62&gt;=-30,Q62&lt;=0),AND(Dashboard!$P$3="Overdue 1-60 days",Q62&gt;0,Q62&lt;=60),AND(Dashboard!$P$3="Over 60 days",Q62&gt;60),AND(Dashboard!$P$3="All overdue",Q62&gt;0)),1,0)</f>
        <v>1</v>
      </c>
      <c r="V62" s="1">
        <f t="shared" si="9"/>
        <v>313903410.06999999</v>
      </c>
      <c r="W62" s="1">
        <f t="shared" si="10"/>
        <v>0</v>
      </c>
      <c r="X62" s="1">
        <f>IF(V62&gt;0,COUNTIF($V$6:V62,"&gt;0"),"")</f>
        <v>57</v>
      </c>
      <c r="Y62" s="1" t="str">
        <f t="shared" si="11"/>
        <v>CAL-prior-057|000057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 t="s">
        <v>28</v>
      </c>
      <c r="B63" s="1" t="s">
        <v>86</v>
      </c>
      <c r="C63" s="1" t="s">
        <v>328</v>
      </c>
      <c r="D63" s="1" t="s">
        <v>186</v>
      </c>
      <c r="E63" s="4">
        <v>45774</v>
      </c>
      <c r="F63" s="4">
        <v>45804</v>
      </c>
      <c r="G63" s="5">
        <v>335491887.19</v>
      </c>
      <c r="H63" s="5">
        <v>35945559.340000004</v>
      </c>
      <c r="I63" s="5">
        <v>299546327.85000002</v>
      </c>
      <c r="J63" s="1" t="s">
        <v>25</v>
      </c>
      <c r="K63" s="1" t="s">
        <v>64</v>
      </c>
      <c r="L63" s="1" t="s">
        <v>70</v>
      </c>
      <c r="M63" s="1" t="s">
        <v>66</v>
      </c>
      <c r="N63" s="6"/>
      <c r="O63" s="6"/>
      <c r="P63" s="7" t="s">
        <v>67</v>
      </c>
      <c r="Q63" s="1">
        <f t="shared" si="6"/>
        <v>-57</v>
      </c>
      <c r="R63" s="1">
        <f>IF(AND(OR(Dashboard!$P$1="All",A63=Dashboard!$P$1),OR(Dashboard!$P$2="All",J63=Dashboard!$P$2)),1,0)</f>
        <v>1</v>
      </c>
      <c r="S63" s="1">
        <f t="shared" si="7"/>
        <v>299546327.85000002</v>
      </c>
      <c r="T63" s="1">
        <f t="shared" si="8"/>
        <v>0</v>
      </c>
      <c r="U63" s="1">
        <f>IF(OR(Dashboard!$P$3="All",AND(Dashboard!$P$3="Not due",Q63&lt;0),AND(Dashboard!$P$3="Due in 10 days",Q63&gt;=-10,Q63&lt;=0),AND(Dashboard!$P$3="Due in 30 days",Q63&gt;=-30,Q63&lt;=0),AND(Dashboard!$P$3="Overdue 1-60 days",Q63&gt;0,Q63&lt;=60),AND(Dashboard!$P$3="Over 60 days",Q63&gt;60),AND(Dashboard!$P$3="All overdue",Q63&gt;0)),1,0)</f>
        <v>1</v>
      </c>
      <c r="V63" s="1">
        <f t="shared" si="9"/>
        <v>299546327.85000002</v>
      </c>
      <c r="W63" s="1">
        <f t="shared" si="10"/>
        <v>0</v>
      </c>
      <c r="X63" s="1">
        <f>IF(V63&gt;0,COUNTIF($V$6:V63,"&gt;0"),"")</f>
        <v>58</v>
      </c>
      <c r="Y63" s="1" t="str">
        <f t="shared" si="11"/>
        <v>CAL-prior-058|000058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 t="s">
        <v>28</v>
      </c>
      <c r="B64" s="1" t="s">
        <v>86</v>
      </c>
      <c r="C64" s="1" t="s">
        <v>329</v>
      </c>
      <c r="D64" s="1" t="s">
        <v>188</v>
      </c>
      <c r="E64" s="4">
        <v>45774</v>
      </c>
      <c r="F64" s="4">
        <v>45804</v>
      </c>
      <c r="G64" s="5">
        <v>264215916.86000001</v>
      </c>
      <c r="H64" s="5">
        <v>49406228.359999999</v>
      </c>
      <c r="I64" s="5">
        <v>214809688.5</v>
      </c>
      <c r="J64" s="1" t="s">
        <v>25</v>
      </c>
      <c r="K64" s="1" t="s">
        <v>64</v>
      </c>
      <c r="L64" s="1" t="s">
        <v>73</v>
      </c>
      <c r="M64" s="1" t="s">
        <v>66</v>
      </c>
      <c r="N64" s="6"/>
      <c r="O64" s="6"/>
      <c r="P64" s="7" t="s">
        <v>67</v>
      </c>
      <c r="Q64" s="1">
        <f t="shared" si="6"/>
        <v>-57</v>
      </c>
      <c r="R64" s="1">
        <f>IF(AND(OR(Dashboard!$P$1="All",A64=Dashboard!$P$1),OR(Dashboard!$P$2="All",J64=Dashboard!$P$2)),1,0)</f>
        <v>1</v>
      </c>
      <c r="S64" s="1">
        <f t="shared" si="7"/>
        <v>214809688.5</v>
      </c>
      <c r="T64" s="1">
        <f t="shared" si="8"/>
        <v>0</v>
      </c>
      <c r="U64" s="1">
        <f>IF(OR(Dashboard!$P$3="All",AND(Dashboard!$P$3="Not due",Q64&lt;0),AND(Dashboard!$P$3="Due in 10 days",Q64&gt;=-10,Q64&lt;=0),AND(Dashboard!$P$3="Due in 30 days",Q64&gt;=-30,Q64&lt;=0),AND(Dashboard!$P$3="Overdue 1-60 days",Q64&gt;0,Q64&lt;=60),AND(Dashboard!$P$3="Over 60 days",Q64&gt;60),AND(Dashboard!$P$3="All overdue",Q64&gt;0)),1,0)</f>
        <v>1</v>
      </c>
      <c r="V64" s="1">
        <f t="shared" si="9"/>
        <v>214809688.5</v>
      </c>
      <c r="W64" s="1">
        <f t="shared" si="10"/>
        <v>0</v>
      </c>
      <c r="X64" s="1">
        <f>IF(V64&gt;0,COUNTIF($V$6:V64,"&gt;0"),"")</f>
        <v>59</v>
      </c>
      <c r="Y64" s="1" t="str">
        <f t="shared" si="11"/>
        <v>CAL-prior-059|000059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 t="s">
        <v>28</v>
      </c>
      <c r="B65" s="1" t="s">
        <v>86</v>
      </c>
      <c r="C65" s="1" t="s">
        <v>330</v>
      </c>
      <c r="D65" s="1" t="s">
        <v>190</v>
      </c>
      <c r="E65" s="4">
        <v>45774</v>
      </c>
      <c r="F65" s="4">
        <v>45804</v>
      </c>
      <c r="G65" s="5">
        <v>343460635.93000001</v>
      </c>
      <c r="H65" s="5">
        <v>92759441.819999993</v>
      </c>
      <c r="I65" s="5">
        <v>250701194.11000001</v>
      </c>
      <c r="J65" s="1" t="s">
        <v>25</v>
      </c>
      <c r="K65" s="1" t="s">
        <v>64</v>
      </c>
      <c r="L65" s="1" t="s">
        <v>76</v>
      </c>
      <c r="M65" s="1" t="s">
        <v>66</v>
      </c>
      <c r="N65" s="6"/>
      <c r="O65" s="6"/>
      <c r="P65" s="7" t="s">
        <v>67</v>
      </c>
      <c r="Q65" s="1">
        <f t="shared" si="6"/>
        <v>-57</v>
      </c>
      <c r="R65" s="1">
        <f>IF(AND(OR(Dashboard!$P$1="All",A65=Dashboard!$P$1),OR(Dashboard!$P$2="All",J65=Dashboard!$P$2)),1,0)</f>
        <v>1</v>
      </c>
      <c r="S65" s="1">
        <f t="shared" si="7"/>
        <v>250701194.11000001</v>
      </c>
      <c r="T65" s="1">
        <f t="shared" si="8"/>
        <v>0</v>
      </c>
      <c r="U65" s="1">
        <f>IF(OR(Dashboard!$P$3="All",AND(Dashboard!$P$3="Not due",Q65&lt;0),AND(Dashboard!$P$3="Due in 10 days",Q65&gt;=-10,Q65&lt;=0),AND(Dashboard!$P$3="Due in 30 days",Q65&gt;=-30,Q65&lt;=0),AND(Dashboard!$P$3="Overdue 1-60 days",Q65&gt;0,Q65&lt;=60),AND(Dashboard!$P$3="Over 60 days",Q65&gt;60),AND(Dashboard!$P$3="All overdue",Q65&gt;0)),1,0)</f>
        <v>1</v>
      </c>
      <c r="V65" s="1">
        <f t="shared" si="9"/>
        <v>250701194.11000001</v>
      </c>
      <c r="W65" s="1">
        <f t="shared" si="10"/>
        <v>0</v>
      </c>
      <c r="X65" s="1">
        <f>IF(V65&gt;0,COUNTIF($V$6:V65,"&gt;0"),"")</f>
        <v>60</v>
      </c>
      <c r="Y65" s="1" t="str">
        <f t="shared" si="11"/>
        <v>CAL-prior-060|000060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 t="s">
        <v>28</v>
      </c>
      <c r="B66" s="1" t="s">
        <v>86</v>
      </c>
      <c r="C66" s="1" t="s">
        <v>331</v>
      </c>
      <c r="D66" s="1" t="s">
        <v>192</v>
      </c>
      <c r="E66" s="4">
        <v>45744</v>
      </c>
      <c r="F66" s="4">
        <v>45804</v>
      </c>
      <c r="G66" s="5">
        <v>302993490.52999997</v>
      </c>
      <c r="H66" s="5">
        <v>56657319.369999997</v>
      </c>
      <c r="I66" s="5">
        <v>246336171.16</v>
      </c>
      <c r="J66" s="1" t="s">
        <v>25</v>
      </c>
      <c r="K66" s="1" t="s">
        <v>64</v>
      </c>
      <c r="L66" s="1" t="s">
        <v>65</v>
      </c>
      <c r="M66" s="1" t="s">
        <v>66</v>
      </c>
      <c r="N66" s="6"/>
      <c r="O66" s="6"/>
      <c r="P66" s="7" t="s">
        <v>67</v>
      </c>
      <c r="Q66" s="1">
        <f t="shared" si="6"/>
        <v>-57</v>
      </c>
      <c r="R66" s="1">
        <f>IF(AND(OR(Dashboard!$P$1="All",A66=Dashboard!$P$1),OR(Dashboard!$P$2="All",J66=Dashboard!$P$2)),1,0)</f>
        <v>1</v>
      </c>
      <c r="S66" s="1">
        <f t="shared" si="7"/>
        <v>246336171.16</v>
      </c>
      <c r="T66" s="1">
        <f t="shared" si="8"/>
        <v>0</v>
      </c>
      <c r="U66" s="1">
        <f>IF(OR(Dashboard!$P$3="All",AND(Dashboard!$P$3="Not due",Q66&lt;0),AND(Dashboard!$P$3="Due in 10 days",Q66&gt;=-10,Q66&lt;=0),AND(Dashboard!$P$3="Due in 30 days",Q66&gt;=-30,Q66&lt;=0),AND(Dashboard!$P$3="Overdue 1-60 days",Q66&gt;0,Q66&lt;=60),AND(Dashboard!$P$3="Over 60 days",Q66&gt;60),AND(Dashboard!$P$3="All overdue",Q66&gt;0)),1,0)</f>
        <v>1</v>
      </c>
      <c r="V66" s="1">
        <f t="shared" si="9"/>
        <v>246336171.16</v>
      </c>
      <c r="W66" s="1">
        <f t="shared" si="10"/>
        <v>0</v>
      </c>
      <c r="X66" s="1">
        <f>IF(V66&gt;0,COUNTIF($V$6:V66,"&gt;0"),"")</f>
        <v>61</v>
      </c>
      <c r="Y66" s="1" t="str">
        <f t="shared" si="11"/>
        <v>CAL-prior-061|000061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 t="s">
        <v>28</v>
      </c>
      <c r="B67" s="1" t="s">
        <v>86</v>
      </c>
      <c r="C67" s="1" t="s">
        <v>332</v>
      </c>
      <c r="D67" s="1" t="s">
        <v>194</v>
      </c>
      <c r="E67" s="4">
        <v>45759</v>
      </c>
      <c r="F67" s="4">
        <v>45804</v>
      </c>
      <c r="G67" s="5">
        <v>205849964.63999999</v>
      </c>
      <c r="H67" s="5">
        <v>55594516</v>
      </c>
      <c r="I67" s="5">
        <v>150255448.63999999</v>
      </c>
      <c r="J67" s="1" t="s">
        <v>25</v>
      </c>
      <c r="K67" s="1" t="s">
        <v>64</v>
      </c>
      <c r="L67" s="1" t="s">
        <v>70</v>
      </c>
      <c r="M67" s="1" t="s">
        <v>66</v>
      </c>
      <c r="N67" s="6"/>
      <c r="O67" s="6"/>
      <c r="P67" s="7" t="s">
        <v>67</v>
      </c>
      <c r="Q67" s="1">
        <f t="shared" si="6"/>
        <v>-57</v>
      </c>
      <c r="R67" s="1">
        <f>IF(AND(OR(Dashboard!$P$1="All",A67=Dashboard!$P$1),OR(Dashboard!$P$2="All",J67=Dashboard!$P$2)),1,0)</f>
        <v>1</v>
      </c>
      <c r="S67" s="1">
        <f t="shared" si="7"/>
        <v>150255448.63999999</v>
      </c>
      <c r="T67" s="1">
        <f t="shared" si="8"/>
        <v>0</v>
      </c>
      <c r="U67" s="1">
        <f>IF(OR(Dashboard!$P$3="All",AND(Dashboard!$P$3="Not due",Q67&lt;0),AND(Dashboard!$P$3="Due in 10 days",Q67&gt;=-10,Q67&lt;=0),AND(Dashboard!$P$3="Due in 30 days",Q67&gt;=-30,Q67&lt;=0),AND(Dashboard!$P$3="Overdue 1-60 days",Q67&gt;0,Q67&lt;=60),AND(Dashboard!$P$3="Over 60 days",Q67&gt;60),AND(Dashboard!$P$3="All overdue",Q67&gt;0)),1,0)</f>
        <v>1</v>
      </c>
      <c r="V67" s="1">
        <f t="shared" si="9"/>
        <v>150255448.63999999</v>
      </c>
      <c r="W67" s="1">
        <f t="shared" si="10"/>
        <v>0</v>
      </c>
      <c r="X67" s="1">
        <f>IF(V67&gt;0,COUNTIF($V$6:V67,"&gt;0"),"")</f>
        <v>62</v>
      </c>
      <c r="Y67" s="1" t="str">
        <f t="shared" si="11"/>
        <v>CAL-prior-062|000062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 t="s">
        <v>28</v>
      </c>
      <c r="B68" s="1" t="s">
        <v>86</v>
      </c>
      <c r="C68" s="1" t="s">
        <v>333</v>
      </c>
      <c r="D68" s="1" t="s">
        <v>196</v>
      </c>
      <c r="E68" s="4">
        <v>45759</v>
      </c>
      <c r="F68" s="4">
        <v>45804</v>
      </c>
      <c r="G68" s="5">
        <v>525519647.14999998</v>
      </c>
      <c r="H68" s="5">
        <v>141928663.83000001</v>
      </c>
      <c r="I68" s="5">
        <v>383590983.31999999</v>
      </c>
      <c r="J68" s="1" t="s">
        <v>25</v>
      </c>
      <c r="K68" s="1" t="s">
        <v>64</v>
      </c>
      <c r="L68" s="1" t="s">
        <v>73</v>
      </c>
      <c r="M68" s="1" t="s">
        <v>66</v>
      </c>
      <c r="N68" s="6"/>
      <c r="O68" s="6"/>
      <c r="P68" s="7" t="s">
        <v>67</v>
      </c>
      <c r="Q68" s="1">
        <f t="shared" si="6"/>
        <v>-57</v>
      </c>
      <c r="R68" s="1">
        <f>IF(AND(OR(Dashboard!$P$1="All",A68=Dashboard!$P$1),OR(Dashboard!$P$2="All",J68=Dashboard!$P$2)),1,0)</f>
        <v>1</v>
      </c>
      <c r="S68" s="1">
        <f t="shared" si="7"/>
        <v>383590983.31999999</v>
      </c>
      <c r="T68" s="1">
        <f t="shared" si="8"/>
        <v>0</v>
      </c>
      <c r="U68" s="1">
        <f>IF(OR(Dashboard!$P$3="All",AND(Dashboard!$P$3="Not due",Q68&lt;0),AND(Dashboard!$P$3="Due in 10 days",Q68&gt;=-10,Q68&lt;=0),AND(Dashboard!$P$3="Due in 30 days",Q68&gt;=-30,Q68&lt;=0),AND(Dashboard!$P$3="Overdue 1-60 days",Q68&gt;0,Q68&lt;=60),AND(Dashboard!$P$3="Over 60 days",Q68&gt;60),AND(Dashboard!$P$3="All overdue",Q68&gt;0)),1,0)</f>
        <v>1</v>
      </c>
      <c r="V68" s="1">
        <f t="shared" si="9"/>
        <v>383590983.31999999</v>
      </c>
      <c r="W68" s="1">
        <f t="shared" si="10"/>
        <v>0</v>
      </c>
      <c r="X68" s="1">
        <f>IF(V68&gt;0,COUNTIF($V$6:V68,"&gt;0"),"")</f>
        <v>63</v>
      </c>
      <c r="Y68" s="1" t="str">
        <f t="shared" si="11"/>
        <v>CAL-prior-063|000063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 t="s">
        <v>28</v>
      </c>
      <c r="B69" s="1" t="s">
        <v>86</v>
      </c>
      <c r="C69" s="1" t="s">
        <v>334</v>
      </c>
      <c r="D69" s="1" t="s">
        <v>198</v>
      </c>
      <c r="E69" s="4">
        <v>45744</v>
      </c>
      <c r="F69" s="4">
        <v>45804</v>
      </c>
      <c r="G69" s="5">
        <v>289804021.41000003</v>
      </c>
      <c r="H69" s="5">
        <v>54190995.869999997</v>
      </c>
      <c r="I69" s="5">
        <v>235613025.53999999</v>
      </c>
      <c r="J69" s="1" t="s">
        <v>25</v>
      </c>
      <c r="K69" s="1" t="s">
        <v>64</v>
      </c>
      <c r="L69" s="1" t="s">
        <v>76</v>
      </c>
      <c r="M69" s="1" t="s">
        <v>66</v>
      </c>
      <c r="N69" s="6"/>
      <c r="O69" s="6"/>
      <c r="P69" s="7" t="s">
        <v>67</v>
      </c>
      <c r="Q69" s="1">
        <f t="shared" si="6"/>
        <v>-57</v>
      </c>
      <c r="R69" s="1">
        <f>IF(AND(OR(Dashboard!$P$1="All",A69=Dashboard!$P$1),OR(Dashboard!$P$2="All",J69=Dashboard!$P$2)),1,0)</f>
        <v>1</v>
      </c>
      <c r="S69" s="1">
        <f t="shared" si="7"/>
        <v>235613025.53999999</v>
      </c>
      <c r="T69" s="1">
        <f t="shared" si="8"/>
        <v>0</v>
      </c>
      <c r="U69" s="1">
        <f>IF(OR(Dashboard!$P$3="All",AND(Dashboard!$P$3="Not due",Q69&lt;0),AND(Dashboard!$P$3="Due in 10 days",Q69&gt;=-10,Q69&lt;=0),AND(Dashboard!$P$3="Due in 30 days",Q69&gt;=-30,Q69&lt;=0),AND(Dashboard!$P$3="Overdue 1-60 days",Q69&gt;0,Q69&lt;=60),AND(Dashboard!$P$3="Over 60 days",Q69&gt;60),AND(Dashboard!$P$3="All overdue",Q69&gt;0)),1,0)</f>
        <v>1</v>
      </c>
      <c r="V69" s="1">
        <f t="shared" si="9"/>
        <v>235613025.53999999</v>
      </c>
      <c r="W69" s="1">
        <f t="shared" si="10"/>
        <v>0</v>
      </c>
      <c r="X69" s="1">
        <f>IF(V69&gt;0,COUNTIF($V$6:V69,"&gt;0"),"")</f>
        <v>64</v>
      </c>
      <c r="Y69" s="1" t="str">
        <f t="shared" si="11"/>
        <v>CAL-prior-064|000064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 t="s">
        <v>28</v>
      </c>
      <c r="B70" s="1" t="s">
        <v>86</v>
      </c>
      <c r="C70" s="1" t="s">
        <v>335</v>
      </c>
      <c r="D70" s="1" t="s">
        <v>200</v>
      </c>
      <c r="E70" s="4">
        <v>45759</v>
      </c>
      <c r="F70" s="4">
        <v>45804</v>
      </c>
      <c r="G70" s="5">
        <v>198607209.78999999</v>
      </c>
      <c r="H70" s="5">
        <v>53638443.520000003</v>
      </c>
      <c r="I70" s="5">
        <v>144968766.27000001</v>
      </c>
      <c r="J70" s="1" t="s">
        <v>25</v>
      </c>
      <c r="K70" s="1" t="s">
        <v>64</v>
      </c>
      <c r="L70" s="1" t="s">
        <v>65</v>
      </c>
      <c r="M70" s="1" t="s">
        <v>66</v>
      </c>
      <c r="N70" s="6"/>
      <c r="O70" s="6"/>
      <c r="P70" s="7" t="s">
        <v>67</v>
      </c>
      <c r="Q70" s="1">
        <f t="shared" ref="Q70:Q85" si="12">IF(ISNUMBER(F70),$D$3-F70,"")</f>
        <v>-57</v>
      </c>
      <c r="R70" s="1">
        <f>IF(AND(OR(Dashboard!$P$1="All",A70=Dashboard!$P$1),OR(Dashboard!$P$2="All",J70=Dashboard!$P$2)),1,0)</f>
        <v>1</v>
      </c>
      <c r="S70" s="1">
        <f t="shared" ref="S70:S85" si="13">I70*R70</f>
        <v>144968766.27000001</v>
      </c>
      <c r="T70" s="1">
        <f t="shared" ref="T70:T85" si="14">IF(AND(ISNUMBER(Q70),Q70&gt;0),S70,0)</f>
        <v>0</v>
      </c>
      <c r="U70" s="1">
        <f>IF(OR(Dashboard!$P$3="All",AND(Dashboard!$P$3="Not due",Q70&lt;0),AND(Dashboard!$P$3="Due in 10 days",Q70&gt;=-10,Q70&lt;=0),AND(Dashboard!$P$3="Due in 30 days",Q70&gt;=-30,Q70&lt;=0),AND(Dashboard!$P$3="Overdue 1-60 days",Q70&gt;0,Q70&lt;=60),AND(Dashboard!$P$3="Over 60 days",Q70&gt;60),AND(Dashboard!$P$3="All overdue",Q70&gt;0)),1,0)</f>
        <v>1</v>
      </c>
      <c r="V70" s="1">
        <f t="shared" ref="V70:V85" si="15">S70*U70</f>
        <v>144968766.27000001</v>
      </c>
      <c r="W70" s="1">
        <f t="shared" ref="W70:W85" si="16">IF(Q70&gt;0,T70*Q70,0)</f>
        <v>0</v>
      </c>
      <c r="X70" s="1">
        <f>IF(V70&gt;0,COUNTIF($V$6:V70,"&gt;0"),"")</f>
        <v>65</v>
      </c>
      <c r="Y70" s="1" t="str">
        <f t="shared" ref="Y70:Y85" si="17">C70&amp;"|"&amp;D70</f>
        <v>CAL-prior-065|000065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 t="s">
        <v>28</v>
      </c>
      <c r="B71" s="1" t="s">
        <v>86</v>
      </c>
      <c r="C71" s="1" t="s">
        <v>336</v>
      </c>
      <c r="D71" s="1" t="s">
        <v>202</v>
      </c>
      <c r="E71" s="4">
        <v>45744</v>
      </c>
      <c r="F71" s="4">
        <v>45804</v>
      </c>
      <c r="G71" s="5">
        <v>3287814374.29</v>
      </c>
      <c r="H71" s="5">
        <v>887949867.50999999</v>
      </c>
      <c r="I71" s="5">
        <v>2399864506.7800002</v>
      </c>
      <c r="J71" s="1" t="s">
        <v>27</v>
      </c>
      <c r="K71" s="1" t="s">
        <v>64</v>
      </c>
      <c r="L71" s="1" t="s">
        <v>70</v>
      </c>
      <c r="M71" s="1" t="s">
        <v>66</v>
      </c>
      <c r="N71" s="6"/>
      <c r="O71" s="6"/>
      <c r="P71" s="7" t="s">
        <v>67</v>
      </c>
      <c r="Q71" s="1">
        <f t="shared" si="12"/>
        <v>-57</v>
      </c>
      <c r="R71" s="1">
        <f>IF(AND(OR(Dashboard!$P$1="All",A71=Dashboard!$P$1),OR(Dashboard!$P$2="All",J71=Dashboard!$P$2)),1,0)</f>
        <v>1</v>
      </c>
      <c r="S71" s="1">
        <f t="shared" si="13"/>
        <v>2399864506.7800002</v>
      </c>
      <c r="T71" s="1">
        <f t="shared" si="14"/>
        <v>0</v>
      </c>
      <c r="U71" s="1">
        <f>IF(OR(Dashboard!$P$3="All",AND(Dashboard!$P$3="Not due",Q71&lt;0),AND(Dashboard!$P$3="Due in 10 days",Q71&gt;=-10,Q71&lt;=0),AND(Dashboard!$P$3="Due in 30 days",Q71&gt;=-30,Q71&lt;=0),AND(Dashboard!$P$3="Overdue 1-60 days",Q71&gt;0,Q71&lt;=60),AND(Dashboard!$P$3="Over 60 days",Q71&gt;60),AND(Dashboard!$P$3="All overdue",Q71&gt;0)),1,0)</f>
        <v>1</v>
      </c>
      <c r="V71" s="1">
        <f t="shared" si="15"/>
        <v>2399864506.7800002</v>
      </c>
      <c r="W71" s="1">
        <f t="shared" si="16"/>
        <v>0</v>
      </c>
      <c r="X71" s="1">
        <f>IF(V71&gt;0,COUNTIF($V$6:V71,"&gt;0"),"")</f>
        <v>66</v>
      </c>
      <c r="Y71" s="1" t="str">
        <f t="shared" si="17"/>
        <v>CAL-prior-066|000066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 t="s">
        <v>28</v>
      </c>
      <c r="B72" s="1" t="s">
        <v>86</v>
      </c>
      <c r="C72" s="1" t="s">
        <v>337</v>
      </c>
      <c r="D72" s="1" t="s">
        <v>204</v>
      </c>
      <c r="E72" s="4">
        <v>45759</v>
      </c>
      <c r="F72" s="4">
        <v>45804</v>
      </c>
      <c r="G72" s="5">
        <v>2853607573.0500002</v>
      </c>
      <c r="H72" s="5">
        <v>770682337.25</v>
      </c>
      <c r="I72" s="5">
        <v>2082925235.8</v>
      </c>
      <c r="J72" s="1" t="s">
        <v>27</v>
      </c>
      <c r="K72" s="1" t="s">
        <v>64</v>
      </c>
      <c r="L72" s="1" t="s">
        <v>73</v>
      </c>
      <c r="M72" s="1" t="s">
        <v>66</v>
      </c>
      <c r="N72" s="6"/>
      <c r="O72" s="6"/>
      <c r="P72" s="7" t="s">
        <v>67</v>
      </c>
      <c r="Q72" s="1">
        <f t="shared" si="12"/>
        <v>-57</v>
      </c>
      <c r="R72" s="1">
        <f>IF(AND(OR(Dashboard!$P$1="All",A72=Dashboard!$P$1),OR(Dashboard!$P$2="All",J72=Dashboard!$P$2)),1,0)</f>
        <v>1</v>
      </c>
      <c r="S72" s="1">
        <f t="shared" si="13"/>
        <v>2082925235.8</v>
      </c>
      <c r="T72" s="1">
        <f t="shared" si="14"/>
        <v>0</v>
      </c>
      <c r="U72" s="1">
        <f>IF(OR(Dashboard!$P$3="All",AND(Dashboard!$P$3="Not due",Q72&lt;0),AND(Dashboard!$P$3="Due in 10 days",Q72&gt;=-10,Q72&lt;=0),AND(Dashboard!$P$3="Due in 30 days",Q72&gt;=-30,Q72&lt;=0),AND(Dashboard!$P$3="Overdue 1-60 days",Q72&gt;0,Q72&lt;=60),AND(Dashboard!$P$3="Over 60 days",Q72&gt;60),AND(Dashboard!$P$3="All overdue",Q72&gt;0)),1,0)</f>
        <v>1</v>
      </c>
      <c r="V72" s="1">
        <f t="shared" si="15"/>
        <v>2082925235.8</v>
      </c>
      <c r="W72" s="1">
        <f t="shared" si="16"/>
        <v>0</v>
      </c>
      <c r="X72" s="1">
        <f>IF(V72&gt;0,COUNTIF($V$6:V72,"&gt;0"),"")</f>
        <v>67</v>
      </c>
      <c r="Y72" s="1" t="str">
        <f t="shared" si="17"/>
        <v>CAL-prior-067|000067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 t="s">
        <v>28</v>
      </c>
      <c r="B73" s="1" t="s">
        <v>86</v>
      </c>
      <c r="C73" s="1" t="s">
        <v>338</v>
      </c>
      <c r="D73" s="1" t="s">
        <v>206</v>
      </c>
      <c r="E73" s="4">
        <v>45774</v>
      </c>
      <c r="F73" s="4">
        <v>45804</v>
      </c>
      <c r="G73" s="5">
        <v>1973788410.3699999</v>
      </c>
      <c r="H73" s="5">
        <v>533066942.94999999</v>
      </c>
      <c r="I73" s="5">
        <v>1440721467.4200001</v>
      </c>
      <c r="J73" s="1" t="s">
        <v>27</v>
      </c>
      <c r="K73" s="1" t="s">
        <v>64</v>
      </c>
      <c r="L73" s="1" t="s">
        <v>76</v>
      </c>
      <c r="M73" s="1" t="s">
        <v>66</v>
      </c>
      <c r="N73" s="6"/>
      <c r="O73" s="6"/>
      <c r="P73" s="7" t="s">
        <v>67</v>
      </c>
      <c r="Q73" s="1">
        <f t="shared" si="12"/>
        <v>-57</v>
      </c>
      <c r="R73" s="1">
        <f>IF(AND(OR(Dashboard!$P$1="All",A73=Dashboard!$P$1),OR(Dashboard!$P$2="All",J73=Dashboard!$P$2)),1,0)</f>
        <v>1</v>
      </c>
      <c r="S73" s="1">
        <f t="shared" si="13"/>
        <v>1440721467.4200001</v>
      </c>
      <c r="T73" s="1">
        <f t="shared" si="14"/>
        <v>0</v>
      </c>
      <c r="U73" s="1">
        <f>IF(OR(Dashboard!$P$3="All",AND(Dashboard!$P$3="Not due",Q73&lt;0),AND(Dashboard!$P$3="Due in 10 days",Q73&gt;=-10,Q73&lt;=0),AND(Dashboard!$P$3="Due in 30 days",Q73&gt;=-30,Q73&lt;=0),AND(Dashboard!$P$3="Overdue 1-60 days",Q73&gt;0,Q73&lt;=60),AND(Dashboard!$P$3="Over 60 days",Q73&gt;60),AND(Dashboard!$P$3="All overdue",Q73&gt;0)),1,0)</f>
        <v>1</v>
      </c>
      <c r="V73" s="1">
        <f t="shared" si="15"/>
        <v>1440721467.4200001</v>
      </c>
      <c r="W73" s="1">
        <f t="shared" si="16"/>
        <v>0</v>
      </c>
      <c r="X73" s="1">
        <f>IF(V73&gt;0,COUNTIF($V$6:V73,"&gt;0"),"")</f>
        <v>68</v>
      </c>
      <c r="Y73" s="1" t="str">
        <f t="shared" si="17"/>
        <v>CAL-prior-068|000068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 t="s">
        <v>28</v>
      </c>
      <c r="B74" s="1" t="s">
        <v>86</v>
      </c>
      <c r="C74" s="1" t="s">
        <v>339</v>
      </c>
      <c r="D74" s="1" t="s">
        <v>208</v>
      </c>
      <c r="E74" s="4">
        <v>45773</v>
      </c>
      <c r="F74" s="4">
        <v>45803</v>
      </c>
      <c r="G74" s="5">
        <v>1146830636.8099999</v>
      </c>
      <c r="H74" s="5">
        <v>214448005.25999999</v>
      </c>
      <c r="I74" s="5">
        <v>932382631.54999995</v>
      </c>
      <c r="J74" s="1" t="s">
        <v>27</v>
      </c>
      <c r="K74" s="1" t="s">
        <v>64</v>
      </c>
      <c r="L74" s="1" t="s">
        <v>65</v>
      </c>
      <c r="M74" s="1" t="s">
        <v>66</v>
      </c>
      <c r="N74" s="6"/>
      <c r="O74" s="6"/>
      <c r="P74" s="7" t="s">
        <v>67</v>
      </c>
      <c r="Q74" s="1">
        <f t="shared" si="12"/>
        <v>-56</v>
      </c>
      <c r="R74" s="1">
        <f>IF(AND(OR(Dashboard!$P$1="All",A74=Dashboard!$P$1),OR(Dashboard!$P$2="All",J74=Dashboard!$P$2)),1,0)</f>
        <v>1</v>
      </c>
      <c r="S74" s="1">
        <f t="shared" si="13"/>
        <v>932382631.54999995</v>
      </c>
      <c r="T74" s="1">
        <f t="shared" si="14"/>
        <v>0</v>
      </c>
      <c r="U74" s="1">
        <f>IF(OR(Dashboard!$P$3="All",AND(Dashboard!$P$3="Not due",Q74&lt;0),AND(Dashboard!$P$3="Due in 10 days",Q74&gt;=-10,Q74&lt;=0),AND(Dashboard!$P$3="Due in 30 days",Q74&gt;=-30,Q74&lt;=0),AND(Dashboard!$P$3="Overdue 1-60 days",Q74&gt;0,Q74&lt;=60),AND(Dashboard!$P$3="Over 60 days",Q74&gt;60),AND(Dashboard!$P$3="All overdue",Q74&gt;0)),1,0)</f>
        <v>1</v>
      </c>
      <c r="V74" s="1">
        <f t="shared" si="15"/>
        <v>932382631.54999995</v>
      </c>
      <c r="W74" s="1">
        <f t="shared" si="16"/>
        <v>0</v>
      </c>
      <c r="X74" s="1">
        <f>IF(V74&gt;0,COUNTIF($V$6:V74,"&gt;0"),"")</f>
        <v>69</v>
      </c>
      <c r="Y74" s="1" t="str">
        <f t="shared" si="17"/>
        <v>CAL-prior-069|000069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 t="s">
        <v>28</v>
      </c>
      <c r="B75" s="1" t="s">
        <v>86</v>
      </c>
      <c r="C75" s="1" t="s">
        <v>340</v>
      </c>
      <c r="D75" s="1" t="s">
        <v>210</v>
      </c>
      <c r="E75" s="4">
        <v>45758</v>
      </c>
      <c r="F75" s="4">
        <v>45803</v>
      </c>
      <c r="G75" s="5">
        <v>1326514401.46</v>
      </c>
      <c r="H75" s="5">
        <v>248047408.40000001</v>
      </c>
      <c r="I75" s="5">
        <v>1078466993.0599999</v>
      </c>
      <c r="J75" s="1" t="s">
        <v>27</v>
      </c>
      <c r="K75" s="1" t="s">
        <v>64</v>
      </c>
      <c r="L75" s="1" t="s">
        <v>70</v>
      </c>
      <c r="M75" s="1" t="s">
        <v>66</v>
      </c>
      <c r="N75" s="6"/>
      <c r="O75" s="6"/>
      <c r="P75" s="7" t="s">
        <v>67</v>
      </c>
      <c r="Q75" s="1">
        <f t="shared" si="12"/>
        <v>-56</v>
      </c>
      <c r="R75" s="1">
        <f>IF(AND(OR(Dashboard!$P$1="All",A75=Dashboard!$P$1),OR(Dashboard!$P$2="All",J75=Dashboard!$P$2)),1,0)</f>
        <v>1</v>
      </c>
      <c r="S75" s="1">
        <f t="shared" si="13"/>
        <v>1078466993.0599999</v>
      </c>
      <c r="T75" s="1">
        <f t="shared" si="14"/>
        <v>0</v>
      </c>
      <c r="U75" s="1">
        <f>IF(OR(Dashboard!$P$3="All",AND(Dashboard!$P$3="Not due",Q75&lt;0),AND(Dashboard!$P$3="Due in 10 days",Q75&gt;=-10,Q75&lt;=0),AND(Dashboard!$P$3="Due in 30 days",Q75&gt;=-30,Q75&lt;=0),AND(Dashboard!$P$3="Overdue 1-60 days",Q75&gt;0,Q75&lt;=60),AND(Dashboard!$P$3="Over 60 days",Q75&gt;60),AND(Dashboard!$P$3="All overdue",Q75&gt;0)),1,0)</f>
        <v>1</v>
      </c>
      <c r="V75" s="1">
        <f t="shared" si="15"/>
        <v>1078466993.0599999</v>
      </c>
      <c r="W75" s="1">
        <f t="shared" si="16"/>
        <v>0</v>
      </c>
      <c r="X75" s="1">
        <f>IF(V75&gt;0,COUNTIF($V$6:V75,"&gt;0"),"")</f>
        <v>70</v>
      </c>
      <c r="Y75" s="1" t="str">
        <f t="shared" si="17"/>
        <v>CAL-prior-070|000070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 t="s">
        <v>28</v>
      </c>
      <c r="B76" s="1" t="s">
        <v>86</v>
      </c>
      <c r="C76" s="1" t="s">
        <v>341</v>
      </c>
      <c r="D76" s="1" t="s">
        <v>212</v>
      </c>
      <c r="E76" s="4">
        <v>45758</v>
      </c>
      <c r="F76" s="4">
        <v>45803</v>
      </c>
      <c r="G76" s="5">
        <v>1397676074.01</v>
      </c>
      <c r="H76" s="5">
        <v>261354062.62</v>
      </c>
      <c r="I76" s="5">
        <v>1136322011.3900001</v>
      </c>
      <c r="J76" s="1" t="s">
        <v>27</v>
      </c>
      <c r="K76" s="1" t="s">
        <v>64</v>
      </c>
      <c r="L76" s="1" t="s">
        <v>73</v>
      </c>
      <c r="M76" s="1" t="s">
        <v>66</v>
      </c>
      <c r="N76" s="6"/>
      <c r="O76" s="6"/>
      <c r="P76" s="7" t="s">
        <v>67</v>
      </c>
      <c r="Q76" s="1">
        <f t="shared" si="12"/>
        <v>-56</v>
      </c>
      <c r="R76" s="1">
        <f>IF(AND(OR(Dashboard!$P$1="All",A76=Dashboard!$P$1),OR(Dashboard!$P$2="All",J76=Dashboard!$P$2)),1,0)</f>
        <v>1</v>
      </c>
      <c r="S76" s="1">
        <f t="shared" si="13"/>
        <v>1136322011.3900001</v>
      </c>
      <c r="T76" s="1">
        <f t="shared" si="14"/>
        <v>0</v>
      </c>
      <c r="U76" s="1">
        <f>IF(OR(Dashboard!$P$3="All",AND(Dashboard!$P$3="Not due",Q76&lt;0),AND(Dashboard!$P$3="Due in 10 days",Q76&gt;=-10,Q76&lt;=0),AND(Dashboard!$P$3="Due in 30 days",Q76&gt;=-30,Q76&lt;=0),AND(Dashboard!$P$3="Overdue 1-60 days",Q76&gt;0,Q76&lt;=60),AND(Dashboard!$P$3="Over 60 days",Q76&gt;60),AND(Dashboard!$P$3="All overdue",Q76&gt;0)),1,0)</f>
        <v>1</v>
      </c>
      <c r="V76" s="1">
        <f t="shared" si="15"/>
        <v>1136322011.3900001</v>
      </c>
      <c r="W76" s="1">
        <f t="shared" si="16"/>
        <v>0</v>
      </c>
      <c r="X76" s="1">
        <f>IF(V76&gt;0,COUNTIF($V$6:V76,"&gt;0"),"")</f>
        <v>71</v>
      </c>
      <c r="Y76" s="1" t="str">
        <f t="shared" si="17"/>
        <v>CAL-prior-071|000071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 t="s">
        <v>30</v>
      </c>
      <c r="B77" s="1" t="s">
        <v>243</v>
      </c>
      <c r="C77" s="1" t="s">
        <v>342</v>
      </c>
      <c r="D77" s="1" t="s">
        <v>214</v>
      </c>
      <c r="E77" s="4">
        <v>45694</v>
      </c>
      <c r="F77" s="4">
        <v>45739</v>
      </c>
      <c r="G77" s="5">
        <v>2402577541.9499998</v>
      </c>
      <c r="H77" s="5">
        <v>648871306.95000005</v>
      </c>
      <c r="I77" s="5">
        <v>1753706235</v>
      </c>
      <c r="J77" s="1" t="s">
        <v>27</v>
      </c>
      <c r="K77" s="1" t="s">
        <v>64</v>
      </c>
      <c r="L77" s="1" t="s">
        <v>76</v>
      </c>
      <c r="M77" s="1" t="s">
        <v>66</v>
      </c>
      <c r="N77" s="6"/>
      <c r="O77" s="6"/>
      <c r="P77" s="7" t="s">
        <v>67</v>
      </c>
      <c r="Q77" s="1">
        <f t="shared" si="12"/>
        <v>8</v>
      </c>
      <c r="R77" s="1">
        <f>IF(AND(OR(Dashboard!$P$1="All",A77=Dashboard!$P$1),OR(Dashboard!$P$2="All",J77=Dashboard!$P$2)),1,0)</f>
        <v>1</v>
      </c>
      <c r="S77" s="1">
        <f t="shared" si="13"/>
        <v>1753706235</v>
      </c>
      <c r="T77" s="1">
        <f t="shared" si="14"/>
        <v>1753706235</v>
      </c>
      <c r="U77" s="1">
        <f>IF(OR(Dashboard!$P$3="All",AND(Dashboard!$P$3="Not due",Q77&lt;0),AND(Dashboard!$P$3="Due in 10 days",Q77&gt;=-10,Q77&lt;=0),AND(Dashboard!$P$3="Due in 30 days",Q77&gt;=-30,Q77&lt;=0),AND(Dashboard!$P$3="Overdue 1-60 days",Q77&gt;0,Q77&lt;=60),AND(Dashboard!$P$3="Over 60 days",Q77&gt;60),AND(Dashboard!$P$3="All overdue",Q77&gt;0)),1,0)</f>
        <v>1</v>
      </c>
      <c r="V77" s="1">
        <f t="shared" si="15"/>
        <v>1753706235</v>
      </c>
      <c r="W77" s="1">
        <f t="shared" si="16"/>
        <v>14029649880</v>
      </c>
      <c r="X77" s="1">
        <f>IF(V77&gt;0,COUNTIF($V$6:V77,"&gt;0"),"")</f>
        <v>72</v>
      </c>
      <c r="Y77" s="1" t="str">
        <f t="shared" si="17"/>
        <v>CAL-prior-072|000072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 t="s">
        <v>30</v>
      </c>
      <c r="B78" s="1" t="s">
        <v>243</v>
      </c>
      <c r="C78" s="1" t="s">
        <v>343</v>
      </c>
      <c r="D78" s="1" t="s">
        <v>216</v>
      </c>
      <c r="E78" s="4">
        <v>45708</v>
      </c>
      <c r="F78" s="4">
        <v>45738</v>
      </c>
      <c r="G78" s="5">
        <v>1354498348</v>
      </c>
      <c r="H78" s="5">
        <v>145124823</v>
      </c>
      <c r="I78" s="5">
        <v>1209373525</v>
      </c>
      <c r="J78" s="1" t="s">
        <v>27</v>
      </c>
      <c r="K78" s="1" t="s">
        <v>64</v>
      </c>
      <c r="L78" s="1" t="s">
        <v>65</v>
      </c>
      <c r="M78" s="1" t="s">
        <v>66</v>
      </c>
      <c r="N78" s="6"/>
      <c r="O78" s="6"/>
      <c r="P78" s="7" t="s">
        <v>67</v>
      </c>
      <c r="Q78" s="1">
        <f t="shared" si="12"/>
        <v>9</v>
      </c>
      <c r="R78" s="1">
        <f>IF(AND(OR(Dashboard!$P$1="All",A78=Dashboard!$P$1),OR(Dashboard!$P$2="All",J78=Dashboard!$P$2)),1,0)</f>
        <v>1</v>
      </c>
      <c r="S78" s="1">
        <f t="shared" si="13"/>
        <v>1209373525</v>
      </c>
      <c r="T78" s="1">
        <f t="shared" si="14"/>
        <v>1209373525</v>
      </c>
      <c r="U78" s="1">
        <f>IF(OR(Dashboard!$P$3="All",AND(Dashboard!$P$3="Not due",Q78&lt;0),AND(Dashboard!$P$3="Due in 10 days",Q78&gt;=-10,Q78&lt;=0),AND(Dashboard!$P$3="Due in 30 days",Q78&gt;=-30,Q78&lt;=0),AND(Dashboard!$P$3="Overdue 1-60 days",Q78&gt;0,Q78&lt;=60),AND(Dashboard!$P$3="Over 60 days",Q78&gt;60),AND(Dashboard!$P$3="All overdue",Q78&gt;0)),1,0)</f>
        <v>1</v>
      </c>
      <c r="V78" s="1">
        <f t="shared" si="15"/>
        <v>1209373525</v>
      </c>
      <c r="W78" s="1">
        <f t="shared" si="16"/>
        <v>10884361725</v>
      </c>
      <c r="X78" s="1">
        <f>IF(V78&gt;0,COUNTIF($V$6:V78,"&gt;0"),"")</f>
        <v>73</v>
      </c>
      <c r="Y78" s="1" t="str">
        <f t="shared" si="17"/>
        <v>CAL-prior-073|000073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 t="s">
        <v>30</v>
      </c>
      <c r="B79" s="1" t="s">
        <v>243</v>
      </c>
      <c r="C79" s="1" t="s">
        <v>344</v>
      </c>
      <c r="D79" s="1" t="s">
        <v>218</v>
      </c>
      <c r="E79" s="4">
        <v>45696</v>
      </c>
      <c r="F79" s="4">
        <v>45756</v>
      </c>
      <c r="G79" s="5">
        <v>791548562.00999999</v>
      </c>
      <c r="H79" s="5">
        <v>213775889.00999999</v>
      </c>
      <c r="I79" s="5">
        <v>577772673</v>
      </c>
      <c r="J79" s="1" t="s">
        <v>27</v>
      </c>
      <c r="K79" s="1" t="s">
        <v>64</v>
      </c>
      <c r="L79" s="1" t="s">
        <v>70</v>
      </c>
      <c r="M79" s="1" t="s">
        <v>66</v>
      </c>
      <c r="N79" s="6"/>
      <c r="O79" s="6"/>
      <c r="P79" s="7" t="s">
        <v>67</v>
      </c>
      <c r="Q79" s="1">
        <f t="shared" si="12"/>
        <v>-9</v>
      </c>
      <c r="R79" s="1">
        <f>IF(AND(OR(Dashboard!$P$1="All",A79=Dashboard!$P$1),OR(Dashboard!$P$2="All",J79=Dashboard!$P$2)),1,0)</f>
        <v>1</v>
      </c>
      <c r="S79" s="1">
        <f t="shared" si="13"/>
        <v>577772673</v>
      </c>
      <c r="T79" s="1">
        <f t="shared" si="14"/>
        <v>0</v>
      </c>
      <c r="U79" s="1">
        <f>IF(OR(Dashboard!$P$3="All",AND(Dashboard!$P$3="Not due",Q79&lt;0),AND(Dashboard!$P$3="Due in 10 days",Q79&gt;=-10,Q79&lt;=0),AND(Dashboard!$P$3="Due in 30 days",Q79&gt;=-30,Q79&lt;=0),AND(Dashboard!$P$3="Overdue 1-60 days",Q79&gt;0,Q79&lt;=60),AND(Dashboard!$P$3="Over 60 days",Q79&gt;60),AND(Dashboard!$P$3="All overdue",Q79&gt;0)),1,0)</f>
        <v>1</v>
      </c>
      <c r="V79" s="1">
        <f t="shared" si="15"/>
        <v>577772673</v>
      </c>
      <c r="W79" s="1">
        <f t="shared" si="16"/>
        <v>0</v>
      </c>
      <c r="X79" s="1">
        <f>IF(V79&gt;0,COUNTIF($V$6:V79,"&gt;0"),"")</f>
        <v>74</v>
      </c>
      <c r="Y79" s="1" t="str">
        <f t="shared" si="17"/>
        <v>CAL-prior-074|000074</v>
      </c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 t="s">
        <v>30</v>
      </c>
      <c r="B80" s="1" t="s">
        <v>243</v>
      </c>
      <c r="C80" s="1" t="s">
        <v>345</v>
      </c>
      <c r="D80" s="1" t="s">
        <v>220</v>
      </c>
      <c r="E80" s="4">
        <v>45727</v>
      </c>
      <c r="F80" s="4">
        <v>45772</v>
      </c>
      <c r="G80" s="5">
        <v>505298950.67000002</v>
      </c>
      <c r="H80" s="5">
        <v>94486795.650000006</v>
      </c>
      <c r="I80" s="5">
        <v>410812155.01999998</v>
      </c>
      <c r="J80" s="1" t="s">
        <v>27</v>
      </c>
      <c r="K80" s="1" t="s">
        <v>64</v>
      </c>
      <c r="L80" s="1" t="s">
        <v>73</v>
      </c>
      <c r="M80" s="1" t="s">
        <v>66</v>
      </c>
      <c r="N80" s="6"/>
      <c r="O80" s="6"/>
      <c r="P80" s="7" t="s">
        <v>67</v>
      </c>
      <c r="Q80" s="1">
        <f t="shared" si="12"/>
        <v>-25</v>
      </c>
      <c r="R80" s="1">
        <f>IF(AND(OR(Dashboard!$P$1="All",A80=Dashboard!$P$1),OR(Dashboard!$P$2="All",J80=Dashboard!$P$2)),1,0)</f>
        <v>1</v>
      </c>
      <c r="S80" s="1">
        <f t="shared" si="13"/>
        <v>410812155.01999998</v>
      </c>
      <c r="T80" s="1">
        <f t="shared" si="14"/>
        <v>0</v>
      </c>
      <c r="U80" s="1">
        <f>IF(OR(Dashboard!$P$3="All",AND(Dashboard!$P$3="Not due",Q80&lt;0),AND(Dashboard!$P$3="Due in 10 days",Q80&gt;=-10,Q80&lt;=0),AND(Dashboard!$P$3="Due in 30 days",Q80&gt;=-30,Q80&lt;=0),AND(Dashboard!$P$3="Overdue 1-60 days",Q80&gt;0,Q80&lt;=60),AND(Dashboard!$P$3="Over 60 days",Q80&gt;60),AND(Dashboard!$P$3="All overdue",Q80&gt;0)),1,0)</f>
        <v>1</v>
      </c>
      <c r="V80" s="1">
        <f t="shared" si="15"/>
        <v>410812155.01999998</v>
      </c>
      <c r="W80" s="1">
        <f t="shared" si="16"/>
        <v>0</v>
      </c>
      <c r="X80" s="1">
        <f>IF(V80&gt;0,COUNTIF($V$6:V80,"&gt;0"),"")</f>
        <v>75</v>
      </c>
      <c r="Y80" s="1" t="str">
        <f t="shared" si="17"/>
        <v>CAL-prior-075|000075</v>
      </c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 t="s">
        <v>30</v>
      </c>
      <c r="B81" s="1" t="s">
        <v>243</v>
      </c>
      <c r="C81" s="1" t="s">
        <v>346</v>
      </c>
      <c r="D81" s="1" t="s">
        <v>222</v>
      </c>
      <c r="E81" s="4">
        <v>45727</v>
      </c>
      <c r="F81" s="4">
        <v>45772</v>
      </c>
      <c r="G81" s="5">
        <v>397263755.47000003</v>
      </c>
      <c r="H81" s="5">
        <v>74285092.489999995</v>
      </c>
      <c r="I81" s="5">
        <v>322978662.98000002</v>
      </c>
      <c r="J81" s="1" t="s">
        <v>27</v>
      </c>
      <c r="K81" s="1" t="s">
        <v>64</v>
      </c>
      <c r="L81" s="1" t="s">
        <v>76</v>
      </c>
      <c r="M81" s="1" t="s">
        <v>66</v>
      </c>
      <c r="N81" s="6"/>
      <c r="O81" s="6"/>
      <c r="P81" s="7" t="s">
        <v>67</v>
      </c>
      <c r="Q81" s="1">
        <f t="shared" si="12"/>
        <v>-25</v>
      </c>
      <c r="R81" s="1">
        <f>IF(AND(OR(Dashboard!$P$1="All",A81=Dashboard!$P$1),OR(Dashboard!$P$2="All",J81=Dashboard!$P$2)),1,0)</f>
        <v>1</v>
      </c>
      <c r="S81" s="1">
        <f t="shared" si="13"/>
        <v>322978662.98000002</v>
      </c>
      <c r="T81" s="1">
        <f t="shared" si="14"/>
        <v>0</v>
      </c>
      <c r="U81" s="1">
        <f>IF(OR(Dashboard!$P$3="All",AND(Dashboard!$P$3="Not due",Q81&lt;0),AND(Dashboard!$P$3="Due in 10 days",Q81&gt;=-10,Q81&lt;=0),AND(Dashboard!$P$3="Due in 30 days",Q81&gt;=-30,Q81&lt;=0),AND(Dashboard!$P$3="Overdue 1-60 days",Q81&gt;0,Q81&lt;=60),AND(Dashboard!$P$3="Over 60 days",Q81&gt;60),AND(Dashboard!$P$3="All overdue",Q81&gt;0)),1,0)</f>
        <v>1</v>
      </c>
      <c r="V81" s="1">
        <f t="shared" si="15"/>
        <v>322978662.98000002</v>
      </c>
      <c r="W81" s="1">
        <f t="shared" si="16"/>
        <v>0</v>
      </c>
      <c r="X81" s="1">
        <f>IF(V81&gt;0,COUNTIF($V$6:V81,"&gt;0"),"")</f>
        <v>76</v>
      </c>
      <c r="Y81" s="1" t="str">
        <f t="shared" si="17"/>
        <v>CAL-prior-076|000076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 t="s">
        <v>30</v>
      </c>
      <c r="B82" s="1" t="s">
        <v>243</v>
      </c>
      <c r="C82" s="1" t="s">
        <v>347</v>
      </c>
      <c r="D82" s="1" t="s">
        <v>224</v>
      </c>
      <c r="E82" s="4">
        <v>45790</v>
      </c>
      <c r="F82" s="4">
        <v>45820</v>
      </c>
      <c r="G82" s="5">
        <v>128020956.09</v>
      </c>
      <c r="H82" s="5">
        <v>23938877.969999999</v>
      </c>
      <c r="I82" s="5">
        <v>104082078.12</v>
      </c>
      <c r="J82" s="1" t="s">
        <v>27</v>
      </c>
      <c r="K82" s="1" t="s">
        <v>64</v>
      </c>
      <c r="L82" s="1" t="s">
        <v>65</v>
      </c>
      <c r="M82" s="1" t="s">
        <v>66</v>
      </c>
      <c r="N82" s="6"/>
      <c r="O82" s="6"/>
      <c r="P82" s="7" t="s">
        <v>67</v>
      </c>
      <c r="Q82" s="1">
        <f t="shared" si="12"/>
        <v>-73</v>
      </c>
      <c r="R82" s="1">
        <f>IF(AND(OR(Dashboard!$P$1="All",A82=Dashboard!$P$1),OR(Dashboard!$P$2="All",J82=Dashboard!$P$2)),1,0)</f>
        <v>1</v>
      </c>
      <c r="S82" s="1">
        <f t="shared" si="13"/>
        <v>104082078.12</v>
      </c>
      <c r="T82" s="1">
        <f t="shared" si="14"/>
        <v>0</v>
      </c>
      <c r="U82" s="1">
        <f>IF(OR(Dashboard!$P$3="All",AND(Dashboard!$P$3="Not due",Q82&lt;0),AND(Dashboard!$P$3="Due in 10 days",Q82&gt;=-10,Q82&lt;=0),AND(Dashboard!$P$3="Due in 30 days",Q82&gt;=-30,Q82&lt;=0),AND(Dashboard!$P$3="Overdue 1-60 days",Q82&gt;0,Q82&lt;=60),AND(Dashboard!$P$3="Over 60 days",Q82&gt;60),AND(Dashboard!$P$3="All overdue",Q82&gt;0)),1,0)</f>
        <v>1</v>
      </c>
      <c r="V82" s="1">
        <f t="shared" si="15"/>
        <v>104082078.12</v>
      </c>
      <c r="W82" s="1">
        <f t="shared" si="16"/>
        <v>0</v>
      </c>
      <c r="X82" s="1">
        <f>IF(V82&gt;0,COUNTIF($V$6:V82,"&gt;0"),"")</f>
        <v>77</v>
      </c>
      <c r="Y82" s="1" t="str">
        <f t="shared" si="17"/>
        <v>CAL-prior-077|000077</v>
      </c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 t="s">
        <v>30</v>
      </c>
      <c r="B83" s="1" t="s">
        <v>243</v>
      </c>
      <c r="C83" s="1" t="s">
        <v>348</v>
      </c>
      <c r="D83" s="1" t="s">
        <v>226</v>
      </c>
      <c r="E83" s="4">
        <v>45775</v>
      </c>
      <c r="F83" s="4">
        <v>45820</v>
      </c>
      <c r="G83" s="5">
        <v>155535445.71000001</v>
      </c>
      <c r="H83" s="5">
        <v>29083863.829999998</v>
      </c>
      <c r="I83" s="5">
        <v>126451581.88</v>
      </c>
      <c r="J83" s="1" t="s">
        <v>27</v>
      </c>
      <c r="K83" s="1" t="s">
        <v>64</v>
      </c>
      <c r="L83" s="1" t="s">
        <v>70</v>
      </c>
      <c r="M83" s="1" t="s">
        <v>66</v>
      </c>
      <c r="N83" s="6"/>
      <c r="O83" s="6"/>
      <c r="P83" s="7" t="s">
        <v>67</v>
      </c>
      <c r="Q83" s="1">
        <f t="shared" si="12"/>
        <v>-73</v>
      </c>
      <c r="R83" s="1">
        <f>IF(AND(OR(Dashboard!$P$1="All",A83=Dashboard!$P$1),OR(Dashboard!$P$2="All",J83=Dashboard!$P$2)),1,0)</f>
        <v>1</v>
      </c>
      <c r="S83" s="1">
        <f t="shared" si="13"/>
        <v>126451581.88</v>
      </c>
      <c r="T83" s="1">
        <f t="shared" si="14"/>
        <v>0</v>
      </c>
      <c r="U83" s="1">
        <f>IF(OR(Dashboard!$P$3="All",AND(Dashboard!$P$3="Not due",Q83&lt;0),AND(Dashboard!$P$3="Due in 10 days",Q83&gt;=-10,Q83&lt;=0),AND(Dashboard!$P$3="Due in 30 days",Q83&gt;=-30,Q83&lt;=0),AND(Dashboard!$P$3="Overdue 1-60 days",Q83&gt;0,Q83&lt;=60),AND(Dashboard!$P$3="Over 60 days",Q83&gt;60),AND(Dashboard!$P$3="All overdue",Q83&gt;0)),1,0)</f>
        <v>1</v>
      </c>
      <c r="V83" s="1">
        <f t="shared" si="15"/>
        <v>126451581.88</v>
      </c>
      <c r="W83" s="1">
        <f t="shared" si="16"/>
        <v>0</v>
      </c>
      <c r="X83" s="1">
        <f>IF(V83&gt;0,COUNTIF($V$6:V83,"&gt;0"),"")</f>
        <v>78</v>
      </c>
      <c r="Y83" s="1" t="str">
        <f t="shared" si="17"/>
        <v>CAL-prior-078|000078</v>
      </c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 t="s">
        <v>36</v>
      </c>
      <c r="B84" s="1" t="s">
        <v>268</v>
      </c>
      <c r="C84" s="1" t="s">
        <v>349</v>
      </c>
      <c r="D84" s="1" t="s">
        <v>228</v>
      </c>
      <c r="E84" s="4">
        <v>45620</v>
      </c>
      <c r="F84" s="4">
        <v>45680</v>
      </c>
      <c r="G84" s="5">
        <v>5042143669.0799999</v>
      </c>
      <c r="H84" s="5">
        <v>942839873.08000004</v>
      </c>
      <c r="I84" s="5">
        <v>4099303796</v>
      </c>
      <c r="J84" s="1" t="s">
        <v>35</v>
      </c>
      <c r="K84" s="1" t="s">
        <v>64</v>
      </c>
      <c r="L84" s="1" t="s">
        <v>73</v>
      </c>
      <c r="M84" s="1" t="s">
        <v>66</v>
      </c>
      <c r="N84" s="6"/>
      <c r="O84" s="6"/>
      <c r="P84" s="7" t="s">
        <v>67</v>
      </c>
      <c r="Q84" s="1">
        <f t="shared" si="12"/>
        <v>67</v>
      </c>
      <c r="R84" s="1">
        <f>IF(AND(OR(Dashboard!$P$1="All",A84=Dashboard!$P$1),OR(Dashboard!$P$2="All",J84=Dashboard!$P$2)),1,0)</f>
        <v>1</v>
      </c>
      <c r="S84" s="1">
        <f t="shared" si="13"/>
        <v>4099303796</v>
      </c>
      <c r="T84" s="1">
        <f t="shared" si="14"/>
        <v>4099303796</v>
      </c>
      <c r="U84" s="1">
        <f>IF(OR(Dashboard!$P$3="All",AND(Dashboard!$P$3="Not due",Q84&lt;0),AND(Dashboard!$P$3="Due in 10 days",Q84&gt;=-10,Q84&lt;=0),AND(Dashboard!$P$3="Due in 30 days",Q84&gt;=-30,Q84&lt;=0),AND(Dashboard!$P$3="Overdue 1-60 days",Q84&gt;0,Q84&lt;=60),AND(Dashboard!$P$3="Over 60 days",Q84&gt;60),AND(Dashboard!$P$3="All overdue",Q84&gt;0)),1,0)</f>
        <v>1</v>
      </c>
      <c r="V84" s="1">
        <f t="shared" si="15"/>
        <v>4099303796</v>
      </c>
      <c r="W84" s="1">
        <f t="shared" si="16"/>
        <v>274653354332</v>
      </c>
      <c r="X84" s="1">
        <f>IF(V84&gt;0,COUNTIF($V$6:V84,"&gt;0"),"")</f>
        <v>79</v>
      </c>
      <c r="Y84" s="1" t="str">
        <f t="shared" si="17"/>
        <v>CAL-prior-079|000079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 t="s">
        <v>34</v>
      </c>
      <c r="B85" s="1" t="s">
        <v>265</v>
      </c>
      <c r="C85" s="1" t="s">
        <v>350</v>
      </c>
      <c r="D85" s="1" t="s">
        <v>230</v>
      </c>
      <c r="E85" s="4">
        <v>45740</v>
      </c>
      <c r="F85" s="4">
        <v>45785</v>
      </c>
      <c r="G85" s="5">
        <v>374016.16</v>
      </c>
      <c r="H85" s="5">
        <v>40073.160000000003</v>
      </c>
      <c r="I85" s="5">
        <v>333943</v>
      </c>
      <c r="J85" s="1" t="s">
        <v>33</v>
      </c>
      <c r="K85" s="1" t="s">
        <v>64</v>
      </c>
      <c r="L85" s="1" t="s">
        <v>76</v>
      </c>
      <c r="M85" s="1" t="s">
        <v>66</v>
      </c>
      <c r="N85" s="6"/>
      <c r="O85" s="6"/>
      <c r="P85" s="7" t="s">
        <v>67</v>
      </c>
      <c r="Q85" s="1">
        <f t="shared" si="12"/>
        <v>-38</v>
      </c>
      <c r="R85" s="1">
        <f>IF(AND(OR(Dashboard!$P$1="All",A85=Dashboard!$P$1),OR(Dashboard!$P$2="All",J85=Dashboard!$P$2)),1,0)</f>
        <v>1</v>
      </c>
      <c r="S85" s="1">
        <f t="shared" si="13"/>
        <v>333943</v>
      </c>
      <c r="T85" s="1">
        <f t="shared" si="14"/>
        <v>0</v>
      </c>
      <c r="U85" s="1">
        <f>IF(OR(Dashboard!$P$3="All",AND(Dashboard!$P$3="Not due",Q85&lt;0),AND(Dashboard!$P$3="Due in 10 days",Q85&gt;=-10,Q85&lt;=0),AND(Dashboard!$P$3="Due in 30 days",Q85&gt;=-30,Q85&lt;=0),AND(Dashboard!$P$3="Overdue 1-60 days",Q85&gt;0,Q85&lt;=60),AND(Dashboard!$P$3="Over 60 days",Q85&gt;60),AND(Dashboard!$P$3="All overdue",Q85&gt;0)),1,0)</f>
        <v>1</v>
      </c>
      <c r="V85" s="1">
        <f t="shared" si="15"/>
        <v>333943</v>
      </c>
      <c r="W85" s="1">
        <f t="shared" si="16"/>
        <v>0</v>
      </c>
      <c r="X85" s="1">
        <f>IF(V85&gt;0,COUNTIF($V$6:V85,"&gt;0"),"")</f>
        <v>80</v>
      </c>
      <c r="Y85" s="1" t="str">
        <f t="shared" si="17"/>
        <v>CAL-prior-080|000080</v>
      </c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I177"/>
  <sheetViews>
    <sheetView showGridLines="0" workbookViewId="0">
      <pane ySplit="5" topLeftCell="A51" activePane="bottomLeft" state="frozen"/>
      <selection pane="bottomLeft" activeCell="F4" sqref="F4"/>
    </sheetView>
  </sheetViews>
  <sheetFormatPr defaultRowHeight="14"/>
  <cols>
    <col min="1" max="1" width="28.54296875" customWidth="1"/>
    <col min="2" max="5" width="20.54296875" customWidth="1"/>
    <col min="7" max="7" width="24.54296875" customWidth="1"/>
    <col min="8" max="11" width="20.54296875" customWidth="1"/>
    <col min="12" max="12" width="22.54296875" customWidth="1"/>
    <col min="13" max="13" width="18.54296875" customWidth="1"/>
    <col min="16" max="23" width="0" hidden="1" customWidth="1"/>
    <col min="26" max="26" width="0" hidden="1" customWidth="1"/>
    <col min="63" max="78" width="9" hidden="1" customWidth="1"/>
  </cols>
  <sheetData>
    <row r="1" spans="1:41" ht="20">
      <c r="A1" s="21" t="s">
        <v>351</v>
      </c>
      <c r="B1" s="11"/>
      <c r="C1" s="11"/>
      <c r="D1" s="11"/>
      <c r="E1" s="1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>
        <v>0</v>
      </c>
      <c r="S1" s="1">
        <v>0</v>
      </c>
      <c r="T1" s="1"/>
      <c r="U1" s="1"/>
      <c r="V1" s="1"/>
      <c r="W1" s="1"/>
      <c r="X1" s="1"/>
      <c r="Y1" s="1"/>
      <c r="Z1" s="1">
        <v>0</v>
      </c>
      <c r="AA1" s="1">
        <v>0</v>
      </c>
      <c r="AB1" s="1"/>
      <c r="AC1" s="1"/>
      <c r="AD1" s="1"/>
      <c r="AE1" s="1"/>
      <c r="AF1" s="1"/>
      <c r="AG1" s="1"/>
      <c r="AH1" s="1">
        <v>0</v>
      </c>
      <c r="AI1" s="1">
        <v>0</v>
      </c>
      <c r="AJ1" s="1"/>
      <c r="AK1" s="1"/>
      <c r="AL1" s="1"/>
      <c r="AM1" s="1"/>
      <c r="AN1" s="1"/>
      <c r="AO1" s="1"/>
    </row>
    <row r="2" spans="1:41">
      <c r="A2" s="11"/>
      <c r="B2" s="11"/>
      <c r="C2" s="11"/>
      <c r="D2" s="11"/>
      <c r="E2" s="1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>
        <f>-COS(PI()*B16)</f>
        <v>-0.93739425584822988</v>
      </c>
      <c r="S2" s="1">
        <f>SIN(PI()*B16)</f>
        <v>0.34827002326175499</v>
      </c>
      <c r="T2" s="1"/>
      <c r="U2" s="1"/>
      <c r="V2" s="1"/>
      <c r="W2" s="1"/>
      <c r="X2" s="1"/>
      <c r="Y2" s="1"/>
      <c r="Z2" s="1">
        <f>-COS(PI()*B17)</f>
        <v>-0.96953749662870625</v>
      </c>
      <c r="AA2" s="1">
        <f>SIN(PI()*B17)</f>
        <v>0.24494293749961735</v>
      </c>
      <c r="AB2" s="1"/>
      <c r="AC2" s="1"/>
      <c r="AD2" s="1"/>
      <c r="AE2" s="1"/>
      <c r="AF2" s="1"/>
      <c r="AG2" s="1"/>
      <c r="AH2" s="1">
        <f>-COS(PI()*B18)</f>
        <v>-0.82353259762842745</v>
      </c>
      <c r="AI2" s="1">
        <f>SIN(PI()*B18)</f>
        <v>0.56726894912675652</v>
      </c>
      <c r="AJ2" s="1"/>
      <c r="AK2" s="1"/>
      <c r="AL2" s="1"/>
      <c r="AM2" s="1"/>
      <c r="AN2" s="1"/>
      <c r="AO2" s="1"/>
    </row>
    <row r="3" spans="1:41">
      <c r="A3" s="11"/>
      <c r="B3" s="11"/>
      <c r="C3" s="11"/>
      <c r="D3" s="11"/>
      <c r="E3" s="1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>
        <v>0</v>
      </c>
      <c r="S3" s="1">
        <v>0</v>
      </c>
      <c r="T3" s="1"/>
      <c r="U3" s="1"/>
      <c r="V3" s="1"/>
      <c r="W3" s="1"/>
      <c r="X3" s="1"/>
      <c r="Y3" s="1"/>
      <c r="Z3" s="1">
        <v>0</v>
      </c>
      <c r="AA3" s="1">
        <v>0</v>
      </c>
      <c r="AB3" s="1"/>
      <c r="AC3" s="1"/>
      <c r="AD3" s="1"/>
      <c r="AE3" s="1"/>
      <c r="AF3" s="1"/>
      <c r="AG3" s="1"/>
      <c r="AH3" s="1">
        <v>0</v>
      </c>
      <c r="AI3" s="1">
        <v>0</v>
      </c>
      <c r="AJ3" s="1"/>
      <c r="AK3" s="1"/>
      <c r="AL3" s="1"/>
      <c r="AM3" s="1"/>
      <c r="AN3" s="1"/>
      <c r="AO3" s="1"/>
    </row>
    <row r="4" spans="1:41">
      <c r="A4" s="11"/>
      <c r="B4" s="11"/>
      <c r="C4" s="11"/>
      <c r="D4" s="11"/>
      <c r="E4" s="1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22" t="s">
        <v>352</v>
      </c>
      <c r="B5" s="22" t="s">
        <v>353</v>
      </c>
      <c r="C5" s="22" t="s">
        <v>354</v>
      </c>
      <c r="D5" s="22" t="s">
        <v>355</v>
      </c>
      <c r="E5" s="22" t="s">
        <v>356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-1</v>
      </c>
      <c r="S5" s="1">
        <f t="shared" ref="S5:S36" si="0">SQRT(MAX(0,1-R5^2))</f>
        <v>0</v>
      </c>
      <c r="T5" s="1">
        <f t="shared" ref="T5:T36" si="1">IF(ISNUMBER($B$16),IF(AND($C$16=1,R5&lt;=-COS(PI()*$B$16)),S5,NA()),NA())</f>
        <v>0</v>
      </c>
      <c r="U5" s="1" t="e">
        <f t="shared" ref="U5:U36" si="2">IF(ISNUMBER($B$16),IF(AND($C$16=2,R5&lt;=-COS(PI()*$B$16)),S5,NA()),NA())</f>
        <v>#N/A</v>
      </c>
      <c r="V5" s="1" t="e">
        <f t="shared" ref="V5:V36" si="3">IF(ISNUMBER($B$16),IF(AND($C$16=3,R5&lt;=-COS(PI()*$B$16)),S5,NA()),NA())</f>
        <v>#N/A</v>
      </c>
      <c r="W5" s="1" t="e">
        <f t="shared" ref="W5:W36" si="4">IF(ISNUMBER($B$16),IF(AND($C$16=4,R5&lt;=-COS(PI()*$B$16)),S5,NA()),NA())</f>
        <v>#N/A</v>
      </c>
      <c r="X5" s="1" t="e">
        <f t="shared" ref="X5:X36" si="5">IF(ISNUMBER($B$16),IF(AND($C$16=5,R5&lt;=-COS(PI()*$B$16)),S5,NA()),NA())</f>
        <v>#N/A</v>
      </c>
      <c r="Y5" s="1" t="e">
        <f t="shared" ref="Y5:Y36" si="6">IF(ISNUMBER($B$16),IF(AND(ISNUMBER($B$16),R5&gt;=MIN(0,$R$2),R5&lt;=MAX(0,$R$2)),IF($R$2=0,0,R5/$R$2*$S$2),NA()),NA())</f>
        <v>#N/A</v>
      </c>
      <c r="Z5" s="1">
        <v>-1</v>
      </c>
      <c r="AA5" s="1">
        <f t="shared" ref="AA5:AA36" si="7">SQRT(MAX(0,1-Z5^2))</f>
        <v>0</v>
      </c>
      <c r="AB5" s="1">
        <f t="shared" ref="AB5:AB36" si="8">IF(ISNUMBER($B$17),IF(AND($C$17=1,Z5&lt;=-COS(PI()*$B$17)),AA5,NA()),NA())</f>
        <v>0</v>
      </c>
      <c r="AC5" s="1" t="e">
        <f t="shared" ref="AC5:AC36" si="9">IF(ISNUMBER($B$17),IF(AND($C$17=2,Z5&lt;=-COS(PI()*$B$17)),AA5,NA()),NA())</f>
        <v>#N/A</v>
      </c>
      <c r="AD5" s="1" t="e">
        <f t="shared" ref="AD5:AD36" si="10">IF(ISNUMBER($B$17),IF(AND($C$17=3,Z5&lt;=-COS(PI()*$B$17)),AA5,NA()),NA())</f>
        <v>#N/A</v>
      </c>
      <c r="AE5" s="1" t="e">
        <f t="shared" ref="AE5:AE36" si="11">IF(ISNUMBER($B$17),IF(AND($C$17=4,Z5&lt;=-COS(PI()*$B$17)),AA5,NA()),NA())</f>
        <v>#N/A</v>
      </c>
      <c r="AF5" s="1" t="e">
        <f t="shared" ref="AF5:AF36" si="12">IF(ISNUMBER($B$17),IF(AND($C$17=5,Z5&lt;=-COS(PI()*$B$17)),AA5,NA()),NA())</f>
        <v>#N/A</v>
      </c>
      <c r="AG5" s="1" t="e">
        <f t="shared" ref="AG5:AG36" si="13">IF(ISNUMBER($B$17),IF(AND(ISNUMBER($B$17),Z5&gt;=MIN(0,$Z$2),Z5&lt;=MAX(0,$Z$2)),IF($Z$2=0,0,Z5/$Z$2*$AA$2),NA()),NA())</f>
        <v>#N/A</v>
      </c>
      <c r="AH5" s="1">
        <v>-1</v>
      </c>
      <c r="AI5" s="1">
        <f t="shared" ref="AI5:AI36" si="14">SQRT(MAX(0,1-AH5^2))</f>
        <v>0</v>
      </c>
      <c r="AJ5" s="1">
        <f t="shared" ref="AJ5:AJ36" si="15">IF(ISNUMBER($B$18),IF(AND($C$18=1,AH5&lt;=-COS(PI()*$B$18)),AI5,NA()),NA())</f>
        <v>0</v>
      </c>
      <c r="AK5" s="1" t="e">
        <f t="shared" ref="AK5:AK36" si="16">IF(ISNUMBER($B$18),IF(AND($C$18=2,AH5&lt;=-COS(PI()*$B$18)),AI5,NA()),NA())</f>
        <v>#N/A</v>
      </c>
      <c r="AL5" s="1" t="e">
        <f t="shared" ref="AL5:AL36" si="17">IF(ISNUMBER($B$18),IF(AND($C$18=3,AH5&lt;=-COS(PI()*$B$18)),AI5,NA()),NA())</f>
        <v>#N/A</v>
      </c>
      <c r="AM5" s="1" t="e">
        <f t="shared" ref="AM5:AM36" si="18">IF(ISNUMBER($B$18),IF(AND($C$18=4,AH5&lt;=-COS(PI()*$B$18)),AI5,NA()),NA())</f>
        <v>#N/A</v>
      </c>
      <c r="AN5" s="1" t="e">
        <f t="shared" ref="AN5:AN36" si="19">IF(ISNUMBER($B$18),IF(AND($C$18=5,AH5&lt;=-COS(PI()*$B$18)),AI5,NA()),NA())</f>
        <v>#N/A</v>
      </c>
      <c r="AO5" s="1" t="e">
        <f t="shared" ref="AO5:AO36" si="20">IF(ISNUMBER($B$18),IF(AND(ISNUMBER($B$18),AH5&gt;=MIN(0,$AH$2),AH5&lt;=MAX(0,$AH$2)),IF($AH$2=0,0,AH5/$AH$2*$AI$2),NA()),NA())</f>
        <v>#N/A</v>
      </c>
    </row>
    <row r="6" spans="1:41">
      <c r="A6" s="11" t="s">
        <v>10</v>
      </c>
      <c r="B6" s="15">
        <f>SUM('Current AR'!$S$6:$S$103)</f>
        <v>51055875000</v>
      </c>
      <c r="C6" s="15">
        <f>SUM('Prior AR'!$S$6:$S$85)</f>
        <v>33932519997</v>
      </c>
      <c r="D6" s="15">
        <f t="shared" ref="D6:D11" si="21">IF(AND(ISNUMBER(B6),ISNUMBER(C6)),B6-C6,"n.a.")</f>
        <v>17123355003</v>
      </c>
      <c r="E6" s="13">
        <f t="shared" ref="E6:E11" si="22">IF(AND(ISNUMBER(C6),C6&lt;&gt;0,ISNUMBER(D6)),D6/C6,"n.a.")</f>
        <v>0.50462962976265513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-0.98</v>
      </c>
      <c r="S6" s="1">
        <f t="shared" si="0"/>
        <v>0.1989974874213242</v>
      </c>
      <c r="T6" s="1">
        <f t="shared" si="1"/>
        <v>0.1989974874213242</v>
      </c>
      <c r="U6" s="1" t="e">
        <f t="shared" si="2"/>
        <v>#N/A</v>
      </c>
      <c r="V6" s="1" t="e">
        <f t="shared" si="3"/>
        <v>#N/A</v>
      </c>
      <c r="W6" s="1" t="e">
        <f t="shared" si="4"/>
        <v>#N/A</v>
      </c>
      <c r="X6" s="1" t="e">
        <f t="shared" si="5"/>
        <v>#N/A</v>
      </c>
      <c r="Y6" s="1" t="e">
        <f t="shared" si="6"/>
        <v>#N/A</v>
      </c>
      <c r="Z6" s="1">
        <v>-0.98</v>
      </c>
      <c r="AA6" s="1">
        <f t="shared" si="7"/>
        <v>0.1989974874213242</v>
      </c>
      <c r="AB6" s="1">
        <f t="shared" si="8"/>
        <v>0.1989974874213242</v>
      </c>
      <c r="AC6" s="1" t="e">
        <f t="shared" si="9"/>
        <v>#N/A</v>
      </c>
      <c r="AD6" s="1" t="e">
        <f t="shared" si="10"/>
        <v>#N/A</v>
      </c>
      <c r="AE6" s="1" t="e">
        <f t="shared" si="11"/>
        <v>#N/A</v>
      </c>
      <c r="AF6" s="1" t="e">
        <f t="shared" si="12"/>
        <v>#N/A</v>
      </c>
      <c r="AG6" s="1" t="e">
        <f t="shared" si="13"/>
        <v>#N/A</v>
      </c>
      <c r="AH6" s="1">
        <v>-0.98</v>
      </c>
      <c r="AI6" s="1">
        <f t="shared" si="14"/>
        <v>0.1989974874213242</v>
      </c>
      <c r="AJ6" s="1">
        <f t="shared" si="15"/>
        <v>0.1989974874213242</v>
      </c>
      <c r="AK6" s="1" t="e">
        <f t="shared" si="16"/>
        <v>#N/A</v>
      </c>
      <c r="AL6" s="1" t="e">
        <f t="shared" si="17"/>
        <v>#N/A</v>
      </c>
      <c r="AM6" s="1" t="e">
        <f t="shared" si="18"/>
        <v>#N/A</v>
      </c>
      <c r="AN6" s="1" t="e">
        <f t="shared" si="19"/>
        <v>#N/A</v>
      </c>
      <c r="AO6" s="1" t="e">
        <f t="shared" si="20"/>
        <v>#N/A</v>
      </c>
    </row>
    <row r="7" spans="1:41">
      <c r="A7" s="11" t="s">
        <v>357</v>
      </c>
      <c r="B7" s="15">
        <f>SUMIFS('Current AR'!$S$6:$S$103,'Current AR'!$Q$6:$Q$103,"&gt;0",'Current AR'!$Q$6:$Q$103,"&lt;=60")</f>
        <v>5781096000</v>
      </c>
      <c r="C7" s="15">
        <f>SUMIFS('Prior AR'!$S$6:$S$85,'Prior AR'!$Q$6:$Q$85,"&gt;0",'Prior AR'!$Q$6:$Q$85,"&lt;=60")</f>
        <v>5829261123</v>
      </c>
      <c r="D7" s="15">
        <f t="shared" si="21"/>
        <v>-48165123</v>
      </c>
      <c r="E7" s="13">
        <f t="shared" si="22"/>
        <v>-8.2626463257854648E-3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>
        <v>-0.96</v>
      </c>
      <c r="S7" s="1">
        <f t="shared" si="0"/>
        <v>0.28000000000000003</v>
      </c>
      <c r="T7" s="1">
        <f t="shared" si="1"/>
        <v>0.28000000000000003</v>
      </c>
      <c r="U7" s="1" t="e">
        <f t="shared" si="2"/>
        <v>#N/A</v>
      </c>
      <c r="V7" s="1" t="e">
        <f t="shared" si="3"/>
        <v>#N/A</v>
      </c>
      <c r="W7" s="1" t="e">
        <f t="shared" si="4"/>
        <v>#N/A</v>
      </c>
      <c r="X7" s="1" t="e">
        <f t="shared" si="5"/>
        <v>#N/A</v>
      </c>
      <c r="Y7" s="1" t="e">
        <f t="shared" si="6"/>
        <v>#N/A</v>
      </c>
      <c r="Z7" s="1">
        <v>-0.96</v>
      </c>
      <c r="AA7" s="1">
        <f t="shared" si="7"/>
        <v>0.28000000000000003</v>
      </c>
      <c r="AB7" s="1" t="e">
        <f t="shared" si="8"/>
        <v>#N/A</v>
      </c>
      <c r="AC7" s="1" t="e">
        <f t="shared" si="9"/>
        <v>#N/A</v>
      </c>
      <c r="AD7" s="1" t="e">
        <f t="shared" si="10"/>
        <v>#N/A</v>
      </c>
      <c r="AE7" s="1" t="e">
        <f t="shared" si="11"/>
        <v>#N/A</v>
      </c>
      <c r="AF7" s="1" t="e">
        <f t="shared" si="12"/>
        <v>#N/A</v>
      </c>
      <c r="AG7" s="1">
        <f t="shared" si="13"/>
        <v>0.24253339434244053</v>
      </c>
      <c r="AH7" s="1">
        <v>-0.96</v>
      </c>
      <c r="AI7" s="1">
        <f t="shared" si="14"/>
        <v>0.28000000000000003</v>
      </c>
      <c r="AJ7" s="1">
        <f t="shared" si="15"/>
        <v>0.28000000000000003</v>
      </c>
      <c r="AK7" s="1" t="e">
        <f t="shared" si="16"/>
        <v>#N/A</v>
      </c>
      <c r="AL7" s="1" t="e">
        <f t="shared" si="17"/>
        <v>#N/A</v>
      </c>
      <c r="AM7" s="1" t="e">
        <f t="shared" si="18"/>
        <v>#N/A</v>
      </c>
      <c r="AN7" s="1" t="e">
        <f t="shared" si="19"/>
        <v>#N/A</v>
      </c>
      <c r="AO7" s="1" t="e">
        <f t="shared" si="20"/>
        <v>#N/A</v>
      </c>
    </row>
    <row r="8" spans="1:41">
      <c r="A8" s="11" t="s">
        <v>358</v>
      </c>
      <c r="B8" s="15">
        <f>SUMIFS('Current AR'!$S$6:$S$103,'Current AR'!$Q$6:$Q$103,"&gt;60")</f>
        <v>4021632000</v>
      </c>
      <c r="C8" s="15">
        <f>SUMIFS('Prior AR'!$S$6:$S$85,'Prior AR'!$Q$6:$Q$85,"&gt;60")</f>
        <v>4099303796</v>
      </c>
      <c r="D8" s="15">
        <f t="shared" si="21"/>
        <v>-77671796</v>
      </c>
      <c r="E8" s="13">
        <f t="shared" si="22"/>
        <v>-1.8947557894047822E-2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-0.94</v>
      </c>
      <c r="S8" s="1">
        <f t="shared" si="0"/>
        <v>0.34117444218463971</v>
      </c>
      <c r="T8" s="1">
        <f t="shared" si="1"/>
        <v>0.34117444218463971</v>
      </c>
      <c r="U8" s="1" t="e">
        <f t="shared" si="2"/>
        <v>#N/A</v>
      </c>
      <c r="V8" s="1" t="e">
        <f t="shared" si="3"/>
        <v>#N/A</v>
      </c>
      <c r="W8" s="1" t="e">
        <f t="shared" si="4"/>
        <v>#N/A</v>
      </c>
      <c r="X8" s="1" t="e">
        <f t="shared" si="5"/>
        <v>#N/A</v>
      </c>
      <c r="Y8" s="1" t="e">
        <f t="shared" si="6"/>
        <v>#N/A</v>
      </c>
      <c r="Z8" s="1">
        <v>-0.94</v>
      </c>
      <c r="AA8" s="1">
        <f t="shared" si="7"/>
        <v>0.34117444218463971</v>
      </c>
      <c r="AB8" s="1" t="e">
        <f t="shared" si="8"/>
        <v>#N/A</v>
      </c>
      <c r="AC8" s="1" t="e">
        <f t="shared" si="9"/>
        <v>#N/A</v>
      </c>
      <c r="AD8" s="1" t="e">
        <f t="shared" si="10"/>
        <v>#N/A</v>
      </c>
      <c r="AE8" s="1" t="e">
        <f t="shared" si="11"/>
        <v>#N/A</v>
      </c>
      <c r="AF8" s="1" t="e">
        <f t="shared" si="12"/>
        <v>#N/A</v>
      </c>
      <c r="AG8" s="1">
        <f t="shared" si="13"/>
        <v>0.2374806152936397</v>
      </c>
      <c r="AH8" s="1">
        <v>-0.94</v>
      </c>
      <c r="AI8" s="1">
        <f t="shared" si="14"/>
        <v>0.34117444218463971</v>
      </c>
      <c r="AJ8" s="1">
        <f t="shared" si="15"/>
        <v>0.34117444218463971</v>
      </c>
      <c r="AK8" s="1" t="e">
        <f t="shared" si="16"/>
        <v>#N/A</v>
      </c>
      <c r="AL8" s="1" t="e">
        <f t="shared" si="17"/>
        <v>#N/A</v>
      </c>
      <c r="AM8" s="1" t="e">
        <f t="shared" si="18"/>
        <v>#N/A</v>
      </c>
      <c r="AN8" s="1" t="e">
        <f t="shared" si="19"/>
        <v>#N/A</v>
      </c>
      <c r="AO8" s="1" t="e">
        <f t="shared" si="20"/>
        <v>#N/A</v>
      </c>
    </row>
    <row r="9" spans="1:41">
      <c r="A9" s="11" t="s">
        <v>359</v>
      </c>
      <c r="B9" s="15">
        <f>B7+B8</f>
        <v>9802728000</v>
      </c>
      <c r="C9" s="15">
        <f>C7+C8</f>
        <v>9928564919</v>
      </c>
      <c r="D9" s="15">
        <f t="shared" si="21"/>
        <v>-125836919</v>
      </c>
      <c r="E9" s="13">
        <f t="shared" si="22"/>
        <v>-1.2674230367290002E-2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-0.92</v>
      </c>
      <c r="S9" s="1">
        <f t="shared" si="0"/>
        <v>0.39191835884530846</v>
      </c>
      <c r="T9" s="1" t="e">
        <f t="shared" si="1"/>
        <v>#N/A</v>
      </c>
      <c r="U9" s="1" t="e">
        <f t="shared" si="2"/>
        <v>#N/A</v>
      </c>
      <c r="V9" s="1" t="e">
        <f t="shared" si="3"/>
        <v>#N/A</v>
      </c>
      <c r="W9" s="1" t="e">
        <f t="shared" si="4"/>
        <v>#N/A</v>
      </c>
      <c r="X9" s="1" t="e">
        <f t="shared" si="5"/>
        <v>#N/A</v>
      </c>
      <c r="Y9" s="1">
        <f t="shared" si="6"/>
        <v>0.34180753658542878</v>
      </c>
      <c r="Z9" s="1">
        <v>-0.92</v>
      </c>
      <c r="AA9" s="1">
        <f t="shared" si="7"/>
        <v>0.39191835884530846</v>
      </c>
      <c r="AB9" s="1" t="e">
        <f t="shared" si="8"/>
        <v>#N/A</v>
      </c>
      <c r="AC9" s="1" t="e">
        <f t="shared" si="9"/>
        <v>#N/A</v>
      </c>
      <c r="AD9" s="1" t="e">
        <f t="shared" si="10"/>
        <v>#N/A</v>
      </c>
      <c r="AE9" s="1" t="e">
        <f t="shared" si="11"/>
        <v>#N/A</v>
      </c>
      <c r="AF9" s="1" t="e">
        <f t="shared" si="12"/>
        <v>#N/A</v>
      </c>
      <c r="AG9" s="1">
        <f t="shared" si="13"/>
        <v>0.23242783624483887</v>
      </c>
      <c r="AH9" s="1">
        <v>-0.92</v>
      </c>
      <c r="AI9" s="1">
        <f t="shared" si="14"/>
        <v>0.39191835884530846</v>
      </c>
      <c r="AJ9" s="1">
        <f t="shared" si="15"/>
        <v>0.39191835884530846</v>
      </c>
      <c r="AK9" s="1" t="e">
        <f t="shared" si="16"/>
        <v>#N/A</v>
      </c>
      <c r="AL9" s="1" t="e">
        <f t="shared" si="17"/>
        <v>#N/A</v>
      </c>
      <c r="AM9" s="1" t="e">
        <f t="shared" si="18"/>
        <v>#N/A</v>
      </c>
      <c r="AN9" s="1" t="e">
        <f t="shared" si="19"/>
        <v>#N/A</v>
      </c>
      <c r="AO9" s="1" t="e">
        <f t="shared" si="20"/>
        <v>#N/A</v>
      </c>
    </row>
    <row r="10" spans="1:41">
      <c r="A10" s="11" t="s">
        <v>9</v>
      </c>
      <c r="B10" s="13">
        <f>IF(B6=0,"n.a.",B9/B6)</f>
        <v>0.192</v>
      </c>
      <c r="C10" s="13">
        <f>IF(C6=0,"n.a.",C9/C6)</f>
        <v>0.29259733494234413</v>
      </c>
      <c r="D10" s="13">
        <f t="shared" si="21"/>
        <v>-0.10059733494234413</v>
      </c>
      <c r="E10" s="13">
        <f t="shared" si="22"/>
        <v>-0.34380810393289019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-0.9</v>
      </c>
      <c r="S10" s="1">
        <f t="shared" si="0"/>
        <v>0.43588989435406728</v>
      </c>
      <c r="T10" s="1" t="e">
        <f t="shared" si="1"/>
        <v>#N/A</v>
      </c>
      <c r="U10" s="1" t="e">
        <f t="shared" si="2"/>
        <v>#N/A</v>
      </c>
      <c r="V10" s="1" t="e">
        <f t="shared" si="3"/>
        <v>#N/A</v>
      </c>
      <c r="W10" s="1" t="e">
        <f t="shared" si="4"/>
        <v>#N/A</v>
      </c>
      <c r="X10" s="1" t="e">
        <f t="shared" si="5"/>
        <v>#N/A</v>
      </c>
      <c r="Y10" s="1">
        <f t="shared" si="6"/>
        <v>0.33437693796400642</v>
      </c>
      <c r="Z10" s="1">
        <v>-0.9</v>
      </c>
      <c r="AA10" s="1">
        <f t="shared" si="7"/>
        <v>0.43588989435406728</v>
      </c>
      <c r="AB10" s="1" t="e">
        <f t="shared" si="8"/>
        <v>#N/A</v>
      </c>
      <c r="AC10" s="1" t="e">
        <f t="shared" si="9"/>
        <v>#N/A</v>
      </c>
      <c r="AD10" s="1" t="e">
        <f t="shared" si="10"/>
        <v>#N/A</v>
      </c>
      <c r="AE10" s="1" t="e">
        <f t="shared" si="11"/>
        <v>#N/A</v>
      </c>
      <c r="AF10" s="1" t="e">
        <f t="shared" si="12"/>
        <v>#N/A</v>
      </c>
      <c r="AG10" s="1">
        <f t="shared" si="13"/>
        <v>0.22737505719603804</v>
      </c>
      <c r="AH10" s="1">
        <v>-0.9</v>
      </c>
      <c r="AI10" s="1">
        <f t="shared" si="14"/>
        <v>0.43588989435406728</v>
      </c>
      <c r="AJ10" s="1">
        <f t="shared" si="15"/>
        <v>0.43588989435406728</v>
      </c>
      <c r="AK10" s="1" t="e">
        <f t="shared" si="16"/>
        <v>#N/A</v>
      </c>
      <c r="AL10" s="1" t="e">
        <f t="shared" si="17"/>
        <v>#N/A</v>
      </c>
      <c r="AM10" s="1" t="e">
        <f t="shared" si="18"/>
        <v>#N/A</v>
      </c>
      <c r="AN10" s="1" t="e">
        <f t="shared" si="19"/>
        <v>#N/A</v>
      </c>
      <c r="AO10" s="1" t="e">
        <f t="shared" si="20"/>
        <v>#N/A</v>
      </c>
    </row>
    <row r="11" spans="1:41">
      <c r="A11" s="11" t="s">
        <v>360</v>
      </c>
      <c r="B11" s="15">
        <f>SUMIFS('Current AR'!$S$6:$S$103,'Current AR'!$Q$6:$Q$103,"&gt;=-10",'Current AR'!$Q$6:$Q$103,"&lt;=0")</f>
        <v>3810796638.0000005</v>
      </c>
      <c r="C11" s="15">
        <f>SUMIFS('Prior AR'!$S$6:$S$85,'Prior AR'!$Q$6:$Q$85,"&gt;=-10",'Prior AR'!$Q$6:$Q$85,"&lt;=0")</f>
        <v>3345665769</v>
      </c>
      <c r="D11" s="15">
        <f t="shared" si="21"/>
        <v>465130869.00000048</v>
      </c>
      <c r="E11" s="13">
        <f t="shared" si="22"/>
        <v>0.13902490598725448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-0.88</v>
      </c>
      <c r="S11" s="1">
        <f t="shared" si="0"/>
        <v>0.4749736834815167</v>
      </c>
      <c r="T11" s="1" t="e">
        <f t="shared" si="1"/>
        <v>#N/A</v>
      </c>
      <c r="U11" s="1" t="e">
        <f t="shared" si="2"/>
        <v>#N/A</v>
      </c>
      <c r="V11" s="1" t="e">
        <f t="shared" si="3"/>
        <v>#N/A</v>
      </c>
      <c r="W11" s="1" t="e">
        <f t="shared" si="4"/>
        <v>#N/A</v>
      </c>
      <c r="X11" s="1" t="e">
        <f t="shared" si="5"/>
        <v>#N/A</v>
      </c>
      <c r="Y11" s="1">
        <f t="shared" si="6"/>
        <v>0.32694633934258405</v>
      </c>
      <c r="Z11" s="1">
        <v>-0.88</v>
      </c>
      <c r="AA11" s="1">
        <f t="shared" si="7"/>
        <v>0.4749736834815167</v>
      </c>
      <c r="AB11" s="1" t="e">
        <f t="shared" si="8"/>
        <v>#N/A</v>
      </c>
      <c r="AC11" s="1" t="e">
        <f t="shared" si="9"/>
        <v>#N/A</v>
      </c>
      <c r="AD11" s="1" t="e">
        <f t="shared" si="10"/>
        <v>#N/A</v>
      </c>
      <c r="AE11" s="1" t="e">
        <f t="shared" si="11"/>
        <v>#N/A</v>
      </c>
      <c r="AF11" s="1" t="e">
        <f t="shared" si="12"/>
        <v>#N/A</v>
      </c>
      <c r="AG11" s="1">
        <f t="shared" si="13"/>
        <v>0.22232227814723718</v>
      </c>
      <c r="AH11" s="1">
        <v>-0.88</v>
      </c>
      <c r="AI11" s="1">
        <f t="shared" si="14"/>
        <v>0.4749736834815167</v>
      </c>
      <c r="AJ11" s="1">
        <f t="shared" si="15"/>
        <v>0.4749736834815167</v>
      </c>
      <c r="AK11" s="1" t="e">
        <f t="shared" si="16"/>
        <v>#N/A</v>
      </c>
      <c r="AL11" s="1" t="e">
        <f t="shared" si="17"/>
        <v>#N/A</v>
      </c>
      <c r="AM11" s="1" t="e">
        <f t="shared" si="18"/>
        <v>#N/A</v>
      </c>
      <c r="AN11" s="1" t="e">
        <f t="shared" si="19"/>
        <v>#N/A</v>
      </c>
      <c r="AO11" s="1" t="e">
        <f t="shared" si="20"/>
        <v>#N/A</v>
      </c>
    </row>
    <row r="12" spans="1:41">
      <c r="A12" s="11"/>
      <c r="B12" s="15"/>
      <c r="C12" s="15"/>
      <c r="D12" s="15"/>
      <c r="E12" s="1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-0.86</v>
      </c>
      <c r="S12" s="1">
        <f t="shared" si="0"/>
        <v>0.51029403288692299</v>
      </c>
      <c r="T12" s="1" t="e">
        <f t="shared" si="1"/>
        <v>#N/A</v>
      </c>
      <c r="U12" s="1" t="e">
        <f t="shared" si="2"/>
        <v>#N/A</v>
      </c>
      <c r="V12" s="1" t="e">
        <f t="shared" si="3"/>
        <v>#N/A</v>
      </c>
      <c r="W12" s="1" t="e">
        <f t="shared" si="4"/>
        <v>#N/A</v>
      </c>
      <c r="X12" s="1" t="e">
        <f t="shared" si="5"/>
        <v>#N/A</v>
      </c>
      <c r="Y12" s="1">
        <f t="shared" si="6"/>
        <v>0.31951574072116162</v>
      </c>
      <c r="Z12" s="1">
        <v>-0.86</v>
      </c>
      <c r="AA12" s="1">
        <f t="shared" si="7"/>
        <v>0.51029403288692299</v>
      </c>
      <c r="AB12" s="1" t="e">
        <f t="shared" si="8"/>
        <v>#N/A</v>
      </c>
      <c r="AC12" s="1" t="e">
        <f t="shared" si="9"/>
        <v>#N/A</v>
      </c>
      <c r="AD12" s="1" t="e">
        <f t="shared" si="10"/>
        <v>#N/A</v>
      </c>
      <c r="AE12" s="1" t="e">
        <f t="shared" si="11"/>
        <v>#N/A</v>
      </c>
      <c r="AF12" s="1" t="e">
        <f t="shared" si="12"/>
        <v>#N/A</v>
      </c>
      <c r="AG12" s="1">
        <f t="shared" si="13"/>
        <v>0.21726949909843635</v>
      </c>
      <c r="AH12" s="1">
        <v>-0.86</v>
      </c>
      <c r="AI12" s="1">
        <f t="shared" si="14"/>
        <v>0.51029403288692299</v>
      </c>
      <c r="AJ12" s="1">
        <f t="shared" si="15"/>
        <v>0.51029403288692299</v>
      </c>
      <c r="AK12" s="1" t="e">
        <f t="shared" si="16"/>
        <v>#N/A</v>
      </c>
      <c r="AL12" s="1" t="e">
        <f t="shared" si="17"/>
        <v>#N/A</v>
      </c>
      <c r="AM12" s="1" t="e">
        <f t="shared" si="18"/>
        <v>#N/A</v>
      </c>
      <c r="AN12" s="1" t="e">
        <f t="shared" si="19"/>
        <v>#N/A</v>
      </c>
      <c r="AO12" s="1" t="e">
        <f t="shared" si="20"/>
        <v>#N/A</v>
      </c>
    </row>
    <row r="13" spans="1:41">
      <c r="A13" s="11"/>
      <c r="B13" s="15"/>
      <c r="C13" s="15"/>
      <c r="D13" s="15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>
        <v>-0.84</v>
      </c>
      <c r="S13" s="1">
        <f t="shared" si="0"/>
        <v>0.54258639865002156</v>
      </c>
      <c r="T13" s="1" t="e">
        <f t="shared" si="1"/>
        <v>#N/A</v>
      </c>
      <c r="U13" s="1" t="e">
        <f t="shared" si="2"/>
        <v>#N/A</v>
      </c>
      <c r="V13" s="1" t="e">
        <f t="shared" si="3"/>
        <v>#N/A</v>
      </c>
      <c r="W13" s="1" t="e">
        <f t="shared" si="4"/>
        <v>#N/A</v>
      </c>
      <c r="X13" s="1" t="e">
        <f t="shared" si="5"/>
        <v>#N/A</v>
      </c>
      <c r="Y13" s="1">
        <f t="shared" si="6"/>
        <v>0.31208514209973925</v>
      </c>
      <c r="Z13" s="1">
        <v>-0.84</v>
      </c>
      <c r="AA13" s="1">
        <f t="shared" si="7"/>
        <v>0.54258639865002156</v>
      </c>
      <c r="AB13" s="1" t="e">
        <f t="shared" si="8"/>
        <v>#N/A</v>
      </c>
      <c r="AC13" s="1" t="e">
        <f t="shared" si="9"/>
        <v>#N/A</v>
      </c>
      <c r="AD13" s="1" t="e">
        <f t="shared" si="10"/>
        <v>#N/A</v>
      </c>
      <c r="AE13" s="1" t="e">
        <f t="shared" si="11"/>
        <v>#N/A</v>
      </c>
      <c r="AF13" s="1" t="e">
        <f t="shared" si="12"/>
        <v>#N/A</v>
      </c>
      <c r="AG13" s="1">
        <f t="shared" si="13"/>
        <v>0.21221672004963549</v>
      </c>
      <c r="AH13" s="1">
        <v>-0.84</v>
      </c>
      <c r="AI13" s="1">
        <f t="shared" si="14"/>
        <v>0.54258639865002156</v>
      </c>
      <c r="AJ13" s="1">
        <f t="shared" si="15"/>
        <v>0.54258639865002156</v>
      </c>
      <c r="AK13" s="1" t="e">
        <f t="shared" si="16"/>
        <v>#N/A</v>
      </c>
      <c r="AL13" s="1" t="e">
        <f t="shared" si="17"/>
        <v>#N/A</v>
      </c>
      <c r="AM13" s="1" t="e">
        <f t="shared" si="18"/>
        <v>#N/A</v>
      </c>
      <c r="AN13" s="1" t="e">
        <f t="shared" si="19"/>
        <v>#N/A</v>
      </c>
      <c r="AO13" s="1" t="e">
        <f t="shared" si="20"/>
        <v>#N/A</v>
      </c>
    </row>
    <row r="14" spans="1:41">
      <c r="A14" s="11"/>
      <c r="B14" s="15"/>
      <c r="C14" s="15"/>
      <c r="D14" s="15"/>
      <c r="E14" s="1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v>-0.82</v>
      </c>
      <c r="S14" s="1">
        <f t="shared" si="0"/>
        <v>0.57236352085016751</v>
      </c>
      <c r="T14" s="1" t="e">
        <f t="shared" si="1"/>
        <v>#N/A</v>
      </c>
      <c r="U14" s="1" t="e">
        <f t="shared" si="2"/>
        <v>#N/A</v>
      </c>
      <c r="V14" s="1" t="e">
        <f t="shared" si="3"/>
        <v>#N/A</v>
      </c>
      <c r="W14" s="1" t="e">
        <f t="shared" si="4"/>
        <v>#N/A</v>
      </c>
      <c r="X14" s="1" t="e">
        <f t="shared" si="5"/>
        <v>#N/A</v>
      </c>
      <c r="Y14" s="1">
        <f t="shared" si="6"/>
        <v>0.30465454347831689</v>
      </c>
      <c r="Z14" s="1">
        <v>-0.82</v>
      </c>
      <c r="AA14" s="1">
        <f t="shared" si="7"/>
        <v>0.57236352085016751</v>
      </c>
      <c r="AB14" s="1" t="e">
        <f t="shared" si="8"/>
        <v>#N/A</v>
      </c>
      <c r="AC14" s="1" t="e">
        <f t="shared" si="9"/>
        <v>#N/A</v>
      </c>
      <c r="AD14" s="1" t="e">
        <f t="shared" si="10"/>
        <v>#N/A</v>
      </c>
      <c r="AE14" s="1" t="e">
        <f t="shared" si="11"/>
        <v>#N/A</v>
      </c>
      <c r="AF14" s="1" t="e">
        <f t="shared" si="12"/>
        <v>#N/A</v>
      </c>
      <c r="AG14" s="1">
        <f t="shared" si="13"/>
        <v>0.20716394100083463</v>
      </c>
      <c r="AH14" s="1">
        <v>-0.82</v>
      </c>
      <c r="AI14" s="1">
        <f t="shared" si="14"/>
        <v>0.57236352085016751</v>
      </c>
      <c r="AJ14" s="1" t="e">
        <f t="shared" si="15"/>
        <v>#N/A</v>
      </c>
      <c r="AK14" s="1" t="e">
        <f t="shared" si="16"/>
        <v>#N/A</v>
      </c>
      <c r="AL14" s="1" t="e">
        <f t="shared" si="17"/>
        <v>#N/A</v>
      </c>
      <c r="AM14" s="1" t="e">
        <f t="shared" si="18"/>
        <v>#N/A</v>
      </c>
      <c r="AN14" s="1" t="e">
        <f t="shared" si="19"/>
        <v>#N/A</v>
      </c>
      <c r="AO14" s="1">
        <f t="shared" si="20"/>
        <v>0.56483561139351246</v>
      </c>
    </row>
    <row r="15" spans="1:41">
      <c r="A15" s="12"/>
      <c r="B15" s="16"/>
      <c r="C15" s="16"/>
      <c r="D15" s="16"/>
      <c r="E15" s="1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-0.8</v>
      </c>
      <c r="S15" s="1">
        <f t="shared" si="0"/>
        <v>0.59999999999999987</v>
      </c>
      <c r="T15" s="1" t="e">
        <f t="shared" si="1"/>
        <v>#N/A</v>
      </c>
      <c r="U15" s="1" t="e">
        <f t="shared" si="2"/>
        <v>#N/A</v>
      </c>
      <c r="V15" s="1" t="e">
        <f t="shared" si="3"/>
        <v>#N/A</v>
      </c>
      <c r="W15" s="1" t="e">
        <f t="shared" si="4"/>
        <v>#N/A</v>
      </c>
      <c r="X15" s="1" t="e">
        <f t="shared" si="5"/>
        <v>#N/A</v>
      </c>
      <c r="Y15" s="1">
        <f t="shared" si="6"/>
        <v>0.29722394485689457</v>
      </c>
      <c r="Z15" s="1">
        <v>-0.8</v>
      </c>
      <c r="AA15" s="1">
        <f t="shared" si="7"/>
        <v>0.59999999999999987</v>
      </c>
      <c r="AB15" s="1" t="e">
        <f t="shared" si="8"/>
        <v>#N/A</v>
      </c>
      <c r="AC15" s="1" t="e">
        <f t="shared" si="9"/>
        <v>#N/A</v>
      </c>
      <c r="AD15" s="1" t="e">
        <f t="shared" si="10"/>
        <v>#N/A</v>
      </c>
      <c r="AE15" s="1" t="e">
        <f t="shared" si="11"/>
        <v>#N/A</v>
      </c>
      <c r="AF15" s="1" t="e">
        <f t="shared" si="12"/>
        <v>#N/A</v>
      </c>
      <c r="AG15" s="1">
        <f t="shared" si="13"/>
        <v>0.2021111619520338</v>
      </c>
      <c r="AH15" s="1">
        <v>-0.8</v>
      </c>
      <c r="AI15" s="1">
        <f t="shared" si="14"/>
        <v>0.59999999999999987</v>
      </c>
      <c r="AJ15" s="1" t="e">
        <f t="shared" si="15"/>
        <v>#N/A</v>
      </c>
      <c r="AK15" s="1" t="e">
        <f t="shared" si="16"/>
        <v>#N/A</v>
      </c>
      <c r="AL15" s="1" t="e">
        <f t="shared" si="17"/>
        <v>#N/A</v>
      </c>
      <c r="AM15" s="1" t="e">
        <f t="shared" si="18"/>
        <v>#N/A</v>
      </c>
      <c r="AN15" s="1" t="e">
        <f t="shared" si="19"/>
        <v>#N/A</v>
      </c>
      <c r="AO15" s="1">
        <f t="shared" si="20"/>
        <v>0.55105913306684151</v>
      </c>
    </row>
    <row r="16" spans="1:41">
      <c r="A16" s="11" t="s">
        <v>361</v>
      </c>
      <c r="B16" s="13">
        <f>IF(B6=0,"n.a.",B7/B6)</f>
        <v>0.11323076923076923</v>
      </c>
      <c r="C16" s="25">
        <f>IF(B16&lt;0.2,1,IF(B16&lt;0.3,2,IF(B16&lt;0.45,3,IF(B16&lt;=0.6,4,5))))</f>
        <v>1</v>
      </c>
      <c r="D16" s="13"/>
      <c r="E16" s="1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v>-0.78</v>
      </c>
      <c r="S16" s="1">
        <f t="shared" si="0"/>
        <v>0.62577951388648057</v>
      </c>
      <c r="T16" s="1" t="e">
        <f t="shared" si="1"/>
        <v>#N/A</v>
      </c>
      <c r="U16" s="1" t="e">
        <f t="shared" si="2"/>
        <v>#N/A</v>
      </c>
      <c r="V16" s="1" t="e">
        <f t="shared" si="3"/>
        <v>#N/A</v>
      </c>
      <c r="W16" s="1" t="e">
        <f t="shared" si="4"/>
        <v>#N/A</v>
      </c>
      <c r="X16" s="1" t="e">
        <f t="shared" si="5"/>
        <v>#N/A</v>
      </c>
      <c r="Y16" s="1">
        <f t="shared" si="6"/>
        <v>0.2897933462354722</v>
      </c>
      <c r="Z16" s="1">
        <v>-0.78</v>
      </c>
      <c r="AA16" s="1">
        <f t="shared" si="7"/>
        <v>0.62577951388648057</v>
      </c>
      <c r="AB16" s="1" t="e">
        <f t="shared" si="8"/>
        <v>#N/A</v>
      </c>
      <c r="AC16" s="1" t="e">
        <f t="shared" si="9"/>
        <v>#N/A</v>
      </c>
      <c r="AD16" s="1" t="e">
        <f t="shared" si="10"/>
        <v>#N/A</v>
      </c>
      <c r="AE16" s="1" t="e">
        <f t="shared" si="11"/>
        <v>#N/A</v>
      </c>
      <c r="AF16" s="1" t="e">
        <f t="shared" si="12"/>
        <v>#N/A</v>
      </c>
      <c r="AG16" s="1">
        <f t="shared" si="13"/>
        <v>0.19705838290323296</v>
      </c>
      <c r="AH16" s="1">
        <v>-0.78</v>
      </c>
      <c r="AI16" s="1">
        <f t="shared" si="14"/>
        <v>0.62577951388648057</v>
      </c>
      <c r="AJ16" s="1" t="e">
        <f t="shared" si="15"/>
        <v>#N/A</v>
      </c>
      <c r="AK16" s="1" t="e">
        <f t="shared" si="16"/>
        <v>#N/A</v>
      </c>
      <c r="AL16" s="1" t="e">
        <f t="shared" si="17"/>
        <v>#N/A</v>
      </c>
      <c r="AM16" s="1" t="e">
        <f t="shared" si="18"/>
        <v>#N/A</v>
      </c>
      <c r="AN16" s="1" t="e">
        <f t="shared" si="19"/>
        <v>#N/A</v>
      </c>
      <c r="AO16" s="1">
        <f t="shared" si="20"/>
        <v>0.53728265474017045</v>
      </c>
    </row>
    <row r="17" spans="1:60">
      <c r="A17" s="11" t="s">
        <v>362</v>
      </c>
      <c r="B17" s="13">
        <f>IF(B6=0,"n.a.",B8/B6)</f>
        <v>7.8769230769230772E-2</v>
      </c>
      <c r="C17" s="25">
        <f>IF(B17&lt;0.2,1,IF(B17&lt;0.3,2,IF(B17&lt;0.45,3,IF(B17&lt;=0.6,4,5))))</f>
        <v>1</v>
      </c>
      <c r="D17" s="13"/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-0.76</v>
      </c>
      <c r="S17" s="1">
        <f t="shared" si="0"/>
        <v>0.64992307237087688</v>
      </c>
      <c r="T17" s="1" t="e">
        <f t="shared" si="1"/>
        <v>#N/A</v>
      </c>
      <c r="U17" s="1" t="e">
        <f t="shared" si="2"/>
        <v>#N/A</v>
      </c>
      <c r="V17" s="1" t="e">
        <f t="shared" si="3"/>
        <v>#N/A</v>
      </c>
      <c r="W17" s="1" t="e">
        <f t="shared" si="4"/>
        <v>#N/A</v>
      </c>
      <c r="X17" s="1" t="e">
        <f t="shared" si="5"/>
        <v>#N/A</v>
      </c>
      <c r="Y17" s="1">
        <f t="shared" si="6"/>
        <v>0.28236274761404984</v>
      </c>
      <c r="Z17" s="1">
        <v>-0.76</v>
      </c>
      <c r="AA17" s="1">
        <f t="shared" si="7"/>
        <v>0.64992307237087688</v>
      </c>
      <c r="AB17" s="1" t="e">
        <f t="shared" si="8"/>
        <v>#N/A</v>
      </c>
      <c r="AC17" s="1" t="e">
        <f t="shared" si="9"/>
        <v>#N/A</v>
      </c>
      <c r="AD17" s="1" t="e">
        <f t="shared" si="10"/>
        <v>#N/A</v>
      </c>
      <c r="AE17" s="1" t="e">
        <f t="shared" si="11"/>
        <v>#N/A</v>
      </c>
      <c r="AF17" s="1" t="e">
        <f t="shared" si="12"/>
        <v>#N/A</v>
      </c>
      <c r="AG17" s="1">
        <f t="shared" si="13"/>
        <v>0.19200560385443211</v>
      </c>
      <c r="AH17" s="1">
        <v>-0.76</v>
      </c>
      <c r="AI17" s="1">
        <f t="shared" si="14"/>
        <v>0.64992307237087688</v>
      </c>
      <c r="AJ17" s="1" t="e">
        <f t="shared" si="15"/>
        <v>#N/A</v>
      </c>
      <c r="AK17" s="1" t="e">
        <f t="shared" si="16"/>
        <v>#N/A</v>
      </c>
      <c r="AL17" s="1" t="e">
        <f t="shared" si="17"/>
        <v>#N/A</v>
      </c>
      <c r="AM17" s="1" t="e">
        <f t="shared" si="18"/>
        <v>#N/A</v>
      </c>
      <c r="AN17" s="1" t="e">
        <f t="shared" si="19"/>
        <v>#N/A</v>
      </c>
      <c r="AO17" s="1">
        <f t="shared" si="20"/>
        <v>0.52350617641349939</v>
      </c>
    </row>
    <row r="18" spans="1:60">
      <c r="A18" s="11" t="s">
        <v>9</v>
      </c>
      <c r="B18" s="13">
        <f>B10</f>
        <v>0.192</v>
      </c>
      <c r="C18" s="25">
        <f>IF(B18&lt;0.2,1,IF(B18&lt;0.3,2,IF(B18&lt;0.45,3,IF(B18&lt;=0.6,4,5))))</f>
        <v>1</v>
      </c>
      <c r="D18" s="13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-0.74</v>
      </c>
      <c r="S18" s="1">
        <f t="shared" si="0"/>
        <v>0.67260686883200949</v>
      </c>
      <c r="T18" s="1" t="e">
        <f t="shared" si="1"/>
        <v>#N/A</v>
      </c>
      <c r="U18" s="1" t="e">
        <f t="shared" si="2"/>
        <v>#N/A</v>
      </c>
      <c r="V18" s="1" t="e">
        <f t="shared" si="3"/>
        <v>#N/A</v>
      </c>
      <c r="W18" s="1" t="e">
        <f t="shared" si="4"/>
        <v>#N/A</v>
      </c>
      <c r="X18" s="1" t="e">
        <f t="shared" si="5"/>
        <v>#N/A</v>
      </c>
      <c r="Y18" s="1">
        <f t="shared" si="6"/>
        <v>0.27493214899262747</v>
      </c>
      <c r="Z18" s="1">
        <v>-0.74</v>
      </c>
      <c r="AA18" s="1">
        <f t="shared" si="7"/>
        <v>0.67260686883200949</v>
      </c>
      <c r="AB18" s="1" t="e">
        <f t="shared" si="8"/>
        <v>#N/A</v>
      </c>
      <c r="AC18" s="1" t="e">
        <f t="shared" si="9"/>
        <v>#N/A</v>
      </c>
      <c r="AD18" s="1" t="e">
        <f t="shared" si="10"/>
        <v>#N/A</v>
      </c>
      <c r="AE18" s="1" t="e">
        <f t="shared" si="11"/>
        <v>#N/A</v>
      </c>
      <c r="AF18" s="1" t="e">
        <f t="shared" si="12"/>
        <v>#N/A</v>
      </c>
      <c r="AG18" s="1">
        <f t="shared" si="13"/>
        <v>0.18695282480563127</v>
      </c>
      <c r="AH18" s="1">
        <v>-0.74</v>
      </c>
      <c r="AI18" s="1">
        <f t="shared" si="14"/>
        <v>0.67260686883200949</v>
      </c>
      <c r="AJ18" s="1" t="e">
        <f t="shared" si="15"/>
        <v>#N/A</v>
      </c>
      <c r="AK18" s="1" t="e">
        <f t="shared" si="16"/>
        <v>#N/A</v>
      </c>
      <c r="AL18" s="1" t="e">
        <f t="shared" si="17"/>
        <v>#N/A</v>
      </c>
      <c r="AM18" s="1" t="e">
        <f t="shared" si="18"/>
        <v>#N/A</v>
      </c>
      <c r="AN18" s="1" t="e">
        <f t="shared" si="19"/>
        <v>#N/A</v>
      </c>
      <c r="AO18" s="1">
        <f t="shared" si="20"/>
        <v>0.50972969808682833</v>
      </c>
    </row>
    <row r="19" spans="1:60">
      <c r="A19" s="11"/>
      <c r="B19" s="15"/>
      <c r="C19" s="15"/>
      <c r="D19" s="15"/>
      <c r="E19" s="1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-0.72</v>
      </c>
      <c r="S19" s="1">
        <f t="shared" si="0"/>
        <v>0.69397406291589891</v>
      </c>
      <c r="T19" s="1" t="e">
        <f t="shared" si="1"/>
        <v>#N/A</v>
      </c>
      <c r="U19" s="1" t="e">
        <f t="shared" si="2"/>
        <v>#N/A</v>
      </c>
      <c r="V19" s="1" t="e">
        <f t="shared" si="3"/>
        <v>#N/A</v>
      </c>
      <c r="W19" s="1" t="e">
        <f t="shared" si="4"/>
        <v>#N/A</v>
      </c>
      <c r="X19" s="1" t="e">
        <f t="shared" si="5"/>
        <v>#N/A</v>
      </c>
      <c r="Y19" s="1">
        <f t="shared" si="6"/>
        <v>0.2675015503712051</v>
      </c>
      <c r="Z19" s="1">
        <v>-0.72</v>
      </c>
      <c r="AA19" s="1">
        <f t="shared" si="7"/>
        <v>0.69397406291589891</v>
      </c>
      <c r="AB19" s="1" t="e">
        <f t="shared" si="8"/>
        <v>#N/A</v>
      </c>
      <c r="AC19" s="1" t="e">
        <f t="shared" si="9"/>
        <v>#N/A</v>
      </c>
      <c r="AD19" s="1" t="e">
        <f t="shared" si="10"/>
        <v>#N/A</v>
      </c>
      <c r="AE19" s="1" t="e">
        <f t="shared" si="11"/>
        <v>#N/A</v>
      </c>
      <c r="AF19" s="1" t="e">
        <f t="shared" si="12"/>
        <v>#N/A</v>
      </c>
      <c r="AG19" s="1">
        <f t="shared" si="13"/>
        <v>0.18190004575683041</v>
      </c>
      <c r="AH19" s="1">
        <v>-0.72</v>
      </c>
      <c r="AI19" s="1">
        <f t="shared" si="14"/>
        <v>0.69397406291589891</v>
      </c>
      <c r="AJ19" s="1" t="e">
        <f t="shared" si="15"/>
        <v>#N/A</v>
      </c>
      <c r="AK19" s="1" t="e">
        <f t="shared" si="16"/>
        <v>#N/A</v>
      </c>
      <c r="AL19" s="1" t="e">
        <f t="shared" si="17"/>
        <v>#N/A</v>
      </c>
      <c r="AM19" s="1" t="e">
        <f t="shared" si="18"/>
        <v>#N/A</v>
      </c>
      <c r="AN19" s="1" t="e">
        <f t="shared" si="19"/>
        <v>#N/A</v>
      </c>
      <c r="AO19" s="1">
        <f t="shared" si="20"/>
        <v>0.49595321976015733</v>
      </c>
    </row>
    <row r="20" spans="1:60">
      <c r="A20" s="11"/>
      <c r="B20" s="15"/>
      <c r="C20" s="15"/>
      <c r="D20" s="15"/>
      <c r="E20" s="1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-0.7</v>
      </c>
      <c r="S20" s="1">
        <f t="shared" si="0"/>
        <v>0.71414284285428498</v>
      </c>
      <c r="T20" s="1" t="e">
        <f t="shared" si="1"/>
        <v>#N/A</v>
      </c>
      <c r="U20" s="1" t="e">
        <f t="shared" si="2"/>
        <v>#N/A</v>
      </c>
      <c r="V20" s="1" t="e">
        <f t="shared" si="3"/>
        <v>#N/A</v>
      </c>
      <c r="W20" s="1" t="e">
        <f t="shared" si="4"/>
        <v>#N/A</v>
      </c>
      <c r="X20" s="1" t="e">
        <f t="shared" si="5"/>
        <v>#N/A</v>
      </c>
      <c r="Y20" s="1">
        <f t="shared" si="6"/>
        <v>0.26007095174978273</v>
      </c>
      <c r="Z20" s="1">
        <v>-0.7</v>
      </c>
      <c r="AA20" s="1">
        <f t="shared" si="7"/>
        <v>0.71414284285428498</v>
      </c>
      <c r="AB20" s="1" t="e">
        <f t="shared" si="8"/>
        <v>#N/A</v>
      </c>
      <c r="AC20" s="1" t="e">
        <f t="shared" si="9"/>
        <v>#N/A</v>
      </c>
      <c r="AD20" s="1" t="e">
        <f t="shared" si="10"/>
        <v>#N/A</v>
      </c>
      <c r="AE20" s="1" t="e">
        <f t="shared" si="11"/>
        <v>#N/A</v>
      </c>
      <c r="AF20" s="1" t="e">
        <f t="shared" si="12"/>
        <v>#N/A</v>
      </c>
      <c r="AG20" s="1">
        <f t="shared" si="13"/>
        <v>0.17684726670802958</v>
      </c>
      <c r="AH20" s="1">
        <v>-0.7</v>
      </c>
      <c r="AI20" s="1">
        <f t="shared" si="14"/>
        <v>0.71414284285428498</v>
      </c>
      <c r="AJ20" s="1" t="e">
        <f t="shared" si="15"/>
        <v>#N/A</v>
      </c>
      <c r="AK20" s="1" t="e">
        <f t="shared" si="16"/>
        <v>#N/A</v>
      </c>
      <c r="AL20" s="1" t="e">
        <f t="shared" si="17"/>
        <v>#N/A</v>
      </c>
      <c r="AM20" s="1" t="e">
        <f t="shared" si="18"/>
        <v>#N/A</v>
      </c>
      <c r="AN20" s="1" t="e">
        <f t="shared" si="19"/>
        <v>#N/A</v>
      </c>
      <c r="AO20" s="1">
        <f t="shared" si="20"/>
        <v>0.48217674143348627</v>
      </c>
    </row>
    <row r="21" spans="1:60">
      <c r="A21" s="11"/>
      <c r="B21" s="15"/>
      <c r="C21" s="15"/>
      <c r="D21" s="15"/>
      <c r="E21" s="1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>
        <v>-0.68</v>
      </c>
      <c r="S21" s="1">
        <f t="shared" si="0"/>
        <v>0.73321211119293428</v>
      </c>
      <c r="T21" s="1" t="e">
        <f t="shared" si="1"/>
        <v>#N/A</v>
      </c>
      <c r="U21" s="1" t="e">
        <f t="shared" si="2"/>
        <v>#N/A</v>
      </c>
      <c r="V21" s="1" t="e">
        <f t="shared" si="3"/>
        <v>#N/A</v>
      </c>
      <c r="W21" s="1" t="e">
        <f t="shared" si="4"/>
        <v>#N/A</v>
      </c>
      <c r="X21" s="1" t="e">
        <f t="shared" si="5"/>
        <v>#N/A</v>
      </c>
      <c r="Y21" s="1">
        <f t="shared" si="6"/>
        <v>0.25264035312836042</v>
      </c>
      <c r="Z21" s="1">
        <v>-0.68</v>
      </c>
      <c r="AA21" s="1">
        <f t="shared" si="7"/>
        <v>0.73321211119293428</v>
      </c>
      <c r="AB21" s="1" t="e">
        <f t="shared" si="8"/>
        <v>#N/A</v>
      </c>
      <c r="AC21" s="1" t="e">
        <f t="shared" si="9"/>
        <v>#N/A</v>
      </c>
      <c r="AD21" s="1" t="e">
        <f t="shared" si="10"/>
        <v>#N/A</v>
      </c>
      <c r="AE21" s="1" t="e">
        <f t="shared" si="11"/>
        <v>#N/A</v>
      </c>
      <c r="AF21" s="1" t="e">
        <f t="shared" si="12"/>
        <v>#N/A</v>
      </c>
      <c r="AG21" s="1">
        <f t="shared" si="13"/>
        <v>0.17179448765922872</v>
      </c>
      <c r="AH21" s="1">
        <v>-0.68</v>
      </c>
      <c r="AI21" s="1">
        <f t="shared" si="14"/>
        <v>0.73321211119293428</v>
      </c>
      <c r="AJ21" s="1" t="e">
        <f t="shared" si="15"/>
        <v>#N/A</v>
      </c>
      <c r="AK21" s="1" t="e">
        <f t="shared" si="16"/>
        <v>#N/A</v>
      </c>
      <c r="AL21" s="1" t="e">
        <f t="shared" si="17"/>
        <v>#N/A</v>
      </c>
      <c r="AM21" s="1" t="e">
        <f t="shared" si="18"/>
        <v>#N/A</v>
      </c>
      <c r="AN21" s="1" t="e">
        <f t="shared" si="19"/>
        <v>#N/A</v>
      </c>
      <c r="AO21" s="1">
        <f t="shared" si="20"/>
        <v>0.46840026310681532</v>
      </c>
    </row>
    <row r="22" spans="1:60">
      <c r="A22" s="12"/>
      <c r="B22" s="16"/>
      <c r="C22" s="16"/>
      <c r="D22" s="16"/>
      <c r="E22" s="1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>
        <v>-0.66</v>
      </c>
      <c r="S22" s="1">
        <f t="shared" si="0"/>
        <v>0.751265598839718</v>
      </c>
      <c r="T22" s="1" t="e">
        <f t="shared" si="1"/>
        <v>#N/A</v>
      </c>
      <c r="U22" s="1" t="e">
        <f t="shared" si="2"/>
        <v>#N/A</v>
      </c>
      <c r="V22" s="1" t="e">
        <f t="shared" si="3"/>
        <v>#N/A</v>
      </c>
      <c r="W22" s="1" t="e">
        <f t="shared" si="4"/>
        <v>#N/A</v>
      </c>
      <c r="X22" s="1" t="e">
        <f t="shared" si="5"/>
        <v>#N/A</v>
      </c>
      <c r="Y22" s="1">
        <f t="shared" si="6"/>
        <v>0.24520975450693799</v>
      </c>
      <c r="Z22" s="1">
        <v>-0.66</v>
      </c>
      <c r="AA22" s="1">
        <f t="shared" si="7"/>
        <v>0.751265598839718</v>
      </c>
      <c r="AB22" s="1" t="e">
        <f t="shared" si="8"/>
        <v>#N/A</v>
      </c>
      <c r="AC22" s="1" t="e">
        <f t="shared" si="9"/>
        <v>#N/A</v>
      </c>
      <c r="AD22" s="1" t="e">
        <f t="shared" si="10"/>
        <v>#N/A</v>
      </c>
      <c r="AE22" s="1" t="e">
        <f t="shared" si="11"/>
        <v>#N/A</v>
      </c>
      <c r="AF22" s="1" t="e">
        <f t="shared" si="12"/>
        <v>#N/A</v>
      </c>
      <c r="AG22" s="1">
        <f t="shared" si="13"/>
        <v>0.16674170861042789</v>
      </c>
      <c r="AH22" s="1">
        <v>-0.66</v>
      </c>
      <c r="AI22" s="1">
        <f t="shared" si="14"/>
        <v>0.751265598839718</v>
      </c>
      <c r="AJ22" s="1" t="e">
        <f t="shared" si="15"/>
        <v>#N/A</v>
      </c>
      <c r="AK22" s="1" t="e">
        <f t="shared" si="16"/>
        <v>#N/A</v>
      </c>
      <c r="AL22" s="1" t="e">
        <f t="shared" si="17"/>
        <v>#N/A</v>
      </c>
      <c r="AM22" s="1" t="e">
        <f t="shared" si="18"/>
        <v>#N/A</v>
      </c>
      <c r="AN22" s="1" t="e">
        <f t="shared" si="19"/>
        <v>#N/A</v>
      </c>
      <c r="AO22" s="1">
        <f t="shared" si="20"/>
        <v>0.45462378478014426</v>
      </c>
    </row>
    <row r="23" spans="1:60">
      <c r="A23" s="11" t="s">
        <v>24</v>
      </c>
      <c r="B23" s="15">
        <f>SUMIFS('Current AR'!$S$6:$S$103,'Current AR'!$A$6:$A$103,A23)</f>
        <v>2000343001</v>
      </c>
      <c r="C23" s="15">
        <f>SUMIFS('Prior AR'!$S$6:$S$85,'Prior AR'!$A$6:$A$85,A23)</f>
        <v>1603172748</v>
      </c>
      <c r="D23" s="15">
        <f>SUMIFS('Current AR'!$V$6:$V$103,'Current AR'!$A$6:$A$103,A23,'Current AR'!$Q$6:$Q$103,"&lt;=0")</f>
        <v>450339000</v>
      </c>
      <c r="E23" s="15">
        <f>SUMIFS('Current AR'!$V$6:$V$103,'Current AR'!$A$6:$A$103,A23,'Current AR'!$Q$6:$Q$103,"&gt;0")</f>
        <v>1550004001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>
        <v>-0.64</v>
      </c>
      <c r="S23" s="1">
        <f t="shared" si="0"/>
        <v>0.7683749084919419</v>
      </c>
      <c r="T23" s="1" t="e">
        <f t="shared" si="1"/>
        <v>#N/A</v>
      </c>
      <c r="U23" s="1" t="e">
        <f t="shared" si="2"/>
        <v>#N/A</v>
      </c>
      <c r="V23" s="1" t="e">
        <f t="shared" si="3"/>
        <v>#N/A</v>
      </c>
      <c r="W23" s="1" t="e">
        <f t="shared" si="4"/>
        <v>#N/A</v>
      </c>
      <c r="X23" s="1" t="e">
        <f t="shared" si="5"/>
        <v>#N/A</v>
      </c>
      <c r="Y23" s="1">
        <f t="shared" si="6"/>
        <v>0.23777915588551565</v>
      </c>
      <c r="Z23" s="1">
        <v>-0.64</v>
      </c>
      <c r="AA23" s="1">
        <f t="shared" si="7"/>
        <v>0.7683749084919419</v>
      </c>
      <c r="AB23" s="1" t="e">
        <f t="shared" si="8"/>
        <v>#N/A</v>
      </c>
      <c r="AC23" s="1" t="e">
        <f t="shared" si="9"/>
        <v>#N/A</v>
      </c>
      <c r="AD23" s="1" t="e">
        <f t="shared" si="10"/>
        <v>#N/A</v>
      </c>
      <c r="AE23" s="1" t="e">
        <f t="shared" si="11"/>
        <v>#N/A</v>
      </c>
      <c r="AF23" s="1" t="e">
        <f t="shared" si="12"/>
        <v>#N/A</v>
      </c>
      <c r="AG23" s="1">
        <f t="shared" si="13"/>
        <v>0.16168892956162703</v>
      </c>
      <c r="AH23" s="1">
        <v>-0.64</v>
      </c>
      <c r="AI23" s="1">
        <f t="shared" si="14"/>
        <v>0.7683749084919419</v>
      </c>
      <c r="AJ23" s="1" t="e">
        <f t="shared" si="15"/>
        <v>#N/A</v>
      </c>
      <c r="AK23" s="1" t="e">
        <f t="shared" si="16"/>
        <v>#N/A</v>
      </c>
      <c r="AL23" s="1" t="e">
        <f t="shared" si="17"/>
        <v>#N/A</v>
      </c>
      <c r="AM23" s="1" t="e">
        <f t="shared" si="18"/>
        <v>#N/A</v>
      </c>
      <c r="AN23" s="1" t="e">
        <f t="shared" si="19"/>
        <v>#N/A</v>
      </c>
      <c r="AO23" s="1">
        <f t="shared" si="20"/>
        <v>0.4408473064534732</v>
      </c>
      <c r="AW23" t="str">
        <f t="shared" ref="AW23:AX29" si="23">IF(D23=0,"",IF(ABS(D23)&gt;=1000000000,TEXT(D23/1000000000,IF(MOD(ROUND(D23/1000000000,2),1)=0,"0","0.00"))&amp;" B VND",IF(ABS(D23)&gt;=1000000,TEXT(D23/1000000,IF(MOD(ROUND(D23/1000000,2),1)=0,"0","0.00"))&amp;" M VND",TEXT(D23/1000,IF(MOD(ROUND(D23/1000,2),1)=0,"0","0.00"))&amp;"k")))</f>
        <v>450.34 M VND</v>
      </c>
      <c r="AX23" t="str">
        <f t="shared" si="23"/>
        <v>1.55 B VND</v>
      </c>
    </row>
    <row r="24" spans="1:60">
      <c r="A24" s="11" t="s">
        <v>26</v>
      </c>
      <c r="B24" s="15">
        <f>SUMIFS('Current AR'!$S$6:$S$103,'Current AR'!$A$6:$A$103,A24)</f>
        <v>2283113999</v>
      </c>
      <c r="C24" s="15">
        <f>SUMIFS('Prior AR'!$S$6:$S$85,'Prior AR'!$A$6:$A$85,A24)</f>
        <v>0</v>
      </c>
      <c r="D24" s="15">
        <f>SUMIFS('Current AR'!$V$6:$V$103,'Current AR'!$A$6:$A$103,A24,'Current AR'!$Q$6:$Q$103,"&lt;=0")</f>
        <v>2283113999</v>
      </c>
      <c r="E24" s="15">
        <f>SUMIFS('Current AR'!$V$6:$V$103,'Current AR'!$A$6:$A$103,A24,'Current AR'!$Q$6:$Q$103,"&gt;0")</f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-0.62</v>
      </c>
      <c r="S24" s="1">
        <f t="shared" si="0"/>
        <v>0.7846018098373212</v>
      </c>
      <c r="T24" s="1" t="e">
        <f t="shared" si="1"/>
        <v>#N/A</v>
      </c>
      <c r="U24" s="1" t="e">
        <f t="shared" si="2"/>
        <v>#N/A</v>
      </c>
      <c r="V24" s="1" t="e">
        <f t="shared" si="3"/>
        <v>#N/A</v>
      </c>
      <c r="W24" s="1" t="e">
        <f t="shared" si="4"/>
        <v>#N/A</v>
      </c>
      <c r="X24" s="1" t="e">
        <f t="shared" si="5"/>
        <v>#N/A</v>
      </c>
      <c r="Y24" s="1">
        <f t="shared" si="6"/>
        <v>0.23034855726409328</v>
      </c>
      <c r="Z24" s="1">
        <v>-0.62</v>
      </c>
      <c r="AA24" s="1">
        <f t="shared" si="7"/>
        <v>0.7846018098373212</v>
      </c>
      <c r="AB24" s="1" t="e">
        <f t="shared" si="8"/>
        <v>#N/A</v>
      </c>
      <c r="AC24" s="1" t="e">
        <f t="shared" si="9"/>
        <v>#N/A</v>
      </c>
      <c r="AD24" s="1" t="e">
        <f t="shared" si="10"/>
        <v>#N/A</v>
      </c>
      <c r="AE24" s="1" t="e">
        <f t="shared" si="11"/>
        <v>#N/A</v>
      </c>
      <c r="AF24" s="1" t="e">
        <f t="shared" si="12"/>
        <v>#N/A</v>
      </c>
      <c r="AG24" s="1">
        <f t="shared" si="13"/>
        <v>0.1566361505128262</v>
      </c>
      <c r="AH24" s="1">
        <v>-0.62</v>
      </c>
      <c r="AI24" s="1">
        <f t="shared" si="14"/>
        <v>0.7846018098373212</v>
      </c>
      <c r="AJ24" s="1" t="e">
        <f t="shared" si="15"/>
        <v>#N/A</v>
      </c>
      <c r="AK24" s="1" t="e">
        <f t="shared" si="16"/>
        <v>#N/A</v>
      </c>
      <c r="AL24" s="1" t="e">
        <f t="shared" si="17"/>
        <v>#N/A</v>
      </c>
      <c r="AM24" s="1" t="e">
        <f t="shared" si="18"/>
        <v>#N/A</v>
      </c>
      <c r="AN24" s="1" t="e">
        <f t="shared" si="19"/>
        <v>#N/A</v>
      </c>
      <c r="AO24" s="1">
        <f t="shared" si="20"/>
        <v>0.42707082812680208</v>
      </c>
      <c r="AW24" t="str">
        <f t="shared" si="23"/>
        <v>2.28 B VND</v>
      </c>
      <c r="AX24" t="str">
        <f t="shared" si="23"/>
        <v/>
      </c>
    </row>
    <row r="25" spans="1:60">
      <c r="A25" s="11" t="s">
        <v>28</v>
      </c>
      <c r="B25" s="15">
        <f>SUMIFS('Current AR'!$S$6:$S$103,'Current AR'!$A$6:$A$103,A25)</f>
        <v>39053817000</v>
      </c>
      <c r="C25" s="15">
        <f>SUMIFS('Prior AR'!$S$6:$S$85,'Prior AR'!$A$6:$A$85,A25)</f>
        <v>23724532599.000008</v>
      </c>
      <c r="D25" s="15">
        <f>SUMIFS('Current AR'!$V$6:$V$103,'Current AR'!$A$6:$A$103,A25,'Current AR'!$Q$6:$Q$103,"&lt;=0")</f>
        <v>36498405001</v>
      </c>
      <c r="E25" s="15">
        <f>SUMIFS('Current AR'!$V$6:$V$103,'Current AR'!$A$6:$A$103,A25,'Current AR'!$Q$6:$Q$103,"&gt;0")</f>
        <v>2555411999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>
        <v>-0.6</v>
      </c>
      <c r="S25" s="1">
        <f t="shared" si="0"/>
        <v>0.8</v>
      </c>
      <c r="T25" s="1" t="e">
        <f t="shared" si="1"/>
        <v>#N/A</v>
      </c>
      <c r="U25" s="1" t="e">
        <f t="shared" si="2"/>
        <v>#N/A</v>
      </c>
      <c r="V25" s="1" t="e">
        <f t="shared" si="3"/>
        <v>#N/A</v>
      </c>
      <c r="W25" s="1" t="e">
        <f t="shared" si="4"/>
        <v>#N/A</v>
      </c>
      <c r="X25" s="1" t="e">
        <f t="shared" si="5"/>
        <v>#N/A</v>
      </c>
      <c r="Y25" s="1">
        <f t="shared" si="6"/>
        <v>0.22291795864267092</v>
      </c>
      <c r="Z25" s="1">
        <v>-0.6</v>
      </c>
      <c r="AA25" s="1">
        <f t="shared" si="7"/>
        <v>0.8</v>
      </c>
      <c r="AB25" s="1" t="e">
        <f t="shared" si="8"/>
        <v>#N/A</v>
      </c>
      <c r="AC25" s="1" t="e">
        <f t="shared" si="9"/>
        <v>#N/A</v>
      </c>
      <c r="AD25" s="1" t="e">
        <f t="shared" si="10"/>
        <v>#N/A</v>
      </c>
      <c r="AE25" s="1" t="e">
        <f t="shared" si="11"/>
        <v>#N/A</v>
      </c>
      <c r="AF25" s="1" t="e">
        <f t="shared" si="12"/>
        <v>#N/A</v>
      </c>
      <c r="AG25" s="1">
        <f t="shared" si="13"/>
        <v>0.15158337146402534</v>
      </c>
      <c r="AH25" s="1">
        <v>-0.6</v>
      </c>
      <c r="AI25" s="1">
        <f t="shared" si="14"/>
        <v>0.8</v>
      </c>
      <c r="AJ25" s="1" t="e">
        <f t="shared" si="15"/>
        <v>#N/A</v>
      </c>
      <c r="AK25" s="1" t="e">
        <f t="shared" si="16"/>
        <v>#N/A</v>
      </c>
      <c r="AL25" s="1" t="e">
        <f t="shared" si="17"/>
        <v>#N/A</v>
      </c>
      <c r="AM25" s="1" t="e">
        <f t="shared" si="18"/>
        <v>#N/A</v>
      </c>
      <c r="AN25" s="1" t="e">
        <f t="shared" si="19"/>
        <v>#N/A</v>
      </c>
      <c r="AO25" s="1">
        <f t="shared" si="20"/>
        <v>0.41329434980013108</v>
      </c>
      <c r="AW25" t="str">
        <f t="shared" si="23"/>
        <v>36.50 B VND</v>
      </c>
      <c r="AX25" t="str">
        <f t="shared" si="23"/>
        <v>2.56 B VND</v>
      </c>
    </row>
    <row r="26" spans="1:60">
      <c r="A26" s="11" t="s">
        <v>30</v>
      </c>
      <c r="B26" s="15">
        <f>SUMIFS('Current AR'!$S$6:$S$103,'Current AR'!$A$6:$A$103,A26)</f>
        <v>3653181387.0000005</v>
      </c>
      <c r="C26" s="15">
        <f>SUMIFS('Prior AR'!$S$6:$S$85,'Prior AR'!$A$6:$A$85,A26)</f>
        <v>4505176911</v>
      </c>
      <c r="D26" s="15">
        <f>SUMIFS('Current AR'!$V$6:$V$103,'Current AR'!$A$6:$A$103,A26,'Current AR'!$Q$6:$Q$103,"&lt;=0")</f>
        <v>1977501387</v>
      </c>
      <c r="E26" s="15">
        <f>SUMIFS('Current AR'!$V$6:$V$103,'Current AR'!$A$6:$A$103,A26,'Current AR'!$Q$6:$Q$103,"&gt;0")</f>
        <v>1675680000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>
        <v>-0.57999999999999996</v>
      </c>
      <c r="S26" s="1">
        <f t="shared" si="0"/>
        <v>0.81461647417665206</v>
      </c>
      <c r="T26" s="1" t="e">
        <f t="shared" si="1"/>
        <v>#N/A</v>
      </c>
      <c r="U26" s="1" t="e">
        <f t="shared" si="2"/>
        <v>#N/A</v>
      </c>
      <c r="V26" s="1" t="e">
        <f t="shared" si="3"/>
        <v>#N/A</v>
      </c>
      <c r="W26" s="1" t="e">
        <f t="shared" si="4"/>
        <v>#N/A</v>
      </c>
      <c r="X26" s="1" t="e">
        <f t="shared" si="5"/>
        <v>#N/A</v>
      </c>
      <c r="Y26" s="1">
        <f t="shared" si="6"/>
        <v>0.21548736002124855</v>
      </c>
      <c r="Z26" s="1">
        <v>-0.57999999999999996</v>
      </c>
      <c r="AA26" s="1">
        <f t="shared" si="7"/>
        <v>0.81461647417665206</v>
      </c>
      <c r="AB26" s="1" t="e">
        <f t="shared" si="8"/>
        <v>#N/A</v>
      </c>
      <c r="AC26" s="1" t="e">
        <f t="shared" si="9"/>
        <v>#N/A</v>
      </c>
      <c r="AD26" s="1" t="e">
        <f t="shared" si="10"/>
        <v>#N/A</v>
      </c>
      <c r="AE26" s="1" t="e">
        <f t="shared" si="11"/>
        <v>#N/A</v>
      </c>
      <c r="AF26" s="1" t="e">
        <f t="shared" si="12"/>
        <v>#N/A</v>
      </c>
      <c r="AG26" s="1">
        <f t="shared" si="13"/>
        <v>0.14653059241522451</v>
      </c>
      <c r="AH26" s="1">
        <v>-0.57999999999999996</v>
      </c>
      <c r="AI26" s="1">
        <f t="shared" si="14"/>
        <v>0.81461647417665206</v>
      </c>
      <c r="AJ26" s="1" t="e">
        <f t="shared" si="15"/>
        <v>#N/A</v>
      </c>
      <c r="AK26" s="1" t="e">
        <f t="shared" si="16"/>
        <v>#N/A</v>
      </c>
      <c r="AL26" s="1" t="e">
        <f t="shared" si="17"/>
        <v>#N/A</v>
      </c>
      <c r="AM26" s="1" t="e">
        <f t="shared" si="18"/>
        <v>#N/A</v>
      </c>
      <c r="AN26" s="1" t="e">
        <f t="shared" si="19"/>
        <v>#N/A</v>
      </c>
      <c r="AO26" s="1">
        <f t="shared" si="20"/>
        <v>0.39951787147346002</v>
      </c>
      <c r="AW26" t="str">
        <f t="shared" si="23"/>
        <v>1.98 B VND</v>
      </c>
      <c r="AX26" t="str">
        <f t="shared" si="23"/>
        <v>1.68 B VND</v>
      </c>
    </row>
    <row r="27" spans="1:60">
      <c r="A27" s="11" t="s">
        <v>32</v>
      </c>
      <c r="B27" s="15">
        <f>SUMIFS('Current AR'!$S$6:$S$103,'Current AR'!$A$6:$A$103,A27)</f>
        <v>43462950</v>
      </c>
      <c r="C27" s="15">
        <f>SUMIFS('Prior AR'!$S$6:$S$85,'Prior AR'!$A$6:$A$85,A27)</f>
        <v>0</v>
      </c>
      <c r="D27" s="15">
        <f>SUMIFS('Current AR'!$V$6:$V$103,'Current AR'!$A$6:$A$103,A27,'Current AR'!$Q$6:$Q$103,"&lt;=0")</f>
        <v>43462950</v>
      </c>
      <c r="E27" s="15">
        <f>SUMIFS('Current AR'!$V$6:$V$103,'Current AR'!$A$6:$A$103,A27,'Current AR'!$Q$6:$Q$103,"&gt;0")</f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>
        <v>-0.56000000000000005</v>
      </c>
      <c r="S27" s="1">
        <f t="shared" si="0"/>
        <v>0.82849260708831907</v>
      </c>
      <c r="T27" s="1" t="e">
        <f t="shared" si="1"/>
        <v>#N/A</v>
      </c>
      <c r="U27" s="1" t="e">
        <f t="shared" si="2"/>
        <v>#N/A</v>
      </c>
      <c r="V27" s="1" t="e">
        <f t="shared" si="3"/>
        <v>#N/A</v>
      </c>
      <c r="W27" s="1" t="e">
        <f t="shared" si="4"/>
        <v>#N/A</v>
      </c>
      <c r="X27" s="1" t="e">
        <f t="shared" si="5"/>
        <v>#N/A</v>
      </c>
      <c r="Y27" s="1">
        <f t="shared" si="6"/>
        <v>0.20805676139982623</v>
      </c>
      <c r="Z27" s="1">
        <v>-0.56000000000000005</v>
      </c>
      <c r="AA27" s="1">
        <f t="shared" si="7"/>
        <v>0.82849260708831907</v>
      </c>
      <c r="AB27" s="1" t="e">
        <f t="shared" si="8"/>
        <v>#N/A</v>
      </c>
      <c r="AC27" s="1" t="e">
        <f t="shared" si="9"/>
        <v>#N/A</v>
      </c>
      <c r="AD27" s="1" t="e">
        <f t="shared" si="10"/>
        <v>#N/A</v>
      </c>
      <c r="AE27" s="1" t="e">
        <f t="shared" si="11"/>
        <v>#N/A</v>
      </c>
      <c r="AF27" s="1" t="e">
        <f t="shared" si="12"/>
        <v>#N/A</v>
      </c>
      <c r="AG27" s="1">
        <f t="shared" si="13"/>
        <v>0.14147781336642368</v>
      </c>
      <c r="AH27" s="1">
        <v>-0.56000000000000005</v>
      </c>
      <c r="AI27" s="1">
        <f t="shared" si="14"/>
        <v>0.82849260708831907</v>
      </c>
      <c r="AJ27" s="1" t="e">
        <f t="shared" si="15"/>
        <v>#N/A</v>
      </c>
      <c r="AK27" s="1" t="e">
        <f t="shared" si="16"/>
        <v>#N/A</v>
      </c>
      <c r="AL27" s="1" t="e">
        <f t="shared" si="17"/>
        <v>#N/A</v>
      </c>
      <c r="AM27" s="1" t="e">
        <f t="shared" si="18"/>
        <v>#N/A</v>
      </c>
      <c r="AN27" s="1" t="e">
        <f t="shared" si="19"/>
        <v>#N/A</v>
      </c>
      <c r="AO27" s="1">
        <f t="shared" si="20"/>
        <v>0.38574139314678901</v>
      </c>
      <c r="AW27" t="str">
        <f t="shared" si="23"/>
        <v>43.46 M VND</v>
      </c>
      <c r="AX27" t="str">
        <f t="shared" si="23"/>
        <v/>
      </c>
    </row>
    <row r="28" spans="1:60">
      <c r="A28" s="11" t="s">
        <v>34</v>
      </c>
      <c r="B28" s="15">
        <f>SUMIFS('Current AR'!$S$6:$S$103,'Current AR'!$A$6:$A$103,A28)</f>
        <v>324663</v>
      </c>
      <c r="C28" s="15">
        <f>SUMIFS('Prior AR'!$S$6:$S$85,'Prior AR'!$A$6:$A$85,A28)</f>
        <v>333943</v>
      </c>
      <c r="D28" s="15">
        <f>SUMIFS('Current AR'!$V$6:$V$103,'Current AR'!$A$6:$A$103,A28,'Current AR'!$Q$6:$Q$103,"&lt;=0")</f>
        <v>324663</v>
      </c>
      <c r="E28" s="15">
        <f>SUMIFS('Current AR'!$V$6:$V$103,'Current AR'!$A$6:$A$103,A28,'Current AR'!$Q$6:$Q$103,"&gt;0")</f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-0.54</v>
      </c>
      <c r="S28" s="1">
        <f t="shared" si="0"/>
        <v>0.84166501650003245</v>
      </c>
      <c r="T28" s="1" t="e">
        <f t="shared" si="1"/>
        <v>#N/A</v>
      </c>
      <c r="U28" s="1" t="e">
        <f t="shared" si="2"/>
        <v>#N/A</v>
      </c>
      <c r="V28" s="1" t="e">
        <f t="shared" si="3"/>
        <v>#N/A</v>
      </c>
      <c r="W28" s="1" t="e">
        <f t="shared" si="4"/>
        <v>#N/A</v>
      </c>
      <c r="X28" s="1" t="e">
        <f t="shared" si="5"/>
        <v>#N/A</v>
      </c>
      <c r="Y28" s="1">
        <f t="shared" si="6"/>
        <v>0.20062616277840384</v>
      </c>
      <c r="Z28" s="1">
        <v>-0.54</v>
      </c>
      <c r="AA28" s="1">
        <f t="shared" si="7"/>
        <v>0.84166501650003245</v>
      </c>
      <c r="AB28" s="1" t="e">
        <f t="shared" si="8"/>
        <v>#N/A</v>
      </c>
      <c r="AC28" s="1" t="e">
        <f t="shared" si="9"/>
        <v>#N/A</v>
      </c>
      <c r="AD28" s="1" t="e">
        <f t="shared" si="10"/>
        <v>#N/A</v>
      </c>
      <c r="AE28" s="1" t="e">
        <f t="shared" si="11"/>
        <v>#N/A</v>
      </c>
      <c r="AF28" s="1" t="e">
        <f t="shared" si="12"/>
        <v>#N/A</v>
      </c>
      <c r="AG28" s="1">
        <f t="shared" si="13"/>
        <v>0.13642503431762285</v>
      </c>
      <c r="AH28" s="1">
        <v>-0.54</v>
      </c>
      <c r="AI28" s="1">
        <f t="shared" si="14"/>
        <v>0.84166501650003245</v>
      </c>
      <c r="AJ28" s="1" t="e">
        <f t="shared" si="15"/>
        <v>#N/A</v>
      </c>
      <c r="AK28" s="1" t="e">
        <f t="shared" si="16"/>
        <v>#N/A</v>
      </c>
      <c r="AL28" s="1" t="e">
        <f t="shared" si="17"/>
        <v>#N/A</v>
      </c>
      <c r="AM28" s="1" t="e">
        <f t="shared" si="18"/>
        <v>#N/A</v>
      </c>
      <c r="AN28" s="1" t="e">
        <f t="shared" si="19"/>
        <v>#N/A</v>
      </c>
      <c r="AO28" s="1">
        <f t="shared" si="20"/>
        <v>0.37196491482011801</v>
      </c>
      <c r="AW28" t="str">
        <f t="shared" si="23"/>
        <v>324.66k</v>
      </c>
      <c r="AX28" t="str">
        <f t="shared" si="23"/>
        <v/>
      </c>
    </row>
    <row r="29" spans="1:60">
      <c r="A29" s="11" t="s">
        <v>36</v>
      </c>
      <c r="B29" s="15">
        <f>SUMIFS('Current AR'!$S$6:$S$103,'Current AR'!$A$6:$A$103,A29)</f>
        <v>4021632000</v>
      </c>
      <c r="C29" s="15">
        <f>SUMIFS('Prior AR'!$S$6:$S$85,'Prior AR'!$A$6:$A$85,A29)</f>
        <v>4099303796</v>
      </c>
      <c r="D29" s="15">
        <f>SUMIFS('Current AR'!$V$6:$V$103,'Current AR'!$A$6:$A$103,A29,'Current AR'!$Q$6:$Q$103,"&lt;=0")</f>
        <v>0</v>
      </c>
      <c r="E29" s="15">
        <f>SUMIFS('Current AR'!$V$6:$V$103,'Current AR'!$A$6:$A$103,A29,'Current AR'!$Q$6:$Q$103,"&gt;0")</f>
        <v>4021632000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>
        <v>-0.52</v>
      </c>
      <c r="S29" s="1">
        <f t="shared" si="0"/>
        <v>0.85416626016250496</v>
      </c>
      <c r="T29" s="1" t="e">
        <f t="shared" si="1"/>
        <v>#N/A</v>
      </c>
      <c r="U29" s="1" t="e">
        <f t="shared" si="2"/>
        <v>#N/A</v>
      </c>
      <c r="V29" s="1" t="e">
        <f t="shared" si="3"/>
        <v>#N/A</v>
      </c>
      <c r="W29" s="1" t="e">
        <f t="shared" si="4"/>
        <v>#N/A</v>
      </c>
      <c r="X29" s="1" t="e">
        <f t="shared" si="5"/>
        <v>#N/A</v>
      </c>
      <c r="Y29" s="1">
        <f t="shared" si="6"/>
        <v>0.19319556415698147</v>
      </c>
      <c r="Z29" s="1">
        <v>-0.52</v>
      </c>
      <c r="AA29" s="1">
        <f t="shared" si="7"/>
        <v>0.85416626016250496</v>
      </c>
      <c r="AB29" s="1" t="e">
        <f t="shared" si="8"/>
        <v>#N/A</v>
      </c>
      <c r="AC29" s="1" t="e">
        <f t="shared" si="9"/>
        <v>#N/A</v>
      </c>
      <c r="AD29" s="1" t="e">
        <f t="shared" si="10"/>
        <v>#N/A</v>
      </c>
      <c r="AE29" s="1" t="e">
        <f t="shared" si="11"/>
        <v>#N/A</v>
      </c>
      <c r="AF29" s="1" t="e">
        <f t="shared" si="12"/>
        <v>#N/A</v>
      </c>
      <c r="AG29" s="1">
        <f t="shared" si="13"/>
        <v>0.13137225526882196</v>
      </c>
      <c r="AH29" s="1">
        <v>-0.52</v>
      </c>
      <c r="AI29" s="1">
        <f t="shared" si="14"/>
        <v>0.85416626016250496</v>
      </c>
      <c r="AJ29" s="1" t="e">
        <f t="shared" si="15"/>
        <v>#N/A</v>
      </c>
      <c r="AK29" s="1" t="e">
        <f t="shared" si="16"/>
        <v>#N/A</v>
      </c>
      <c r="AL29" s="1" t="e">
        <f t="shared" si="17"/>
        <v>#N/A</v>
      </c>
      <c r="AM29" s="1" t="e">
        <f t="shared" si="18"/>
        <v>#N/A</v>
      </c>
      <c r="AN29" s="1" t="e">
        <f t="shared" si="19"/>
        <v>#N/A</v>
      </c>
      <c r="AO29" s="1">
        <f t="shared" si="20"/>
        <v>0.35818843649344695</v>
      </c>
      <c r="AW29" t="str">
        <f t="shared" si="23"/>
        <v/>
      </c>
      <c r="AX29" t="str">
        <f t="shared" si="23"/>
        <v>4.02 B VND</v>
      </c>
    </row>
    <row r="30" spans="1:60">
      <c r="A30" s="12"/>
      <c r="B30" s="16"/>
      <c r="C30" s="16"/>
      <c r="D30" s="16"/>
      <c r="E30" s="1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>
        <v>-0.5</v>
      </c>
      <c r="S30" s="1">
        <f t="shared" si="0"/>
        <v>0.8660254037844386</v>
      </c>
      <c r="T30" s="1" t="e">
        <f t="shared" si="1"/>
        <v>#N/A</v>
      </c>
      <c r="U30" s="1" t="e">
        <f t="shared" si="2"/>
        <v>#N/A</v>
      </c>
      <c r="V30" s="1" t="e">
        <f t="shared" si="3"/>
        <v>#N/A</v>
      </c>
      <c r="W30" s="1" t="e">
        <f t="shared" si="4"/>
        <v>#N/A</v>
      </c>
      <c r="X30" s="1" t="e">
        <f t="shared" si="5"/>
        <v>#N/A</v>
      </c>
      <c r="Y30" s="1">
        <f t="shared" si="6"/>
        <v>0.1857649655355591</v>
      </c>
      <c r="Z30" s="1">
        <v>-0.5</v>
      </c>
      <c r="AA30" s="1">
        <f t="shared" si="7"/>
        <v>0.8660254037844386</v>
      </c>
      <c r="AB30" s="1" t="e">
        <f t="shared" si="8"/>
        <v>#N/A</v>
      </c>
      <c r="AC30" s="1" t="e">
        <f t="shared" si="9"/>
        <v>#N/A</v>
      </c>
      <c r="AD30" s="1" t="e">
        <f t="shared" si="10"/>
        <v>#N/A</v>
      </c>
      <c r="AE30" s="1" t="e">
        <f t="shared" si="11"/>
        <v>#N/A</v>
      </c>
      <c r="AF30" s="1" t="e">
        <f t="shared" si="12"/>
        <v>#N/A</v>
      </c>
      <c r="AG30" s="1">
        <f t="shared" si="13"/>
        <v>0.12631947622002113</v>
      </c>
      <c r="AH30" s="1">
        <v>-0.5</v>
      </c>
      <c r="AI30" s="1">
        <f t="shared" si="14"/>
        <v>0.8660254037844386</v>
      </c>
      <c r="AJ30" s="1" t="e">
        <f t="shared" si="15"/>
        <v>#N/A</v>
      </c>
      <c r="AK30" s="1" t="e">
        <f t="shared" si="16"/>
        <v>#N/A</v>
      </c>
      <c r="AL30" s="1" t="e">
        <f t="shared" si="17"/>
        <v>#N/A</v>
      </c>
      <c r="AM30" s="1" t="e">
        <f t="shared" si="18"/>
        <v>#N/A</v>
      </c>
      <c r="AN30" s="1" t="e">
        <f t="shared" si="19"/>
        <v>#N/A</v>
      </c>
      <c r="AO30" s="1">
        <f t="shared" si="20"/>
        <v>0.34441195816677589</v>
      </c>
    </row>
    <row r="31" spans="1:60">
      <c r="A31" s="11" t="s">
        <v>25</v>
      </c>
      <c r="B31" s="15">
        <f>SUMIFS('Current AR'!$S$6:$S$103,'Current AR'!$J$6:$J$103,A31)</f>
        <v>14614668379</v>
      </c>
      <c r="C31" s="15">
        <f>SUMIFS('Prior AR'!$S$6:$S$85,'Prior AR'!$J$6:$J$85,A31)</f>
        <v>14415882833.000004</v>
      </c>
      <c r="D31" s="15">
        <f>SUMIFS('Current AR'!$V$6:$V$103,'Current AR'!$J$6:$J$103,A31,'Current AR'!$Q$6:$Q$103,"&lt;=0")</f>
        <v>10509252379</v>
      </c>
      <c r="E31" s="15">
        <f>SUMIFS('Current AR'!$V$6:$V$103,'Current AR'!$J$6:$J$103,A31,'Current AR'!$Q$6:$Q$103,"&gt;0")</f>
        <v>4105416000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>
        <v>-0.48</v>
      </c>
      <c r="S31" s="1">
        <f t="shared" si="0"/>
        <v>0.87726848797845236</v>
      </c>
      <c r="T31" s="1" t="e">
        <f t="shared" si="1"/>
        <v>#N/A</v>
      </c>
      <c r="U31" s="1" t="e">
        <f t="shared" si="2"/>
        <v>#N/A</v>
      </c>
      <c r="V31" s="1" t="e">
        <f t="shared" si="3"/>
        <v>#N/A</v>
      </c>
      <c r="W31" s="1" t="e">
        <f t="shared" si="4"/>
        <v>#N/A</v>
      </c>
      <c r="X31" s="1" t="e">
        <f t="shared" si="5"/>
        <v>#N/A</v>
      </c>
      <c r="Y31" s="1">
        <f t="shared" si="6"/>
        <v>0.17833436691413673</v>
      </c>
      <c r="Z31" s="1">
        <v>-0.48</v>
      </c>
      <c r="AA31" s="1">
        <f t="shared" si="7"/>
        <v>0.87726848797845236</v>
      </c>
      <c r="AB31" s="1" t="e">
        <f t="shared" si="8"/>
        <v>#N/A</v>
      </c>
      <c r="AC31" s="1" t="e">
        <f t="shared" si="9"/>
        <v>#N/A</v>
      </c>
      <c r="AD31" s="1" t="e">
        <f t="shared" si="10"/>
        <v>#N/A</v>
      </c>
      <c r="AE31" s="1" t="e">
        <f t="shared" si="11"/>
        <v>#N/A</v>
      </c>
      <c r="AF31" s="1" t="e">
        <f t="shared" si="12"/>
        <v>#N/A</v>
      </c>
      <c r="AG31" s="1">
        <f t="shared" si="13"/>
        <v>0.12126669717122027</v>
      </c>
      <c r="AH31" s="1">
        <v>-0.48</v>
      </c>
      <c r="AI31" s="1">
        <f t="shared" si="14"/>
        <v>0.87726848797845236</v>
      </c>
      <c r="AJ31" s="1" t="e">
        <f t="shared" si="15"/>
        <v>#N/A</v>
      </c>
      <c r="AK31" s="1" t="e">
        <f t="shared" si="16"/>
        <v>#N/A</v>
      </c>
      <c r="AL31" s="1" t="e">
        <f t="shared" si="17"/>
        <v>#N/A</v>
      </c>
      <c r="AM31" s="1" t="e">
        <f t="shared" si="18"/>
        <v>#N/A</v>
      </c>
      <c r="AN31" s="1" t="e">
        <f t="shared" si="19"/>
        <v>#N/A</v>
      </c>
      <c r="AO31" s="1">
        <f t="shared" si="20"/>
        <v>0.33063547984010488</v>
      </c>
      <c r="AY31" t="str">
        <f t="shared" ref="AY31:AZ37" si="24">IF(D31=0,"",IF(ABS(D31)&gt;=1000000000,TEXT(D31/1000000000,IF(MOD(ROUND(D31/1000000000,2),1)=0,"0","0.00"))&amp;" B VND",IF(ABS(D31)&gt;=1000000,TEXT(D31/1000000,IF(MOD(ROUND(D31/1000000,2),1)=0,"0","0.00"))&amp;" M VND",TEXT(D31/1000,IF(MOD(ROUND(D31/1000,2),1)=0,"0","0.00"))&amp;"k")))</f>
        <v>10.51 B VND</v>
      </c>
      <c r="AZ31" t="str">
        <f t="shared" si="24"/>
        <v>4.11 B VND</v>
      </c>
      <c r="BD31" s="9">
        <f>D31</f>
        <v>10509252379</v>
      </c>
      <c r="BE31" s="9">
        <f>E31</f>
        <v>4105416000</v>
      </c>
      <c r="BF31" t="str">
        <f>A31</f>
        <v>Staff 01</v>
      </c>
      <c r="BG31" t="str">
        <f>AY31</f>
        <v>10.51 B VND</v>
      </c>
      <c r="BH31" t="str">
        <f>AZ31</f>
        <v>4.11 B VND</v>
      </c>
    </row>
    <row r="32" spans="1:60">
      <c r="A32" s="11" t="s">
        <v>29</v>
      </c>
      <c r="B32" s="15">
        <f>SUMIFS('Current AR'!$S$6:$S$103,'Current AR'!$J$6:$J$103,A32)</f>
        <v>2283113999</v>
      </c>
      <c r="C32" s="15">
        <f>SUMIFS('Prior AR'!$S$6:$S$85,'Prior AR'!$J$6:$J$85,A32)</f>
        <v>0</v>
      </c>
      <c r="D32" s="15">
        <f>SUMIFS('Current AR'!$V$6:$V$103,'Current AR'!$J$6:$J$103,A32,'Current AR'!$Q$6:$Q$103,"&lt;=0")</f>
        <v>2283113999</v>
      </c>
      <c r="E32" s="15">
        <f>SUMIFS('Current AR'!$V$6:$V$103,'Current AR'!$J$6:$J$103,A32,'Current AR'!$Q$6:$Q$103,"&gt;0")</f>
        <v>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>
        <v>-0.46</v>
      </c>
      <c r="S32" s="1">
        <f t="shared" si="0"/>
        <v>0.88791891521692456</v>
      </c>
      <c r="T32" s="1" t="e">
        <f t="shared" si="1"/>
        <v>#N/A</v>
      </c>
      <c r="U32" s="1" t="e">
        <f t="shared" si="2"/>
        <v>#N/A</v>
      </c>
      <c r="V32" s="1" t="e">
        <f t="shared" si="3"/>
        <v>#N/A</v>
      </c>
      <c r="W32" s="1" t="e">
        <f t="shared" si="4"/>
        <v>#N/A</v>
      </c>
      <c r="X32" s="1" t="e">
        <f t="shared" si="5"/>
        <v>#N/A</v>
      </c>
      <c r="Y32" s="1">
        <f t="shared" si="6"/>
        <v>0.17090376829271439</v>
      </c>
      <c r="Z32" s="1">
        <v>-0.46</v>
      </c>
      <c r="AA32" s="1">
        <f t="shared" si="7"/>
        <v>0.88791891521692456</v>
      </c>
      <c r="AB32" s="1" t="e">
        <f t="shared" si="8"/>
        <v>#N/A</v>
      </c>
      <c r="AC32" s="1" t="e">
        <f t="shared" si="9"/>
        <v>#N/A</v>
      </c>
      <c r="AD32" s="1" t="e">
        <f t="shared" si="10"/>
        <v>#N/A</v>
      </c>
      <c r="AE32" s="1" t="e">
        <f t="shared" si="11"/>
        <v>#N/A</v>
      </c>
      <c r="AF32" s="1" t="e">
        <f t="shared" si="12"/>
        <v>#N/A</v>
      </c>
      <c r="AG32" s="1">
        <f t="shared" si="13"/>
        <v>0.11621391812241944</v>
      </c>
      <c r="AH32" s="1">
        <v>-0.46</v>
      </c>
      <c r="AI32" s="1">
        <f t="shared" si="14"/>
        <v>0.88791891521692456</v>
      </c>
      <c r="AJ32" s="1" t="e">
        <f t="shared" si="15"/>
        <v>#N/A</v>
      </c>
      <c r="AK32" s="1" t="e">
        <f t="shared" si="16"/>
        <v>#N/A</v>
      </c>
      <c r="AL32" s="1" t="e">
        <f t="shared" si="17"/>
        <v>#N/A</v>
      </c>
      <c r="AM32" s="1" t="e">
        <f t="shared" si="18"/>
        <v>#N/A</v>
      </c>
      <c r="AN32" s="1" t="e">
        <f t="shared" si="19"/>
        <v>#N/A</v>
      </c>
      <c r="AO32" s="1">
        <f t="shared" si="20"/>
        <v>0.31685900151343382</v>
      </c>
      <c r="AY32" t="str">
        <f t="shared" si="24"/>
        <v>2.28 B VND</v>
      </c>
      <c r="AZ32" t="str">
        <f t="shared" si="24"/>
        <v/>
      </c>
      <c r="BD32" s="9">
        <f t="shared" ref="BD32:BE36" si="25">D33</f>
        <v>28416993008.999996</v>
      </c>
      <c r="BE32" s="9">
        <f t="shared" si="25"/>
        <v>1675680000</v>
      </c>
      <c r="BF32" t="str">
        <f>A33</f>
        <v>Staff 02</v>
      </c>
      <c r="BG32" t="str">
        <f t="shared" ref="BG32:BH36" si="26">AY33</f>
        <v>28.42 B VND</v>
      </c>
      <c r="BH32" t="str">
        <f t="shared" si="26"/>
        <v>1.68 B VND</v>
      </c>
    </row>
    <row r="33" spans="1:80">
      <c r="A33" s="11" t="s">
        <v>27</v>
      </c>
      <c r="B33" s="15">
        <f>SUMIFS('Current AR'!$S$6:$S$103,'Current AR'!$J$6:$J$103,A33)</f>
        <v>30092673008.999996</v>
      </c>
      <c r="C33" s="15">
        <f>SUMIFS('Prior AR'!$S$6:$S$85,'Prior AR'!$J$6:$J$85,A33)</f>
        <v>15416999424.999998</v>
      </c>
      <c r="D33" s="15">
        <f>SUMIFS('Current AR'!$V$6:$V$103,'Current AR'!$J$6:$J$103,A33,'Current AR'!$Q$6:$Q$103,"&lt;=0")</f>
        <v>28416993008.999996</v>
      </c>
      <c r="E33" s="15">
        <f>SUMIFS('Current AR'!$V$6:$V$103,'Current AR'!$J$6:$J$103,A33,'Current AR'!$Q$6:$Q$103,"&gt;0")</f>
        <v>1675680000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v>-0.44</v>
      </c>
      <c r="S33" s="1">
        <f t="shared" si="0"/>
        <v>0.89799777282574589</v>
      </c>
      <c r="T33" s="1" t="e">
        <f t="shared" si="1"/>
        <v>#N/A</v>
      </c>
      <c r="U33" s="1" t="e">
        <f t="shared" si="2"/>
        <v>#N/A</v>
      </c>
      <c r="V33" s="1" t="e">
        <f t="shared" si="3"/>
        <v>#N/A</v>
      </c>
      <c r="W33" s="1" t="e">
        <f t="shared" si="4"/>
        <v>#N/A</v>
      </c>
      <c r="X33" s="1" t="e">
        <f t="shared" si="5"/>
        <v>#N/A</v>
      </c>
      <c r="Y33" s="1">
        <f t="shared" si="6"/>
        <v>0.16347316967129202</v>
      </c>
      <c r="Z33" s="1">
        <v>-0.44</v>
      </c>
      <c r="AA33" s="1">
        <f t="shared" si="7"/>
        <v>0.89799777282574589</v>
      </c>
      <c r="AB33" s="1" t="e">
        <f t="shared" si="8"/>
        <v>#N/A</v>
      </c>
      <c r="AC33" s="1" t="e">
        <f t="shared" si="9"/>
        <v>#N/A</v>
      </c>
      <c r="AD33" s="1" t="e">
        <f t="shared" si="10"/>
        <v>#N/A</v>
      </c>
      <c r="AE33" s="1" t="e">
        <f t="shared" si="11"/>
        <v>#N/A</v>
      </c>
      <c r="AF33" s="1" t="e">
        <f t="shared" si="12"/>
        <v>#N/A</v>
      </c>
      <c r="AG33" s="1">
        <f t="shared" si="13"/>
        <v>0.11116113907361859</v>
      </c>
      <c r="AH33" s="1">
        <v>-0.44</v>
      </c>
      <c r="AI33" s="1">
        <f t="shared" si="14"/>
        <v>0.89799777282574589</v>
      </c>
      <c r="AJ33" s="1" t="e">
        <f t="shared" si="15"/>
        <v>#N/A</v>
      </c>
      <c r="AK33" s="1" t="e">
        <f t="shared" si="16"/>
        <v>#N/A</v>
      </c>
      <c r="AL33" s="1" t="e">
        <f t="shared" si="17"/>
        <v>#N/A</v>
      </c>
      <c r="AM33" s="1" t="e">
        <f t="shared" si="18"/>
        <v>#N/A</v>
      </c>
      <c r="AN33" s="1" t="e">
        <f t="shared" si="19"/>
        <v>#N/A</v>
      </c>
      <c r="AO33" s="1">
        <f t="shared" si="20"/>
        <v>0.30308252318676276</v>
      </c>
      <c r="AY33" t="str">
        <f t="shared" si="24"/>
        <v>28.42 B VND</v>
      </c>
      <c r="AZ33" t="str">
        <f t="shared" si="24"/>
        <v>1.68 B VND</v>
      </c>
      <c r="BD33" s="9">
        <f t="shared" si="25"/>
        <v>2283113999</v>
      </c>
      <c r="BE33" s="9">
        <f t="shared" si="25"/>
        <v>0</v>
      </c>
      <c r="BF33" t="str">
        <f>A34</f>
        <v>Staff 03</v>
      </c>
      <c r="BG33" t="str">
        <f t="shared" si="26"/>
        <v>2.28 B VND</v>
      </c>
      <c r="BH33" t="str">
        <f t="shared" si="26"/>
        <v/>
      </c>
    </row>
    <row r="34" spans="1:80">
      <c r="A34" s="11" t="s">
        <v>29</v>
      </c>
      <c r="B34" s="15">
        <f>SUMIFS('Current AR'!$S$6:$S$103,'Current AR'!$J$6:$J$103,A34)</f>
        <v>2283113999</v>
      </c>
      <c r="C34" s="15">
        <f>SUMIFS('Prior AR'!$S$6:$S$85,'Prior AR'!$J$6:$J$85,A34)</f>
        <v>0</v>
      </c>
      <c r="D34" s="15">
        <f>SUMIFS('Current AR'!$V$6:$V$103,'Current AR'!$J$6:$J$103,A34,'Current AR'!$Q$6:$Q$103,"&lt;=0")</f>
        <v>2283113999</v>
      </c>
      <c r="E34" s="15">
        <f>SUMIFS('Current AR'!$V$6:$V$103,'Current AR'!$J$6:$J$103,A34,'Current AR'!$Q$6:$Q$103,"&gt;0")</f>
        <v>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>
        <v>-0.42</v>
      </c>
      <c r="S34" s="1">
        <f t="shared" si="0"/>
        <v>0.90752410436307418</v>
      </c>
      <c r="T34" s="1" t="e">
        <f t="shared" si="1"/>
        <v>#N/A</v>
      </c>
      <c r="U34" s="1" t="e">
        <f t="shared" si="2"/>
        <v>#N/A</v>
      </c>
      <c r="V34" s="1" t="e">
        <f t="shared" si="3"/>
        <v>#N/A</v>
      </c>
      <c r="W34" s="1" t="e">
        <f t="shared" si="4"/>
        <v>#N/A</v>
      </c>
      <c r="X34" s="1" t="e">
        <f t="shared" si="5"/>
        <v>#N/A</v>
      </c>
      <c r="Y34" s="1">
        <f t="shared" si="6"/>
        <v>0.15604257104986963</v>
      </c>
      <c r="Z34" s="1">
        <v>-0.42</v>
      </c>
      <c r="AA34" s="1">
        <f t="shared" si="7"/>
        <v>0.90752410436307418</v>
      </c>
      <c r="AB34" s="1" t="e">
        <f t="shared" si="8"/>
        <v>#N/A</v>
      </c>
      <c r="AC34" s="1" t="e">
        <f t="shared" si="9"/>
        <v>#N/A</v>
      </c>
      <c r="AD34" s="1" t="e">
        <f t="shared" si="10"/>
        <v>#N/A</v>
      </c>
      <c r="AE34" s="1" t="e">
        <f t="shared" si="11"/>
        <v>#N/A</v>
      </c>
      <c r="AF34" s="1" t="e">
        <f t="shared" si="12"/>
        <v>#N/A</v>
      </c>
      <c r="AG34" s="1">
        <f t="shared" si="13"/>
        <v>0.10610836002481774</v>
      </c>
      <c r="AH34" s="1">
        <v>-0.42</v>
      </c>
      <c r="AI34" s="1">
        <f t="shared" si="14"/>
        <v>0.90752410436307418</v>
      </c>
      <c r="AJ34" s="1" t="e">
        <f t="shared" si="15"/>
        <v>#N/A</v>
      </c>
      <c r="AK34" s="1" t="e">
        <f t="shared" si="16"/>
        <v>#N/A</v>
      </c>
      <c r="AL34" s="1" t="e">
        <f t="shared" si="17"/>
        <v>#N/A</v>
      </c>
      <c r="AM34" s="1" t="e">
        <f t="shared" si="18"/>
        <v>#N/A</v>
      </c>
      <c r="AN34" s="1" t="e">
        <f t="shared" si="19"/>
        <v>#N/A</v>
      </c>
      <c r="AO34" s="1">
        <f t="shared" si="20"/>
        <v>0.28930604486009176</v>
      </c>
      <c r="AY34" t="str">
        <f t="shared" si="24"/>
        <v>2.28 B VND</v>
      </c>
      <c r="AZ34" t="str">
        <f t="shared" si="24"/>
        <v/>
      </c>
      <c r="BD34" s="9">
        <f t="shared" si="25"/>
        <v>43462950</v>
      </c>
      <c r="BE34" s="9">
        <f t="shared" si="25"/>
        <v>0</v>
      </c>
      <c r="BF34" t="str">
        <f>A35</f>
        <v>Staff 04</v>
      </c>
      <c r="BG34" t="str">
        <f t="shared" si="26"/>
        <v>43.46 M VND</v>
      </c>
      <c r="BH34" t="str">
        <f t="shared" si="26"/>
        <v/>
      </c>
    </row>
    <row r="35" spans="1:80">
      <c r="A35" s="11" t="s">
        <v>31</v>
      </c>
      <c r="B35" s="15">
        <f>SUMIFS('Current AR'!$S$6:$S$103,'Current AR'!$J$6:$J$103,A35)</f>
        <v>43462950</v>
      </c>
      <c r="C35" s="15">
        <f>SUMIFS('Prior AR'!$S$6:$S$85,'Prior AR'!$J$6:$J$85,A35)</f>
        <v>0</v>
      </c>
      <c r="D35" s="15">
        <f>SUMIFS('Current AR'!$V$6:$V$103,'Current AR'!$J$6:$J$103,A35,'Current AR'!$Q$6:$Q$103,"&lt;=0")</f>
        <v>43462950</v>
      </c>
      <c r="E35" s="15">
        <f>SUMIFS('Current AR'!$V$6:$V$103,'Current AR'!$J$6:$J$103,A35,'Current AR'!$Q$6:$Q$103,"&gt;0")</f>
        <v>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>
        <v>-0.4</v>
      </c>
      <c r="S35" s="1">
        <f t="shared" si="0"/>
        <v>0.91651513899116799</v>
      </c>
      <c r="T35" s="1" t="e">
        <f t="shared" si="1"/>
        <v>#N/A</v>
      </c>
      <c r="U35" s="1" t="e">
        <f t="shared" si="2"/>
        <v>#N/A</v>
      </c>
      <c r="V35" s="1" t="e">
        <f t="shared" si="3"/>
        <v>#N/A</v>
      </c>
      <c r="W35" s="1" t="e">
        <f t="shared" si="4"/>
        <v>#N/A</v>
      </c>
      <c r="X35" s="1" t="e">
        <f t="shared" si="5"/>
        <v>#N/A</v>
      </c>
      <c r="Y35" s="1">
        <f t="shared" si="6"/>
        <v>0.14861197242844729</v>
      </c>
      <c r="Z35" s="1">
        <v>-0.4</v>
      </c>
      <c r="AA35" s="1">
        <f t="shared" si="7"/>
        <v>0.91651513899116799</v>
      </c>
      <c r="AB35" s="1" t="e">
        <f t="shared" si="8"/>
        <v>#N/A</v>
      </c>
      <c r="AC35" s="1" t="e">
        <f t="shared" si="9"/>
        <v>#N/A</v>
      </c>
      <c r="AD35" s="1" t="e">
        <f t="shared" si="10"/>
        <v>#N/A</v>
      </c>
      <c r="AE35" s="1" t="e">
        <f t="shared" si="11"/>
        <v>#N/A</v>
      </c>
      <c r="AF35" s="1" t="e">
        <f t="shared" si="12"/>
        <v>#N/A</v>
      </c>
      <c r="AG35" s="1">
        <f t="shared" si="13"/>
        <v>0.1010555809760169</v>
      </c>
      <c r="AH35" s="1">
        <v>-0.4</v>
      </c>
      <c r="AI35" s="1">
        <f t="shared" si="14"/>
        <v>0.91651513899116799</v>
      </c>
      <c r="AJ35" s="1" t="e">
        <f t="shared" si="15"/>
        <v>#N/A</v>
      </c>
      <c r="AK35" s="1" t="e">
        <f t="shared" si="16"/>
        <v>#N/A</v>
      </c>
      <c r="AL35" s="1" t="e">
        <f t="shared" si="17"/>
        <v>#N/A</v>
      </c>
      <c r="AM35" s="1" t="e">
        <f t="shared" si="18"/>
        <v>#N/A</v>
      </c>
      <c r="AN35" s="1" t="e">
        <f t="shared" si="19"/>
        <v>#N/A</v>
      </c>
      <c r="AO35" s="1">
        <f t="shared" si="20"/>
        <v>0.27552956653342076</v>
      </c>
      <c r="AY35" t="str">
        <f t="shared" si="24"/>
        <v>43.46 M VND</v>
      </c>
      <c r="AZ35" t="str">
        <f t="shared" si="24"/>
        <v/>
      </c>
      <c r="BD35" s="9">
        <f t="shared" si="25"/>
        <v>324663</v>
      </c>
      <c r="BE35" s="9">
        <f t="shared" si="25"/>
        <v>0</v>
      </c>
      <c r="BF35" t="str">
        <f>A36</f>
        <v>Staff 05</v>
      </c>
      <c r="BG35" t="str">
        <f t="shared" si="26"/>
        <v>324.66k</v>
      </c>
      <c r="BH35" t="str">
        <f t="shared" si="26"/>
        <v/>
      </c>
    </row>
    <row r="36" spans="1:80">
      <c r="A36" s="11" t="s">
        <v>33</v>
      </c>
      <c r="B36" s="15">
        <f>SUMIFS('Current AR'!$S$6:$S$103,'Current AR'!$J$6:$J$103,A36)</f>
        <v>324663</v>
      </c>
      <c r="C36" s="15">
        <f>SUMIFS('Prior AR'!$S$6:$S$85,'Prior AR'!$J$6:$J$85,A36)</f>
        <v>333943</v>
      </c>
      <c r="D36" s="15">
        <f>SUMIFS('Current AR'!$V$6:$V$103,'Current AR'!$J$6:$J$103,A36,'Current AR'!$Q$6:$Q$103,"&lt;=0")</f>
        <v>324663</v>
      </c>
      <c r="E36" s="15">
        <f>SUMIFS('Current AR'!$V$6:$V$103,'Current AR'!$J$6:$J$103,A36,'Current AR'!$Q$6:$Q$103,"&gt;0")</f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>
        <v>-0.38</v>
      </c>
      <c r="S36" s="1">
        <f t="shared" si="0"/>
        <v>0.92498648638777425</v>
      </c>
      <c r="T36" s="1" t="e">
        <f t="shared" si="1"/>
        <v>#N/A</v>
      </c>
      <c r="U36" s="1" t="e">
        <f t="shared" si="2"/>
        <v>#N/A</v>
      </c>
      <c r="V36" s="1" t="e">
        <f t="shared" si="3"/>
        <v>#N/A</v>
      </c>
      <c r="W36" s="1" t="e">
        <f t="shared" si="4"/>
        <v>#N/A</v>
      </c>
      <c r="X36" s="1" t="e">
        <f t="shared" si="5"/>
        <v>#N/A</v>
      </c>
      <c r="Y36" s="1">
        <f t="shared" si="6"/>
        <v>0.14118137380702492</v>
      </c>
      <c r="Z36" s="1">
        <v>-0.38</v>
      </c>
      <c r="AA36" s="1">
        <f t="shared" si="7"/>
        <v>0.92498648638777425</v>
      </c>
      <c r="AB36" s="1" t="e">
        <f t="shared" si="8"/>
        <v>#N/A</v>
      </c>
      <c r="AC36" s="1" t="e">
        <f t="shared" si="9"/>
        <v>#N/A</v>
      </c>
      <c r="AD36" s="1" t="e">
        <f t="shared" si="10"/>
        <v>#N/A</v>
      </c>
      <c r="AE36" s="1" t="e">
        <f t="shared" si="11"/>
        <v>#N/A</v>
      </c>
      <c r="AF36" s="1" t="e">
        <f t="shared" si="12"/>
        <v>#N/A</v>
      </c>
      <c r="AG36" s="1">
        <f t="shared" si="13"/>
        <v>9.6002801927216053E-2</v>
      </c>
      <c r="AH36" s="1">
        <v>-0.38</v>
      </c>
      <c r="AI36" s="1">
        <f t="shared" si="14"/>
        <v>0.92498648638777425</v>
      </c>
      <c r="AJ36" s="1" t="e">
        <f t="shared" si="15"/>
        <v>#N/A</v>
      </c>
      <c r="AK36" s="1" t="e">
        <f t="shared" si="16"/>
        <v>#N/A</v>
      </c>
      <c r="AL36" s="1" t="e">
        <f t="shared" si="17"/>
        <v>#N/A</v>
      </c>
      <c r="AM36" s="1" t="e">
        <f t="shared" si="18"/>
        <v>#N/A</v>
      </c>
      <c r="AN36" s="1" t="e">
        <f t="shared" si="19"/>
        <v>#N/A</v>
      </c>
      <c r="AO36" s="1">
        <f t="shared" si="20"/>
        <v>0.2617530882067497</v>
      </c>
      <c r="AY36" t="str">
        <f t="shared" si="24"/>
        <v>324.66k</v>
      </c>
      <c r="AZ36" t="str">
        <f t="shared" si="24"/>
        <v/>
      </c>
      <c r="BD36" s="9">
        <f t="shared" si="25"/>
        <v>0</v>
      </c>
      <c r="BE36" s="9">
        <f t="shared" si="25"/>
        <v>4021632000</v>
      </c>
      <c r="BF36" t="str">
        <f>A37</f>
        <v>Staff 06</v>
      </c>
      <c r="BG36" t="str">
        <f t="shared" si="26"/>
        <v/>
      </c>
      <c r="BH36" t="str">
        <f t="shared" si="26"/>
        <v>4.02 B VND</v>
      </c>
    </row>
    <row r="37" spans="1:80">
      <c r="A37" s="12" t="s">
        <v>35</v>
      </c>
      <c r="B37" s="16">
        <f>SUMIFS('Current AR'!$S$6:$S$103,'Current AR'!$J$6:$J$103,A37)</f>
        <v>4021632000</v>
      </c>
      <c r="C37" s="15">
        <f>SUMIFS('Prior AR'!$S$6:$S$85,'Prior AR'!$J$6:$J$85,A37)</f>
        <v>4099303796</v>
      </c>
      <c r="D37" s="15">
        <f>SUMIFS('Current AR'!$V$6:$V$103,'Current AR'!$J$6:$J$103,A37,'Current AR'!$Q$6:$Q$103,"&lt;=0")</f>
        <v>0</v>
      </c>
      <c r="E37" s="15">
        <f>SUMIFS('Current AR'!$V$6:$V$103,'Current AR'!$J$6:$J$103,A37,'Current AR'!$Q$6:$Q$103,"&gt;0")</f>
        <v>4021632000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>
        <v>-0.36</v>
      </c>
      <c r="S37" s="1">
        <f t="shared" ref="S37:S68" si="27">SQRT(MAX(0,1-R37^2))</f>
        <v>0.93295230317524813</v>
      </c>
      <c r="T37" s="1" t="e">
        <f t="shared" ref="T37:T68" si="28">IF(ISNUMBER($B$16),IF(AND($C$16=1,R37&lt;=-COS(PI()*$B$16)),S37,NA()),NA())</f>
        <v>#N/A</v>
      </c>
      <c r="U37" s="1" t="e">
        <f t="shared" ref="U37:U68" si="29">IF(ISNUMBER($B$16),IF(AND($C$16=2,R37&lt;=-COS(PI()*$B$16)),S37,NA()),NA())</f>
        <v>#N/A</v>
      </c>
      <c r="V37" s="1" t="e">
        <f t="shared" ref="V37:V68" si="30">IF(ISNUMBER($B$16),IF(AND($C$16=3,R37&lt;=-COS(PI()*$B$16)),S37,NA()),NA())</f>
        <v>#N/A</v>
      </c>
      <c r="W37" s="1" t="e">
        <f t="shared" ref="W37:W68" si="31">IF(ISNUMBER($B$16),IF(AND($C$16=4,R37&lt;=-COS(PI()*$B$16)),S37,NA()),NA())</f>
        <v>#N/A</v>
      </c>
      <c r="X37" s="1" t="e">
        <f t="shared" ref="X37:X68" si="32">IF(ISNUMBER($B$16),IF(AND($C$16=5,R37&lt;=-COS(PI()*$B$16)),S37,NA()),NA())</f>
        <v>#N/A</v>
      </c>
      <c r="Y37" s="1">
        <f t="shared" ref="Y37:Y68" si="33">IF(ISNUMBER($B$16),IF(AND(ISNUMBER($B$16),R37&gt;=MIN(0,$R$2),R37&lt;=MAX(0,$R$2)),IF($R$2=0,0,R37/$R$2*$S$2),NA()),NA())</f>
        <v>0.13375077518560255</v>
      </c>
      <c r="Z37" s="1">
        <v>-0.36</v>
      </c>
      <c r="AA37" s="1">
        <f t="shared" ref="AA37:AA68" si="34">SQRT(MAX(0,1-Z37^2))</f>
        <v>0.93295230317524813</v>
      </c>
      <c r="AB37" s="1" t="e">
        <f t="shared" ref="AB37:AB68" si="35">IF(ISNUMBER($B$17),IF(AND($C$17=1,Z37&lt;=-COS(PI()*$B$17)),AA37,NA()),NA())</f>
        <v>#N/A</v>
      </c>
      <c r="AC37" s="1" t="e">
        <f t="shared" ref="AC37:AC68" si="36">IF(ISNUMBER($B$17),IF(AND($C$17=2,Z37&lt;=-COS(PI()*$B$17)),AA37,NA()),NA())</f>
        <v>#N/A</v>
      </c>
      <c r="AD37" s="1" t="e">
        <f t="shared" ref="AD37:AD68" si="37">IF(ISNUMBER($B$17),IF(AND($C$17=3,Z37&lt;=-COS(PI()*$B$17)),AA37,NA()),NA())</f>
        <v>#N/A</v>
      </c>
      <c r="AE37" s="1" t="e">
        <f t="shared" ref="AE37:AE68" si="38">IF(ISNUMBER($B$17),IF(AND($C$17=4,Z37&lt;=-COS(PI()*$B$17)),AA37,NA()),NA())</f>
        <v>#N/A</v>
      </c>
      <c r="AF37" s="1" t="e">
        <f t="shared" ref="AF37:AF68" si="39">IF(ISNUMBER($B$17),IF(AND($C$17=5,Z37&lt;=-COS(PI()*$B$17)),AA37,NA()),NA())</f>
        <v>#N/A</v>
      </c>
      <c r="AG37" s="1">
        <f t="shared" ref="AG37:AG68" si="40">IF(ISNUMBER($B$17),IF(AND(ISNUMBER($B$17),Z37&gt;=MIN(0,$Z$2),Z37&lt;=MAX(0,$Z$2)),IF($Z$2=0,0,Z37/$Z$2*$AA$2),NA()),NA())</f>
        <v>9.0950022878415207E-2</v>
      </c>
      <c r="AH37" s="1">
        <v>-0.36</v>
      </c>
      <c r="AI37" s="1">
        <f t="shared" ref="AI37:AI68" si="41">SQRT(MAX(0,1-AH37^2))</f>
        <v>0.93295230317524813</v>
      </c>
      <c r="AJ37" s="1" t="e">
        <f t="shared" ref="AJ37:AJ68" si="42">IF(ISNUMBER($B$18),IF(AND($C$18=1,AH37&lt;=-COS(PI()*$B$18)),AI37,NA()),NA())</f>
        <v>#N/A</v>
      </c>
      <c r="AK37" s="1" t="e">
        <f t="shared" ref="AK37:AK68" si="43">IF(ISNUMBER($B$18),IF(AND($C$18=2,AH37&lt;=-COS(PI()*$B$18)),AI37,NA()),NA())</f>
        <v>#N/A</v>
      </c>
      <c r="AL37" s="1" t="e">
        <f t="shared" ref="AL37:AL68" si="44">IF(ISNUMBER($B$18),IF(AND($C$18=3,AH37&lt;=-COS(PI()*$B$18)),AI37,NA()),NA())</f>
        <v>#N/A</v>
      </c>
      <c r="AM37" s="1" t="e">
        <f t="shared" ref="AM37:AM68" si="45">IF(ISNUMBER($B$18),IF(AND($C$18=4,AH37&lt;=-COS(PI()*$B$18)),AI37,NA()),NA())</f>
        <v>#N/A</v>
      </c>
      <c r="AN37" s="1" t="e">
        <f t="shared" ref="AN37:AN68" si="46">IF(ISNUMBER($B$18),IF(AND($C$18=5,AH37&lt;=-COS(PI()*$B$18)),AI37,NA()),NA())</f>
        <v>#N/A</v>
      </c>
      <c r="AO37" s="1">
        <f t="shared" ref="AO37:AO68" si="47">IF(ISNUMBER($B$18),IF(AND(ISNUMBER($B$18),AH37&gt;=MIN(0,$AH$2),AH37&lt;=MAX(0,$AH$2)),IF($AH$2=0,0,AH37/$AH$2*$AI$2),NA()),NA())</f>
        <v>0.24797660988007866</v>
      </c>
      <c r="AY37" t="str">
        <f t="shared" si="24"/>
        <v/>
      </c>
      <c r="AZ37" t="str">
        <f t="shared" si="24"/>
        <v>4.02 B VND</v>
      </c>
    </row>
    <row r="38" spans="1:80">
      <c r="A38" s="11" t="s">
        <v>363</v>
      </c>
      <c r="B38" s="15">
        <f>SUMIFS('Current AR'!$V$6:$V$160,'Current AR'!$Q$6:$Q$160,"&lt;0")</f>
        <v>41216259755</v>
      </c>
      <c r="C38" s="15"/>
      <c r="D38" s="15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>
        <v>-0.34</v>
      </c>
      <c r="S38" s="1">
        <f t="shared" si="27"/>
        <v>0.9404254356406998</v>
      </c>
      <c r="T38" s="1" t="e">
        <f t="shared" si="28"/>
        <v>#N/A</v>
      </c>
      <c r="U38" s="1" t="e">
        <f t="shared" si="29"/>
        <v>#N/A</v>
      </c>
      <c r="V38" s="1" t="e">
        <f t="shared" si="30"/>
        <v>#N/A</v>
      </c>
      <c r="W38" s="1" t="e">
        <f t="shared" si="31"/>
        <v>#N/A</v>
      </c>
      <c r="X38" s="1" t="e">
        <f t="shared" si="32"/>
        <v>#N/A</v>
      </c>
      <c r="Y38" s="1">
        <f t="shared" si="33"/>
        <v>0.12632017656418021</v>
      </c>
      <c r="Z38" s="1">
        <v>-0.34</v>
      </c>
      <c r="AA38" s="1">
        <f t="shared" si="34"/>
        <v>0.9404254356406998</v>
      </c>
      <c r="AB38" s="1" t="e">
        <f t="shared" si="35"/>
        <v>#N/A</v>
      </c>
      <c r="AC38" s="1" t="e">
        <f t="shared" si="36"/>
        <v>#N/A</v>
      </c>
      <c r="AD38" s="1" t="e">
        <f t="shared" si="37"/>
        <v>#N/A</v>
      </c>
      <c r="AE38" s="1" t="e">
        <f t="shared" si="38"/>
        <v>#N/A</v>
      </c>
      <c r="AF38" s="1" t="e">
        <f t="shared" si="39"/>
        <v>#N/A</v>
      </c>
      <c r="AG38" s="1">
        <f t="shared" si="40"/>
        <v>8.5897243829614361E-2</v>
      </c>
      <c r="AH38" s="1">
        <v>-0.34</v>
      </c>
      <c r="AI38" s="1">
        <f t="shared" si="41"/>
        <v>0.9404254356406998</v>
      </c>
      <c r="AJ38" s="1" t="e">
        <f t="shared" si="42"/>
        <v>#N/A</v>
      </c>
      <c r="AK38" s="1" t="e">
        <f t="shared" si="43"/>
        <v>#N/A</v>
      </c>
      <c r="AL38" s="1" t="e">
        <f t="shared" si="44"/>
        <v>#N/A</v>
      </c>
      <c r="AM38" s="1" t="e">
        <f t="shared" si="45"/>
        <v>#N/A</v>
      </c>
      <c r="AN38" s="1" t="e">
        <f t="shared" si="46"/>
        <v>#N/A</v>
      </c>
      <c r="AO38" s="1">
        <f t="shared" si="47"/>
        <v>0.23420013155340766</v>
      </c>
      <c r="BB38" t="str">
        <f t="shared" ref="BB38:BB44" si="48">IF(B38=0,"–",IF(ABS(B38)&gt;=1000000000,TEXT(B38/1000000000,"0.00")&amp;"B",IF(ABS(B38)&gt;=1000000,TEXT(B38/1000000,"0.0")&amp;"M",TEXT(B38/1000,"0")&amp;"K")))</f>
        <v>41.22B</v>
      </c>
      <c r="CB38" t="s">
        <v>364</v>
      </c>
    </row>
    <row r="39" spans="1:80">
      <c r="A39" s="11" t="s">
        <v>365</v>
      </c>
      <c r="B39" s="15">
        <f>SUMIFS('Current AR'!$V$6:$V$160,'Current AR'!$Q$6:$Q$160,"=0")</f>
        <v>36887245</v>
      </c>
      <c r="C39" s="15"/>
      <c r="D39" s="15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>
        <v>-0.32</v>
      </c>
      <c r="S39" s="1">
        <f t="shared" si="27"/>
        <v>0.94741754258616084</v>
      </c>
      <c r="T39" s="1" t="e">
        <f t="shared" si="28"/>
        <v>#N/A</v>
      </c>
      <c r="U39" s="1" t="e">
        <f t="shared" si="29"/>
        <v>#N/A</v>
      </c>
      <c r="V39" s="1" t="e">
        <f t="shared" si="30"/>
        <v>#N/A</v>
      </c>
      <c r="W39" s="1" t="e">
        <f t="shared" si="31"/>
        <v>#N/A</v>
      </c>
      <c r="X39" s="1" t="e">
        <f t="shared" si="32"/>
        <v>#N/A</v>
      </c>
      <c r="Y39" s="1">
        <f t="shared" si="33"/>
        <v>0.11888957794275783</v>
      </c>
      <c r="Z39" s="1">
        <v>-0.32</v>
      </c>
      <c r="AA39" s="1">
        <f t="shared" si="34"/>
        <v>0.94741754258616084</v>
      </c>
      <c r="AB39" s="1" t="e">
        <f t="shared" si="35"/>
        <v>#N/A</v>
      </c>
      <c r="AC39" s="1" t="e">
        <f t="shared" si="36"/>
        <v>#N/A</v>
      </c>
      <c r="AD39" s="1" t="e">
        <f t="shared" si="37"/>
        <v>#N/A</v>
      </c>
      <c r="AE39" s="1" t="e">
        <f t="shared" si="38"/>
        <v>#N/A</v>
      </c>
      <c r="AF39" s="1" t="e">
        <f t="shared" si="39"/>
        <v>#N/A</v>
      </c>
      <c r="AG39" s="1">
        <f t="shared" si="40"/>
        <v>8.0844464780813516E-2</v>
      </c>
      <c r="AH39" s="1">
        <v>-0.32</v>
      </c>
      <c r="AI39" s="1">
        <f t="shared" si="41"/>
        <v>0.94741754258616084</v>
      </c>
      <c r="AJ39" s="1" t="e">
        <f t="shared" si="42"/>
        <v>#N/A</v>
      </c>
      <c r="AK39" s="1" t="e">
        <f t="shared" si="43"/>
        <v>#N/A</v>
      </c>
      <c r="AL39" s="1" t="e">
        <f t="shared" si="44"/>
        <v>#N/A</v>
      </c>
      <c r="AM39" s="1" t="e">
        <f t="shared" si="45"/>
        <v>#N/A</v>
      </c>
      <c r="AN39" s="1" t="e">
        <f t="shared" si="46"/>
        <v>#N/A</v>
      </c>
      <c r="AO39" s="1">
        <f t="shared" si="47"/>
        <v>0.2204236532267366</v>
      </c>
      <c r="BB39" t="str">
        <f t="shared" si="48"/>
        <v>36.9M</v>
      </c>
      <c r="CB39" t="s">
        <v>366</v>
      </c>
    </row>
    <row r="40" spans="1:80">
      <c r="A40" s="11" t="s">
        <v>367</v>
      </c>
      <c r="B40" s="15">
        <f>SUMIFS('Current AR'!$V$6:$V$160,'Current AR'!$Q$6:$Q$160,"&gt;0",'Current AR'!$Q$6:$Q$160,"&lt;=30")</f>
        <v>5235411407</v>
      </c>
      <c r="C40" s="15"/>
      <c r="D40" s="15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>
        <v>-0.3</v>
      </c>
      <c r="S40" s="1">
        <f t="shared" si="27"/>
        <v>0.95393920141694566</v>
      </c>
      <c r="T40" s="1" t="e">
        <f t="shared" si="28"/>
        <v>#N/A</v>
      </c>
      <c r="U40" s="1" t="e">
        <f t="shared" si="29"/>
        <v>#N/A</v>
      </c>
      <c r="V40" s="1" t="e">
        <f t="shared" si="30"/>
        <v>#N/A</v>
      </c>
      <c r="W40" s="1" t="e">
        <f t="shared" si="31"/>
        <v>#N/A</v>
      </c>
      <c r="X40" s="1" t="e">
        <f t="shared" si="32"/>
        <v>#N/A</v>
      </c>
      <c r="Y40" s="1">
        <f t="shared" si="33"/>
        <v>0.11145897932133546</v>
      </c>
      <c r="Z40" s="1">
        <v>-0.3</v>
      </c>
      <c r="AA40" s="1">
        <f t="shared" si="34"/>
        <v>0.95393920141694566</v>
      </c>
      <c r="AB40" s="1" t="e">
        <f t="shared" si="35"/>
        <v>#N/A</v>
      </c>
      <c r="AC40" s="1" t="e">
        <f t="shared" si="36"/>
        <v>#N/A</v>
      </c>
      <c r="AD40" s="1" t="e">
        <f t="shared" si="37"/>
        <v>#N/A</v>
      </c>
      <c r="AE40" s="1" t="e">
        <f t="shared" si="38"/>
        <v>#N/A</v>
      </c>
      <c r="AF40" s="1" t="e">
        <f t="shared" si="39"/>
        <v>#N/A</v>
      </c>
      <c r="AG40" s="1">
        <f t="shared" si="40"/>
        <v>7.579168573201267E-2</v>
      </c>
      <c r="AH40" s="1">
        <v>-0.3</v>
      </c>
      <c r="AI40" s="1">
        <f t="shared" si="41"/>
        <v>0.95393920141694566</v>
      </c>
      <c r="AJ40" s="1" t="e">
        <f t="shared" si="42"/>
        <v>#N/A</v>
      </c>
      <c r="AK40" s="1" t="e">
        <f t="shared" si="43"/>
        <v>#N/A</v>
      </c>
      <c r="AL40" s="1" t="e">
        <f t="shared" si="44"/>
        <v>#N/A</v>
      </c>
      <c r="AM40" s="1" t="e">
        <f t="shared" si="45"/>
        <v>#N/A</v>
      </c>
      <c r="AN40" s="1" t="e">
        <f t="shared" si="46"/>
        <v>#N/A</v>
      </c>
      <c r="AO40" s="1">
        <f t="shared" si="47"/>
        <v>0.20664717490006554</v>
      </c>
      <c r="BB40" t="str">
        <f t="shared" si="48"/>
        <v>5.24B</v>
      </c>
      <c r="CB40" t="s">
        <v>368</v>
      </c>
    </row>
    <row r="41" spans="1:80">
      <c r="A41" s="11" t="s">
        <v>369</v>
      </c>
      <c r="B41" s="15">
        <f>SUMIFS('Current AR'!$V$6:$V$160,'Current AR'!$Q$6:$Q$160,"&gt;30",'Current AR'!$Q$6:$Q$160,"&lt;=60")</f>
        <v>545684593</v>
      </c>
      <c r="C41" s="15"/>
      <c r="D41" s="15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v>-0.28000000000000003</v>
      </c>
      <c r="S41" s="1">
        <f t="shared" si="27"/>
        <v>0.96</v>
      </c>
      <c r="T41" s="1" t="e">
        <f t="shared" si="28"/>
        <v>#N/A</v>
      </c>
      <c r="U41" s="1" t="e">
        <f t="shared" si="29"/>
        <v>#N/A</v>
      </c>
      <c r="V41" s="1" t="e">
        <f t="shared" si="30"/>
        <v>#N/A</v>
      </c>
      <c r="W41" s="1" t="e">
        <f t="shared" si="31"/>
        <v>#N/A</v>
      </c>
      <c r="X41" s="1" t="e">
        <f t="shared" si="32"/>
        <v>#N/A</v>
      </c>
      <c r="Y41" s="1">
        <f t="shared" si="33"/>
        <v>0.10402838069991312</v>
      </c>
      <c r="Z41" s="1">
        <v>-0.28000000000000003</v>
      </c>
      <c r="AA41" s="1">
        <f t="shared" si="34"/>
        <v>0.96</v>
      </c>
      <c r="AB41" s="1" t="e">
        <f t="shared" si="35"/>
        <v>#N/A</v>
      </c>
      <c r="AC41" s="1" t="e">
        <f t="shared" si="36"/>
        <v>#N/A</v>
      </c>
      <c r="AD41" s="1" t="e">
        <f t="shared" si="37"/>
        <v>#N/A</v>
      </c>
      <c r="AE41" s="1" t="e">
        <f t="shared" si="38"/>
        <v>#N/A</v>
      </c>
      <c r="AF41" s="1" t="e">
        <f t="shared" si="39"/>
        <v>#N/A</v>
      </c>
      <c r="AG41" s="1">
        <f t="shared" si="40"/>
        <v>7.0738906683211838E-2</v>
      </c>
      <c r="AH41" s="1">
        <v>-0.28000000000000003</v>
      </c>
      <c r="AI41" s="1">
        <f t="shared" si="41"/>
        <v>0.96</v>
      </c>
      <c r="AJ41" s="1" t="e">
        <f t="shared" si="42"/>
        <v>#N/A</v>
      </c>
      <c r="AK41" s="1" t="e">
        <f t="shared" si="43"/>
        <v>#N/A</v>
      </c>
      <c r="AL41" s="1" t="e">
        <f t="shared" si="44"/>
        <v>#N/A</v>
      </c>
      <c r="AM41" s="1" t="e">
        <f t="shared" si="45"/>
        <v>#N/A</v>
      </c>
      <c r="AN41" s="1" t="e">
        <f t="shared" si="46"/>
        <v>#N/A</v>
      </c>
      <c r="AO41" s="1">
        <f t="shared" si="47"/>
        <v>0.19287069657339451</v>
      </c>
      <c r="BB41" t="str">
        <f t="shared" si="48"/>
        <v>545.7M</v>
      </c>
      <c r="CB41" t="s">
        <v>370</v>
      </c>
    </row>
    <row r="42" spans="1:80">
      <c r="A42" s="11" t="s">
        <v>371</v>
      </c>
      <c r="B42" s="15">
        <f>SUMIFS('Current AR'!$V$6:$V$160,'Current AR'!$Q$6:$Q$160,"&gt;60",'Current AR'!$Q$6:$Q$160,"&lt;=90")</f>
        <v>4021632000</v>
      </c>
      <c r="C42" s="15"/>
      <c r="D42" s="15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>
        <v>-0.26</v>
      </c>
      <c r="S42" s="1">
        <f t="shared" si="27"/>
        <v>0.96560861636586492</v>
      </c>
      <c r="T42" s="1" t="e">
        <f t="shared" si="28"/>
        <v>#N/A</v>
      </c>
      <c r="U42" s="1" t="e">
        <f t="shared" si="29"/>
        <v>#N/A</v>
      </c>
      <c r="V42" s="1" t="e">
        <f t="shared" si="30"/>
        <v>#N/A</v>
      </c>
      <c r="W42" s="1" t="e">
        <f t="shared" si="31"/>
        <v>#N/A</v>
      </c>
      <c r="X42" s="1" t="e">
        <f t="shared" si="32"/>
        <v>#N/A</v>
      </c>
      <c r="Y42" s="1">
        <f t="shared" si="33"/>
        <v>9.6597782078490735E-2</v>
      </c>
      <c r="Z42" s="1">
        <v>-0.26</v>
      </c>
      <c r="AA42" s="1">
        <f t="shared" si="34"/>
        <v>0.96560861636586492</v>
      </c>
      <c r="AB42" s="1" t="e">
        <f t="shared" si="35"/>
        <v>#N/A</v>
      </c>
      <c r="AC42" s="1" t="e">
        <f t="shared" si="36"/>
        <v>#N/A</v>
      </c>
      <c r="AD42" s="1" t="e">
        <f t="shared" si="37"/>
        <v>#N/A</v>
      </c>
      <c r="AE42" s="1" t="e">
        <f t="shared" si="38"/>
        <v>#N/A</v>
      </c>
      <c r="AF42" s="1" t="e">
        <f t="shared" si="39"/>
        <v>#N/A</v>
      </c>
      <c r="AG42" s="1">
        <f t="shared" si="40"/>
        <v>6.5686127634410979E-2</v>
      </c>
      <c r="AH42" s="1">
        <v>-0.26</v>
      </c>
      <c r="AI42" s="1">
        <f t="shared" si="41"/>
        <v>0.96560861636586492</v>
      </c>
      <c r="AJ42" s="1" t="e">
        <f t="shared" si="42"/>
        <v>#N/A</v>
      </c>
      <c r="AK42" s="1" t="e">
        <f t="shared" si="43"/>
        <v>#N/A</v>
      </c>
      <c r="AL42" s="1" t="e">
        <f t="shared" si="44"/>
        <v>#N/A</v>
      </c>
      <c r="AM42" s="1" t="e">
        <f t="shared" si="45"/>
        <v>#N/A</v>
      </c>
      <c r="AN42" s="1" t="e">
        <f t="shared" si="46"/>
        <v>#N/A</v>
      </c>
      <c r="AO42" s="1">
        <f t="shared" si="47"/>
        <v>0.17909421824672347</v>
      </c>
      <c r="BB42" t="str">
        <f t="shared" si="48"/>
        <v>4.02B</v>
      </c>
      <c r="CB42" t="s">
        <v>372</v>
      </c>
    </row>
    <row r="43" spans="1:80">
      <c r="A43" s="11" t="s">
        <v>373</v>
      </c>
      <c r="B43" s="15">
        <f>SUMIFS('Current AR'!$V$6:$V$160,'Current AR'!$Q$6:$Q$160,"&gt;90",'Current AR'!$Q$6:$Q$160,"&lt;=180")</f>
        <v>0</v>
      </c>
      <c r="C43" s="15"/>
      <c r="D43" s="15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>
        <v>-0.24</v>
      </c>
      <c r="S43" s="1">
        <f t="shared" si="27"/>
        <v>0.97077288796092776</v>
      </c>
      <c r="T43" s="1" t="e">
        <f t="shared" si="28"/>
        <v>#N/A</v>
      </c>
      <c r="U43" s="1" t="e">
        <f t="shared" si="29"/>
        <v>#N/A</v>
      </c>
      <c r="V43" s="1" t="e">
        <f t="shared" si="30"/>
        <v>#N/A</v>
      </c>
      <c r="W43" s="1" t="e">
        <f t="shared" si="31"/>
        <v>#N/A</v>
      </c>
      <c r="X43" s="1" t="e">
        <f t="shared" si="32"/>
        <v>#N/A</v>
      </c>
      <c r="Y43" s="1">
        <f t="shared" si="33"/>
        <v>8.9167183457068366E-2</v>
      </c>
      <c r="Z43" s="1">
        <v>-0.24</v>
      </c>
      <c r="AA43" s="1">
        <f t="shared" si="34"/>
        <v>0.97077288796092776</v>
      </c>
      <c r="AB43" s="1" t="e">
        <f t="shared" si="35"/>
        <v>#N/A</v>
      </c>
      <c r="AC43" s="1" t="e">
        <f t="shared" si="36"/>
        <v>#N/A</v>
      </c>
      <c r="AD43" s="1" t="e">
        <f t="shared" si="37"/>
        <v>#N/A</v>
      </c>
      <c r="AE43" s="1" t="e">
        <f t="shared" si="38"/>
        <v>#N/A</v>
      </c>
      <c r="AF43" s="1" t="e">
        <f t="shared" si="39"/>
        <v>#N/A</v>
      </c>
      <c r="AG43" s="1">
        <f t="shared" si="40"/>
        <v>6.0633348585610133E-2</v>
      </c>
      <c r="AH43" s="1">
        <v>-0.24</v>
      </c>
      <c r="AI43" s="1">
        <f t="shared" si="41"/>
        <v>0.97077288796092776</v>
      </c>
      <c r="AJ43" s="1" t="e">
        <f t="shared" si="42"/>
        <v>#N/A</v>
      </c>
      <c r="AK43" s="1" t="e">
        <f t="shared" si="43"/>
        <v>#N/A</v>
      </c>
      <c r="AL43" s="1" t="e">
        <f t="shared" si="44"/>
        <v>#N/A</v>
      </c>
      <c r="AM43" s="1" t="e">
        <f t="shared" si="45"/>
        <v>#N/A</v>
      </c>
      <c r="AN43" s="1" t="e">
        <f t="shared" si="46"/>
        <v>#N/A</v>
      </c>
      <c r="AO43" s="1">
        <f t="shared" si="47"/>
        <v>0.16531773992005244</v>
      </c>
      <c r="BB43" t="str">
        <f t="shared" si="48"/>
        <v>–</v>
      </c>
      <c r="CB43" t="s">
        <v>374</v>
      </c>
    </row>
    <row r="44" spans="1:80">
      <c r="A44" s="11" t="s">
        <v>375</v>
      </c>
      <c r="B44" s="15">
        <f>SUMIFS('Current AR'!$V$6:$V$160,'Current AR'!$Q$6:$Q$160,"&gt;180")</f>
        <v>0</v>
      </c>
      <c r="C44" s="15"/>
      <c r="D44" s="15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v>-0.22</v>
      </c>
      <c r="S44" s="1">
        <f t="shared" si="27"/>
        <v>0.97549987186057585</v>
      </c>
      <c r="T44" s="1" t="e">
        <f t="shared" si="28"/>
        <v>#N/A</v>
      </c>
      <c r="U44" s="1" t="e">
        <f t="shared" si="29"/>
        <v>#N/A</v>
      </c>
      <c r="V44" s="1" t="e">
        <f t="shared" si="30"/>
        <v>#N/A</v>
      </c>
      <c r="W44" s="1" t="e">
        <f t="shared" si="31"/>
        <v>#N/A</v>
      </c>
      <c r="X44" s="1" t="e">
        <f t="shared" si="32"/>
        <v>#N/A</v>
      </c>
      <c r="Y44" s="1">
        <f t="shared" si="33"/>
        <v>8.1736584835646012E-2</v>
      </c>
      <c r="Z44" s="1">
        <v>-0.22</v>
      </c>
      <c r="AA44" s="1">
        <f t="shared" si="34"/>
        <v>0.97549987186057585</v>
      </c>
      <c r="AB44" s="1" t="e">
        <f t="shared" si="35"/>
        <v>#N/A</v>
      </c>
      <c r="AC44" s="1" t="e">
        <f t="shared" si="36"/>
        <v>#N/A</v>
      </c>
      <c r="AD44" s="1" t="e">
        <f t="shared" si="37"/>
        <v>#N/A</v>
      </c>
      <c r="AE44" s="1" t="e">
        <f t="shared" si="38"/>
        <v>#N/A</v>
      </c>
      <c r="AF44" s="1" t="e">
        <f t="shared" si="39"/>
        <v>#N/A</v>
      </c>
      <c r="AG44" s="1">
        <f t="shared" si="40"/>
        <v>5.5580569536809295E-2</v>
      </c>
      <c r="AH44" s="1">
        <v>-0.22</v>
      </c>
      <c r="AI44" s="1">
        <f t="shared" si="41"/>
        <v>0.97549987186057585</v>
      </c>
      <c r="AJ44" s="1" t="e">
        <f t="shared" si="42"/>
        <v>#N/A</v>
      </c>
      <c r="AK44" s="1" t="e">
        <f t="shared" si="43"/>
        <v>#N/A</v>
      </c>
      <c r="AL44" s="1" t="e">
        <f t="shared" si="44"/>
        <v>#N/A</v>
      </c>
      <c r="AM44" s="1" t="e">
        <f t="shared" si="45"/>
        <v>#N/A</v>
      </c>
      <c r="AN44" s="1" t="e">
        <f t="shared" si="46"/>
        <v>#N/A</v>
      </c>
      <c r="AO44" s="1">
        <f t="shared" si="47"/>
        <v>0.15154126159338138</v>
      </c>
      <c r="BB44" t="str">
        <f t="shared" si="48"/>
        <v>–</v>
      </c>
      <c r="CB44" t="s">
        <v>376</v>
      </c>
    </row>
    <row r="45" spans="1:80">
      <c r="A45" s="11"/>
      <c r="B45" s="15"/>
      <c r="C45" s="15"/>
      <c r="D45" s="15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>
        <v>-0.2</v>
      </c>
      <c r="S45" s="1">
        <f t="shared" si="27"/>
        <v>0.9797958971132712</v>
      </c>
      <c r="T45" s="1" t="e">
        <f t="shared" si="28"/>
        <v>#N/A</v>
      </c>
      <c r="U45" s="1" t="e">
        <f t="shared" si="29"/>
        <v>#N/A</v>
      </c>
      <c r="V45" s="1" t="e">
        <f t="shared" si="30"/>
        <v>#N/A</v>
      </c>
      <c r="W45" s="1" t="e">
        <f t="shared" si="31"/>
        <v>#N/A</v>
      </c>
      <c r="X45" s="1" t="e">
        <f t="shared" si="32"/>
        <v>#N/A</v>
      </c>
      <c r="Y45" s="1">
        <f t="shared" si="33"/>
        <v>7.4305986214223643E-2</v>
      </c>
      <c r="Z45" s="1">
        <v>-0.2</v>
      </c>
      <c r="AA45" s="1">
        <f t="shared" si="34"/>
        <v>0.9797958971132712</v>
      </c>
      <c r="AB45" s="1" t="e">
        <f t="shared" si="35"/>
        <v>#N/A</v>
      </c>
      <c r="AC45" s="1" t="e">
        <f t="shared" si="36"/>
        <v>#N/A</v>
      </c>
      <c r="AD45" s="1" t="e">
        <f t="shared" si="37"/>
        <v>#N/A</v>
      </c>
      <c r="AE45" s="1" t="e">
        <f t="shared" si="38"/>
        <v>#N/A</v>
      </c>
      <c r="AF45" s="1" t="e">
        <f t="shared" si="39"/>
        <v>#N/A</v>
      </c>
      <c r="AG45" s="1">
        <f t="shared" si="40"/>
        <v>5.0527790488008449E-2</v>
      </c>
      <c r="AH45" s="1">
        <v>-0.2</v>
      </c>
      <c r="AI45" s="1">
        <f t="shared" si="41"/>
        <v>0.9797958971132712</v>
      </c>
      <c r="AJ45" s="1" t="e">
        <f t="shared" si="42"/>
        <v>#N/A</v>
      </c>
      <c r="AK45" s="1" t="e">
        <f t="shared" si="43"/>
        <v>#N/A</v>
      </c>
      <c r="AL45" s="1" t="e">
        <f t="shared" si="44"/>
        <v>#N/A</v>
      </c>
      <c r="AM45" s="1" t="e">
        <f t="shared" si="45"/>
        <v>#N/A</v>
      </c>
      <c r="AN45" s="1" t="e">
        <f t="shared" si="46"/>
        <v>#N/A</v>
      </c>
      <c r="AO45" s="1">
        <f t="shared" si="47"/>
        <v>0.13776478326671038</v>
      </c>
    </row>
    <row r="46" spans="1:80">
      <c r="A46" s="11"/>
      <c r="B46" s="15"/>
      <c r="C46" s="15"/>
      <c r="D46" s="15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>
        <v>-0.18</v>
      </c>
      <c r="S46" s="1">
        <f t="shared" si="27"/>
        <v>0.98366661018863499</v>
      </c>
      <c r="T46" s="1" t="e">
        <f t="shared" si="28"/>
        <v>#N/A</v>
      </c>
      <c r="U46" s="1" t="e">
        <f t="shared" si="29"/>
        <v>#N/A</v>
      </c>
      <c r="V46" s="1" t="e">
        <f t="shared" si="30"/>
        <v>#N/A</v>
      </c>
      <c r="W46" s="1" t="e">
        <f t="shared" si="31"/>
        <v>#N/A</v>
      </c>
      <c r="X46" s="1" t="e">
        <f t="shared" si="32"/>
        <v>#N/A</v>
      </c>
      <c r="Y46" s="1">
        <f t="shared" si="33"/>
        <v>6.6875387592801275E-2</v>
      </c>
      <c r="Z46" s="1">
        <v>-0.18</v>
      </c>
      <c r="AA46" s="1">
        <f t="shared" si="34"/>
        <v>0.98366661018863499</v>
      </c>
      <c r="AB46" s="1" t="e">
        <f t="shared" si="35"/>
        <v>#N/A</v>
      </c>
      <c r="AC46" s="1" t="e">
        <f t="shared" si="36"/>
        <v>#N/A</v>
      </c>
      <c r="AD46" s="1" t="e">
        <f t="shared" si="37"/>
        <v>#N/A</v>
      </c>
      <c r="AE46" s="1" t="e">
        <f t="shared" si="38"/>
        <v>#N/A</v>
      </c>
      <c r="AF46" s="1" t="e">
        <f t="shared" si="39"/>
        <v>#N/A</v>
      </c>
      <c r="AG46" s="1">
        <f t="shared" si="40"/>
        <v>4.5475011439207604E-2</v>
      </c>
      <c r="AH46" s="1">
        <v>-0.18</v>
      </c>
      <c r="AI46" s="1">
        <f t="shared" si="41"/>
        <v>0.98366661018863499</v>
      </c>
      <c r="AJ46" s="1" t="e">
        <f t="shared" si="42"/>
        <v>#N/A</v>
      </c>
      <c r="AK46" s="1" t="e">
        <f t="shared" si="43"/>
        <v>#N/A</v>
      </c>
      <c r="AL46" s="1" t="e">
        <f t="shared" si="44"/>
        <v>#N/A</v>
      </c>
      <c r="AM46" s="1" t="e">
        <f t="shared" si="45"/>
        <v>#N/A</v>
      </c>
      <c r="AN46" s="1" t="e">
        <f t="shared" si="46"/>
        <v>#N/A</v>
      </c>
      <c r="AO46" s="1">
        <f t="shared" si="47"/>
        <v>0.12398830494003933</v>
      </c>
    </row>
    <row r="47" spans="1:80">
      <c r="A47" s="12"/>
      <c r="B47" s="16"/>
      <c r="C47" s="16"/>
      <c r="D47" s="16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>
        <v>-0.16</v>
      </c>
      <c r="S47" s="1">
        <f t="shared" si="27"/>
        <v>0.98711701434024535</v>
      </c>
      <c r="T47" s="1" t="e">
        <f t="shared" si="28"/>
        <v>#N/A</v>
      </c>
      <c r="U47" s="1" t="e">
        <f t="shared" si="29"/>
        <v>#N/A</v>
      </c>
      <c r="V47" s="1" t="e">
        <f t="shared" si="30"/>
        <v>#N/A</v>
      </c>
      <c r="W47" s="1" t="e">
        <f t="shared" si="31"/>
        <v>#N/A</v>
      </c>
      <c r="X47" s="1" t="e">
        <f t="shared" si="32"/>
        <v>#N/A</v>
      </c>
      <c r="Y47" s="1">
        <f t="shared" si="33"/>
        <v>5.9444788971378913E-2</v>
      </c>
      <c r="Z47" s="1">
        <v>-0.16</v>
      </c>
      <c r="AA47" s="1">
        <f t="shared" si="34"/>
        <v>0.98711701434024535</v>
      </c>
      <c r="AB47" s="1" t="e">
        <f t="shared" si="35"/>
        <v>#N/A</v>
      </c>
      <c r="AC47" s="1" t="e">
        <f t="shared" si="36"/>
        <v>#N/A</v>
      </c>
      <c r="AD47" s="1" t="e">
        <f t="shared" si="37"/>
        <v>#N/A</v>
      </c>
      <c r="AE47" s="1" t="e">
        <f t="shared" si="38"/>
        <v>#N/A</v>
      </c>
      <c r="AF47" s="1" t="e">
        <f t="shared" si="39"/>
        <v>#N/A</v>
      </c>
      <c r="AG47" s="1">
        <f t="shared" si="40"/>
        <v>4.0422232390406758E-2</v>
      </c>
      <c r="AH47" s="1">
        <v>-0.16</v>
      </c>
      <c r="AI47" s="1">
        <f t="shared" si="41"/>
        <v>0.98711701434024535</v>
      </c>
      <c r="AJ47" s="1" t="e">
        <f t="shared" si="42"/>
        <v>#N/A</v>
      </c>
      <c r="AK47" s="1" t="e">
        <f t="shared" si="43"/>
        <v>#N/A</v>
      </c>
      <c r="AL47" s="1" t="e">
        <f t="shared" si="44"/>
        <v>#N/A</v>
      </c>
      <c r="AM47" s="1" t="e">
        <f t="shared" si="45"/>
        <v>#N/A</v>
      </c>
      <c r="AN47" s="1" t="e">
        <f t="shared" si="46"/>
        <v>#N/A</v>
      </c>
      <c r="AO47" s="1">
        <f t="shared" si="47"/>
        <v>0.1102118266133683</v>
      </c>
    </row>
    <row r="48" spans="1:80">
      <c r="A48" s="11" t="s">
        <v>377</v>
      </c>
      <c r="B48" s="15">
        <f>SUMIFS('Current AR'!$V$6:$V$103,'Current AR'!$F$6:$F$103,"&gt;="&amp;Dashboard!D2+0,'Current AR'!$F$6:$F$103,"&lt;="&amp;Dashboard!D2+6)</f>
        <v>595994037</v>
      </c>
      <c r="C48" s="15"/>
      <c r="D48" s="15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>
        <v>-0.14000000000000001</v>
      </c>
      <c r="S48" s="1">
        <f t="shared" si="27"/>
        <v>0.99015150355892512</v>
      </c>
      <c r="T48" s="1" t="e">
        <f t="shared" si="28"/>
        <v>#N/A</v>
      </c>
      <c r="U48" s="1" t="e">
        <f t="shared" si="29"/>
        <v>#N/A</v>
      </c>
      <c r="V48" s="1" t="e">
        <f t="shared" si="30"/>
        <v>#N/A</v>
      </c>
      <c r="W48" s="1" t="e">
        <f t="shared" si="31"/>
        <v>#N/A</v>
      </c>
      <c r="X48" s="1" t="e">
        <f t="shared" si="32"/>
        <v>#N/A</v>
      </c>
      <c r="Y48" s="1">
        <f t="shared" si="33"/>
        <v>5.2014190349956559E-2</v>
      </c>
      <c r="Z48" s="1">
        <v>-0.14000000000000001</v>
      </c>
      <c r="AA48" s="1">
        <f t="shared" si="34"/>
        <v>0.99015150355892512</v>
      </c>
      <c r="AB48" s="1" t="e">
        <f t="shared" si="35"/>
        <v>#N/A</v>
      </c>
      <c r="AC48" s="1" t="e">
        <f t="shared" si="36"/>
        <v>#N/A</v>
      </c>
      <c r="AD48" s="1" t="e">
        <f t="shared" si="37"/>
        <v>#N/A</v>
      </c>
      <c r="AE48" s="1" t="e">
        <f t="shared" si="38"/>
        <v>#N/A</v>
      </c>
      <c r="AF48" s="1" t="e">
        <f t="shared" si="39"/>
        <v>#N/A</v>
      </c>
      <c r="AG48" s="1">
        <f t="shared" si="40"/>
        <v>3.5369453341605919E-2</v>
      </c>
      <c r="AH48" s="1">
        <v>-0.14000000000000001</v>
      </c>
      <c r="AI48" s="1">
        <f t="shared" si="41"/>
        <v>0.99015150355892512</v>
      </c>
      <c r="AJ48" s="1" t="e">
        <f t="shared" si="42"/>
        <v>#N/A</v>
      </c>
      <c r="AK48" s="1" t="e">
        <f t="shared" si="43"/>
        <v>#N/A</v>
      </c>
      <c r="AL48" s="1" t="e">
        <f t="shared" si="44"/>
        <v>#N/A</v>
      </c>
      <c r="AM48" s="1" t="e">
        <f t="shared" si="45"/>
        <v>#N/A</v>
      </c>
      <c r="AN48" s="1" t="e">
        <f t="shared" si="46"/>
        <v>#N/A</v>
      </c>
      <c r="AO48" s="1">
        <f t="shared" si="47"/>
        <v>9.6435348286697253E-2</v>
      </c>
      <c r="BC48" t="str">
        <f>IF(B48=0,"",IF(ABS(B48)&gt;=1000000000,TEXT(B48/1000000000,IF(MOD(ROUND(B48/1000000000,2),1)=0,"0","0.00"))&amp;" B VND",IF(ABS(B48)&gt;=1000000,TEXT(B48/1000000,IF(MOD(ROUND(B48/1000000,2),1)=0,"0","0.00"))&amp;" M VND",TEXT(B48/1000,IF(MOD(ROUND(B48/1000,2),1)=0,"0","0.00"))&amp;"k")))</f>
        <v>595.99 M VND</v>
      </c>
    </row>
    <row r="49" spans="1:55">
      <c r="A49" s="11" t="s">
        <v>378</v>
      </c>
      <c r="B49" s="15">
        <f>SUMIFS('Current AR'!$V$6:$V$103,'Current AR'!$F$6:$F$103,"&gt;="&amp;Dashboard!D2+7,'Current AR'!$F$6:$F$103,"&lt;="&amp;Dashboard!D2+13)</f>
        <v>3214802601</v>
      </c>
      <c r="C49" s="15"/>
      <c r="D49" s="15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>
        <v>-0.12</v>
      </c>
      <c r="S49" s="1">
        <f t="shared" si="27"/>
        <v>0.99277389167926855</v>
      </c>
      <c r="T49" s="1" t="e">
        <f t="shared" si="28"/>
        <v>#N/A</v>
      </c>
      <c r="U49" s="1" t="e">
        <f t="shared" si="29"/>
        <v>#N/A</v>
      </c>
      <c r="V49" s="1" t="e">
        <f t="shared" si="30"/>
        <v>#N/A</v>
      </c>
      <c r="W49" s="1" t="e">
        <f t="shared" si="31"/>
        <v>#N/A</v>
      </c>
      <c r="X49" s="1" t="e">
        <f t="shared" si="32"/>
        <v>#N/A</v>
      </c>
      <c r="Y49" s="1">
        <f t="shared" si="33"/>
        <v>4.4583591728534183E-2</v>
      </c>
      <c r="Z49" s="1">
        <v>-0.12</v>
      </c>
      <c r="AA49" s="1">
        <f t="shared" si="34"/>
        <v>0.99277389167926855</v>
      </c>
      <c r="AB49" s="1" t="e">
        <f t="shared" si="35"/>
        <v>#N/A</v>
      </c>
      <c r="AC49" s="1" t="e">
        <f t="shared" si="36"/>
        <v>#N/A</v>
      </c>
      <c r="AD49" s="1" t="e">
        <f t="shared" si="37"/>
        <v>#N/A</v>
      </c>
      <c r="AE49" s="1" t="e">
        <f t="shared" si="38"/>
        <v>#N/A</v>
      </c>
      <c r="AF49" s="1" t="e">
        <f t="shared" si="39"/>
        <v>#N/A</v>
      </c>
      <c r="AG49" s="1">
        <f t="shared" si="40"/>
        <v>3.0316674292805067E-2</v>
      </c>
      <c r="AH49" s="1">
        <v>-0.12</v>
      </c>
      <c r="AI49" s="1">
        <f t="shared" si="41"/>
        <v>0.99277389167926855</v>
      </c>
      <c r="AJ49" s="1" t="e">
        <f t="shared" si="42"/>
        <v>#N/A</v>
      </c>
      <c r="AK49" s="1" t="e">
        <f t="shared" si="43"/>
        <v>#N/A</v>
      </c>
      <c r="AL49" s="1" t="e">
        <f t="shared" si="44"/>
        <v>#N/A</v>
      </c>
      <c r="AM49" s="1" t="e">
        <f t="shared" si="45"/>
        <v>#N/A</v>
      </c>
      <c r="AN49" s="1" t="e">
        <f t="shared" si="46"/>
        <v>#N/A</v>
      </c>
      <c r="AO49" s="1">
        <f t="shared" si="47"/>
        <v>8.2658869960026221E-2</v>
      </c>
      <c r="BC49" t="str">
        <f>IF(B49=0,"",IF(ABS(B49)&gt;=1000000000,TEXT(B49/1000000000,IF(MOD(ROUND(B49/1000000000,2),1)=0,"0","0.00"))&amp;" B VND",IF(ABS(B49)&gt;=1000000,TEXT(B49/1000000,IF(MOD(ROUND(B49/1000000,2),1)=0,"0","0.00"))&amp;" M VND",TEXT(B49/1000,IF(MOD(ROUND(B49/1000,2),1)=0,"0","0.00"))&amp;"k")))</f>
        <v>3.21 B VND</v>
      </c>
    </row>
    <row r="50" spans="1:55">
      <c r="A50" s="11" t="s">
        <v>379</v>
      </c>
      <c r="B50" s="15">
        <f>SUMIFS('Current AR'!$V$6:$V$103,'Current AR'!$F$6:$F$103,"&gt;="&amp;Dashboard!D2+14,'Current AR'!$F$6:$F$103,"&lt;="&amp;Dashboard!D2+20)</f>
        <v>0</v>
      </c>
      <c r="C50" s="15"/>
      <c r="D50" s="15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>
        <v>-0.1</v>
      </c>
      <c r="S50" s="1">
        <f t="shared" si="27"/>
        <v>0.99498743710661997</v>
      </c>
      <c r="T50" s="1" t="e">
        <f t="shared" si="28"/>
        <v>#N/A</v>
      </c>
      <c r="U50" s="1" t="e">
        <f t="shared" si="29"/>
        <v>#N/A</v>
      </c>
      <c r="V50" s="1" t="e">
        <f t="shared" si="30"/>
        <v>#N/A</v>
      </c>
      <c r="W50" s="1" t="e">
        <f t="shared" si="31"/>
        <v>#N/A</v>
      </c>
      <c r="X50" s="1" t="e">
        <f t="shared" si="32"/>
        <v>#N/A</v>
      </c>
      <c r="Y50" s="1">
        <f t="shared" si="33"/>
        <v>3.7152993107111822E-2</v>
      </c>
      <c r="Z50" s="1">
        <v>-0.1</v>
      </c>
      <c r="AA50" s="1">
        <f t="shared" si="34"/>
        <v>0.99498743710661997</v>
      </c>
      <c r="AB50" s="1" t="e">
        <f t="shared" si="35"/>
        <v>#N/A</v>
      </c>
      <c r="AC50" s="1" t="e">
        <f t="shared" si="36"/>
        <v>#N/A</v>
      </c>
      <c r="AD50" s="1" t="e">
        <f t="shared" si="37"/>
        <v>#N/A</v>
      </c>
      <c r="AE50" s="1" t="e">
        <f t="shared" si="38"/>
        <v>#N/A</v>
      </c>
      <c r="AF50" s="1" t="e">
        <f t="shared" si="39"/>
        <v>#N/A</v>
      </c>
      <c r="AG50" s="1">
        <f t="shared" si="40"/>
        <v>2.5263895244004225E-2</v>
      </c>
      <c r="AH50" s="1">
        <v>-0.1</v>
      </c>
      <c r="AI50" s="1">
        <f t="shared" si="41"/>
        <v>0.99498743710661997</v>
      </c>
      <c r="AJ50" s="1" t="e">
        <f t="shared" si="42"/>
        <v>#N/A</v>
      </c>
      <c r="AK50" s="1" t="e">
        <f t="shared" si="43"/>
        <v>#N/A</v>
      </c>
      <c r="AL50" s="1" t="e">
        <f t="shared" si="44"/>
        <v>#N/A</v>
      </c>
      <c r="AM50" s="1" t="e">
        <f t="shared" si="45"/>
        <v>#N/A</v>
      </c>
      <c r="AN50" s="1" t="e">
        <f t="shared" si="46"/>
        <v>#N/A</v>
      </c>
      <c r="AO50" s="1">
        <f t="shared" si="47"/>
        <v>6.8882391633355189E-2</v>
      </c>
      <c r="BC50" t="str">
        <f>IF(B50=0,"",IF(ABS(B50)&gt;=1000000000,TEXT(B50/1000000000,IF(MOD(ROUND(B50/1000000000,2),1)=0,"0","0.00"))&amp;" B VND",IF(ABS(B50)&gt;=1000000,TEXT(B50/1000000,IF(MOD(ROUND(B50/1000000,2),1)=0,"0","0.00"))&amp;" M VND",TEXT(B50/1000,IF(MOD(ROUND(B50/1000,2),1)=0,"0","0.00"))&amp;"k")))</f>
        <v/>
      </c>
    </row>
    <row r="51" spans="1:55">
      <c r="A51" s="11" t="s">
        <v>380</v>
      </c>
      <c r="B51" s="15">
        <f>SUMIFS('Current AR'!$V$6:$V$103,'Current AR'!$F$6:$F$103,"&gt;="&amp;Dashboard!D2+21,'Current AR'!$F$6:$F$103,"&lt;="&amp;Dashboard!D2+27)</f>
        <v>494126613</v>
      </c>
      <c r="C51" s="15"/>
      <c r="D51" s="15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>
        <v>-0.08</v>
      </c>
      <c r="S51" s="1">
        <f t="shared" si="27"/>
        <v>0.996794863550169</v>
      </c>
      <c r="T51" s="1" t="e">
        <f t="shared" si="28"/>
        <v>#N/A</v>
      </c>
      <c r="U51" s="1" t="e">
        <f t="shared" si="29"/>
        <v>#N/A</v>
      </c>
      <c r="V51" s="1" t="e">
        <f t="shared" si="30"/>
        <v>#N/A</v>
      </c>
      <c r="W51" s="1" t="e">
        <f t="shared" si="31"/>
        <v>#N/A</v>
      </c>
      <c r="X51" s="1" t="e">
        <f t="shared" si="32"/>
        <v>#N/A</v>
      </c>
      <c r="Y51" s="1">
        <f t="shared" si="33"/>
        <v>2.9722394485689457E-2</v>
      </c>
      <c r="Z51" s="1">
        <v>-0.08</v>
      </c>
      <c r="AA51" s="1">
        <f t="shared" si="34"/>
        <v>0.996794863550169</v>
      </c>
      <c r="AB51" s="1" t="e">
        <f t="shared" si="35"/>
        <v>#N/A</v>
      </c>
      <c r="AC51" s="1" t="e">
        <f t="shared" si="36"/>
        <v>#N/A</v>
      </c>
      <c r="AD51" s="1" t="e">
        <f t="shared" si="37"/>
        <v>#N/A</v>
      </c>
      <c r="AE51" s="1" t="e">
        <f t="shared" si="38"/>
        <v>#N/A</v>
      </c>
      <c r="AF51" s="1" t="e">
        <f t="shared" si="39"/>
        <v>#N/A</v>
      </c>
      <c r="AG51" s="1">
        <f t="shared" si="40"/>
        <v>2.0211116195203379E-2</v>
      </c>
      <c r="AH51" s="1">
        <v>-0.08</v>
      </c>
      <c r="AI51" s="1">
        <f t="shared" si="41"/>
        <v>0.996794863550169</v>
      </c>
      <c r="AJ51" s="1" t="e">
        <f t="shared" si="42"/>
        <v>#N/A</v>
      </c>
      <c r="AK51" s="1" t="e">
        <f t="shared" si="43"/>
        <v>#N/A</v>
      </c>
      <c r="AL51" s="1" t="e">
        <f t="shared" si="44"/>
        <v>#N/A</v>
      </c>
      <c r="AM51" s="1" t="e">
        <f t="shared" si="45"/>
        <v>#N/A</v>
      </c>
      <c r="AN51" s="1" t="e">
        <f t="shared" si="46"/>
        <v>#N/A</v>
      </c>
      <c r="AO51" s="1">
        <f t="shared" si="47"/>
        <v>5.510591330668415E-2</v>
      </c>
      <c r="BC51" t="str">
        <f>IF(B51=0,"",IF(ABS(B51)&gt;=1000000000,TEXT(B51/1000000000,IF(MOD(ROUND(B51/1000000000,2),1)=0,"0","0.00"))&amp;" B VND",IF(ABS(B51)&gt;=1000000,TEXT(B51/1000000,IF(MOD(ROUND(B51/1000000,2),1)=0,"0","0.00"))&amp;" M VND",TEXT(B51/1000,IF(MOD(ROUND(B51/1000,2),1)=0,"0","0.00"))&amp;"k")))</f>
        <v>494.13 M VND</v>
      </c>
    </row>
    <row r="52" spans="1:55">
      <c r="A52" s="11" t="s">
        <v>381</v>
      </c>
      <c r="B52" s="15">
        <f>SUMIFS('Current AR'!$V$6:$V$103,'Current AR'!$F$6:$F$103,"&gt;="&amp;Dashboard!D2+28,'Current AR'!$F$6:$F$103,"&lt;="&amp;Dashboard!D2+30)</f>
        <v>513160910</v>
      </c>
      <c r="C52" s="15"/>
      <c r="D52" s="15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>
        <v>-0.06</v>
      </c>
      <c r="S52" s="1">
        <f t="shared" si="27"/>
        <v>0.99819837707742243</v>
      </c>
      <c r="T52" s="1" t="e">
        <f t="shared" si="28"/>
        <v>#N/A</v>
      </c>
      <c r="U52" s="1" t="e">
        <f t="shared" si="29"/>
        <v>#N/A</v>
      </c>
      <c r="V52" s="1" t="e">
        <f t="shared" si="30"/>
        <v>#N/A</v>
      </c>
      <c r="W52" s="1" t="e">
        <f t="shared" si="31"/>
        <v>#N/A</v>
      </c>
      <c r="X52" s="1" t="e">
        <f t="shared" si="32"/>
        <v>#N/A</v>
      </c>
      <c r="Y52" s="1">
        <f t="shared" si="33"/>
        <v>2.2291795864267092E-2</v>
      </c>
      <c r="Z52" s="1">
        <v>-0.06</v>
      </c>
      <c r="AA52" s="1">
        <f t="shared" si="34"/>
        <v>0.99819837707742243</v>
      </c>
      <c r="AB52" s="1" t="e">
        <f t="shared" si="35"/>
        <v>#N/A</v>
      </c>
      <c r="AC52" s="1" t="e">
        <f t="shared" si="36"/>
        <v>#N/A</v>
      </c>
      <c r="AD52" s="1" t="e">
        <f t="shared" si="37"/>
        <v>#N/A</v>
      </c>
      <c r="AE52" s="1" t="e">
        <f t="shared" si="38"/>
        <v>#N/A</v>
      </c>
      <c r="AF52" s="1" t="e">
        <f t="shared" si="39"/>
        <v>#N/A</v>
      </c>
      <c r="AG52" s="1">
        <f t="shared" si="40"/>
        <v>1.5158337146402533E-2</v>
      </c>
      <c r="AH52" s="1">
        <v>-0.06</v>
      </c>
      <c r="AI52" s="1">
        <f t="shared" si="41"/>
        <v>0.99819837707742243</v>
      </c>
      <c r="AJ52" s="1" t="e">
        <f t="shared" si="42"/>
        <v>#N/A</v>
      </c>
      <c r="AK52" s="1" t="e">
        <f t="shared" si="43"/>
        <v>#N/A</v>
      </c>
      <c r="AL52" s="1" t="e">
        <f t="shared" si="44"/>
        <v>#N/A</v>
      </c>
      <c r="AM52" s="1" t="e">
        <f t="shared" si="45"/>
        <v>#N/A</v>
      </c>
      <c r="AN52" s="1" t="e">
        <f t="shared" si="46"/>
        <v>#N/A</v>
      </c>
      <c r="AO52" s="1">
        <f t="shared" si="47"/>
        <v>4.1329434980013111E-2</v>
      </c>
      <c r="BC52" t="str">
        <f>IF(B52=0,"",IF(ABS(B52)&gt;=1000000000,TEXT(B52/1000000000,IF(MOD(ROUND(B52/1000000000,2),1)=0,"0","0.00"))&amp;" B VND",IF(ABS(B52)&gt;=1000000,TEXT(B52/1000000,IF(MOD(ROUND(B52/1000000,2),1)=0,"0","0.00"))&amp;" M VND",TEXT(B52/1000,IF(MOD(ROUND(B52/1000,2),1)=0,"0","0.00"))&amp;"k")))</f>
        <v>513.16 M VND</v>
      </c>
    </row>
    <row r="53" spans="1:55">
      <c r="A53" s="11"/>
      <c r="B53" s="15"/>
      <c r="C53" s="15"/>
      <c r="D53" s="15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v>-0.04</v>
      </c>
      <c r="S53" s="1">
        <f t="shared" si="27"/>
        <v>0.99919967974374369</v>
      </c>
      <c r="T53" s="1" t="e">
        <f t="shared" si="28"/>
        <v>#N/A</v>
      </c>
      <c r="U53" s="1" t="e">
        <f t="shared" si="29"/>
        <v>#N/A</v>
      </c>
      <c r="V53" s="1" t="e">
        <f t="shared" si="30"/>
        <v>#N/A</v>
      </c>
      <c r="W53" s="1" t="e">
        <f t="shared" si="31"/>
        <v>#N/A</v>
      </c>
      <c r="X53" s="1" t="e">
        <f t="shared" si="32"/>
        <v>#N/A</v>
      </c>
      <c r="Y53" s="1">
        <f t="shared" si="33"/>
        <v>1.4861197242844728E-2</v>
      </c>
      <c r="Z53" s="1">
        <v>-0.04</v>
      </c>
      <c r="AA53" s="1">
        <f t="shared" si="34"/>
        <v>0.99919967974374369</v>
      </c>
      <c r="AB53" s="1" t="e">
        <f t="shared" si="35"/>
        <v>#N/A</v>
      </c>
      <c r="AC53" s="1" t="e">
        <f t="shared" si="36"/>
        <v>#N/A</v>
      </c>
      <c r="AD53" s="1" t="e">
        <f t="shared" si="37"/>
        <v>#N/A</v>
      </c>
      <c r="AE53" s="1" t="e">
        <f t="shared" si="38"/>
        <v>#N/A</v>
      </c>
      <c r="AF53" s="1" t="e">
        <f t="shared" si="39"/>
        <v>#N/A</v>
      </c>
      <c r="AG53" s="1">
        <f t="shared" si="40"/>
        <v>1.0105558097601689E-2</v>
      </c>
      <c r="AH53" s="1">
        <v>-0.04</v>
      </c>
      <c r="AI53" s="1">
        <f t="shared" si="41"/>
        <v>0.99919967974374369</v>
      </c>
      <c r="AJ53" s="1" t="e">
        <f t="shared" si="42"/>
        <v>#N/A</v>
      </c>
      <c r="AK53" s="1" t="e">
        <f t="shared" si="43"/>
        <v>#N/A</v>
      </c>
      <c r="AL53" s="1" t="e">
        <f t="shared" si="44"/>
        <v>#N/A</v>
      </c>
      <c r="AM53" s="1" t="e">
        <f t="shared" si="45"/>
        <v>#N/A</v>
      </c>
      <c r="AN53" s="1" t="e">
        <f t="shared" si="46"/>
        <v>#N/A</v>
      </c>
      <c r="AO53" s="1">
        <f t="shared" si="47"/>
        <v>2.7552956653342075E-2</v>
      </c>
    </row>
    <row r="54" spans="1:55">
      <c r="A54" s="11"/>
      <c r="B54" s="15"/>
      <c r="C54" s="15"/>
      <c r="D54" s="15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>
        <v>-0.02</v>
      </c>
      <c r="S54" s="1">
        <f t="shared" si="27"/>
        <v>0.99979997999599901</v>
      </c>
      <c r="T54" s="1" t="e">
        <f t="shared" si="28"/>
        <v>#N/A</v>
      </c>
      <c r="U54" s="1" t="e">
        <f t="shared" si="29"/>
        <v>#N/A</v>
      </c>
      <c r="V54" s="1" t="e">
        <f t="shared" si="30"/>
        <v>#N/A</v>
      </c>
      <c r="W54" s="1" t="e">
        <f t="shared" si="31"/>
        <v>#N/A</v>
      </c>
      <c r="X54" s="1" t="e">
        <f t="shared" si="32"/>
        <v>#N/A</v>
      </c>
      <c r="Y54" s="1">
        <f t="shared" si="33"/>
        <v>7.4305986214223642E-3</v>
      </c>
      <c r="Z54" s="1">
        <v>-0.02</v>
      </c>
      <c r="AA54" s="1">
        <f t="shared" si="34"/>
        <v>0.99979997999599901</v>
      </c>
      <c r="AB54" s="1" t="e">
        <f t="shared" si="35"/>
        <v>#N/A</v>
      </c>
      <c r="AC54" s="1" t="e">
        <f t="shared" si="36"/>
        <v>#N/A</v>
      </c>
      <c r="AD54" s="1" t="e">
        <f t="shared" si="37"/>
        <v>#N/A</v>
      </c>
      <c r="AE54" s="1" t="e">
        <f t="shared" si="38"/>
        <v>#N/A</v>
      </c>
      <c r="AF54" s="1" t="e">
        <f t="shared" si="39"/>
        <v>#N/A</v>
      </c>
      <c r="AG54" s="1">
        <f t="shared" si="40"/>
        <v>5.0527790488008447E-3</v>
      </c>
      <c r="AH54" s="1">
        <v>-0.02</v>
      </c>
      <c r="AI54" s="1">
        <f t="shared" si="41"/>
        <v>0.99979997999599901</v>
      </c>
      <c r="AJ54" s="1" t="e">
        <f t="shared" si="42"/>
        <v>#N/A</v>
      </c>
      <c r="AK54" s="1" t="e">
        <f t="shared" si="43"/>
        <v>#N/A</v>
      </c>
      <c r="AL54" s="1" t="e">
        <f t="shared" si="44"/>
        <v>#N/A</v>
      </c>
      <c r="AM54" s="1" t="e">
        <f t="shared" si="45"/>
        <v>#N/A</v>
      </c>
      <c r="AN54" s="1" t="e">
        <f t="shared" si="46"/>
        <v>#N/A</v>
      </c>
      <c r="AO54" s="1">
        <f t="shared" si="47"/>
        <v>1.3776478326671037E-2</v>
      </c>
    </row>
    <row r="55" spans="1:55">
      <c r="A55" s="22" t="s">
        <v>382</v>
      </c>
      <c r="B55" s="23" t="s">
        <v>383</v>
      </c>
      <c r="C55" s="24" t="s">
        <v>384</v>
      </c>
      <c r="D55" s="24" t="s">
        <v>385</v>
      </c>
      <c r="E55" s="24" t="s">
        <v>356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>
        <v>0</v>
      </c>
      <c r="S55" s="1">
        <f t="shared" si="27"/>
        <v>1</v>
      </c>
      <c r="T55" s="1" t="e">
        <f t="shared" si="28"/>
        <v>#N/A</v>
      </c>
      <c r="U55" s="1" t="e">
        <f t="shared" si="29"/>
        <v>#N/A</v>
      </c>
      <c r="V55" s="1" t="e">
        <f t="shared" si="30"/>
        <v>#N/A</v>
      </c>
      <c r="W55" s="1" t="e">
        <f t="shared" si="31"/>
        <v>#N/A</v>
      </c>
      <c r="X55" s="1" t="e">
        <f t="shared" si="32"/>
        <v>#N/A</v>
      </c>
      <c r="Y55" s="1">
        <f t="shared" si="33"/>
        <v>0</v>
      </c>
      <c r="Z55" s="1">
        <v>0</v>
      </c>
      <c r="AA55" s="1">
        <f t="shared" si="34"/>
        <v>1</v>
      </c>
      <c r="AB55" s="1" t="e">
        <f t="shared" si="35"/>
        <v>#N/A</v>
      </c>
      <c r="AC55" s="1" t="e">
        <f t="shared" si="36"/>
        <v>#N/A</v>
      </c>
      <c r="AD55" s="1" t="e">
        <f t="shared" si="37"/>
        <v>#N/A</v>
      </c>
      <c r="AE55" s="1" t="e">
        <f t="shared" si="38"/>
        <v>#N/A</v>
      </c>
      <c r="AF55" s="1" t="e">
        <f t="shared" si="39"/>
        <v>#N/A</v>
      </c>
      <c r="AG55" s="1">
        <f t="shared" si="40"/>
        <v>0</v>
      </c>
      <c r="AH55" s="1">
        <v>0</v>
      </c>
      <c r="AI55" s="1">
        <f t="shared" si="41"/>
        <v>1</v>
      </c>
      <c r="AJ55" s="1" t="e">
        <f t="shared" si="42"/>
        <v>#N/A</v>
      </c>
      <c r="AK55" s="1" t="e">
        <f t="shared" si="43"/>
        <v>#N/A</v>
      </c>
      <c r="AL55" s="1" t="e">
        <f t="shared" si="44"/>
        <v>#N/A</v>
      </c>
      <c r="AM55" s="1" t="e">
        <f t="shared" si="45"/>
        <v>#N/A</v>
      </c>
      <c r="AN55" s="1" t="e">
        <f t="shared" si="46"/>
        <v>#N/A</v>
      </c>
      <c r="AO55" s="1">
        <f t="shared" si="47"/>
        <v>0</v>
      </c>
    </row>
    <row r="56" spans="1:55">
      <c r="A56" s="11" t="s">
        <v>386</v>
      </c>
      <c r="B56" s="14">
        <f>IF(B9=0,"n.a.",SUM('Current AR'!$W$6:$W$103)/B9)</f>
        <v>39.498014999906147</v>
      </c>
      <c r="C56" s="14">
        <f>IF(C9=0,"n.a.",SUM('Prior AR'!$W$6:$W$85)/C9)</f>
        <v>40.025012360801988</v>
      </c>
      <c r="D56" s="14">
        <f>IF(AND(ISNUMBER(B56),ISNUMBER(C56)),B56-C56,"n.a.")</f>
        <v>-0.52699736089584093</v>
      </c>
      <c r="E56" s="13">
        <f>IF(AND(ISNUMBER(C56),C56&lt;&gt;0,ISNUMBER(D56)),D56/C56,"n.a.")</f>
        <v>-1.3166700765642971E-2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>
        <v>0.02</v>
      </c>
      <c r="S56" s="1">
        <f t="shared" si="27"/>
        <v>0.99979997999599901</v>
      </c>
      <c r="T56" s="1" t="e">
        <f t="shared" si="28"/>
        <v>#N/A</v>
      </c>
      <c r="U56" s="1" t="e">
        <f t="shared" si="29"/>
        <v>#N/A</v>
      </c>
      <c r="V56" s="1" t="e">
        <f t="shared" si="30"/>
        <v>#N/A</v>
      </c>
      <c r="W56" s="1" t="e">
        <f t="shared" si="31"/>
        <v>#N/A</v>
      </c>
      <c r="X56" s="1" t="e">
        <f t="shared" si="32"/>
        <v>#N/A</v>
      </c>
      <c r="Y56" s="1" t="e">
        <f t="shared" si="33"/>
        <v>#N/A</v>
      </c>
      <c r="Z56" s="1">
        <v>0.02</v>
      </c>
      <c r="AA56" s="1">
        <f t="shared" si="34"/>
        <v>0.99979997999599901</v>
      </c>
      <c r="AB56" s="1" t="e">
        <f t="shared" si="35"/>
        <v>#N/A</v>
      </c>
      <c r="AC56" s="1" t="e">
        <f t="shared" si="36"/>
        <v>#N/A</v>
      </c>
      <c r="AD56" s="1" t="e">
        <f t="shared" si="37"/>
        <v>#N/A</v>
      </c>
      <c r="AE56" s="1" t="e">
        <f t="shared" si="38"/>
        <v>#N/A</v>
      </c>
      <c r="AF56" s="1" t="e">
        <f t="shared" si="39"/>
        <v>#N/A</v>
      </c>
      <c r="AG56" s="1" t="e">
        <f t="shared" si="40"/>
        <v>#N/A</v>
      </c>
      <c r="AH56" s="1">
        <v>0.02</v>
      </c>
      <c r="AI56" s="1">
        <f t="shared" si="41"/>
        <v>0.99979997999599901</v>
      </c>
      <c r="AJ56" s="1" t="e">
        <f t="shared" si="42"/>
        <v>#N/A</v>
      </c>
      <c r="AK56" s="1" t="e">
        <f t="shared" si="43"/>
        <v>#N/A</v>
      </c>
      <c r="AL56" s="1" t="e">
        <f t="shared" si="44"/>
        <v>#N/A</v>
      </c>
      <c r="AM56" s="1" t="e">
        <f t="shared" si="45"/>
        <v>#N/A</v>
      </c>
      <c r="AN56" s="1" t="e">
        <f t="shared" si="46"/>
        <v>#N/A</v>
      </c>
      <c r="AO56" s="1" t="e">
        <f t="shared" si="47"/>
        <v>#N/A</v>
      </c>
    </row>
    <row r="57" spans="1:55">
      <c r="A57" s="11" t="s">
        <v>12</v>
      </c>
      <c r="B57" s="13">
        <f>IF(B9=0,"n.a.",B8/B9)</f>
        <v>0.41025641025641024</v>
      </c>
      <c r="C57" s="13">
        <f>IF(C9=0,"n.a.",C8/C9)</f>
        <v>0.4128797897222069</v>
      </c>
      <c r="D57" s="13">
        <f>IF(AND(ISNUMBER(B57),ISNUMBER(C57)),B57-C57,"n.a.")</f>
        <v>-2.6233794657966603E-3</v>
      </c>
      <c r="E57" s="13">
        <f>IF(AND(ISNUMBER(C57),C57&lt;&gt;0,ISNUMBER(D57)),D57/C57,"n.a.")</f>
        <v>-6.3538577840337451E-3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>
        <v>0.04</v>
      </c>
      <c r="S57" s="1">
        <f t="shared" si="27"/>
        <v>0.99919967974374369</v>
      </c>
      <c r="T57" s="1" t="e">
        <f t="shared" si="28"/>
        <v>#N/A</v>
      </c>
      <c r="U57" s="1" t="e">
        <f t="shared" si="29"/>
        <v>#N/A</v>
      </c>
      <c r="V57" s="1" t="e">
        <f t="shared" si="30"/>
        <v>#N/A</v>
      </c>
      <c r="W57" s="1" t="e">
        <f t="shared" si="31"/>
        <v>#N/A</v>
      </c>
      <c r="X57" s="1" t="e">
        <f t="shared" si="32"/>
        <v>#N/A</v>
      </c>
      <c r="Y57" s="1" t="e">
        <f t="shared" si="33"/>
        <v>#N/A</v>
      </c>
      <c r="Z57" s="1">
        <v>0.04</v>
      </c>
      <c r="AA57" s="1">
        <f t="shared" si="34"/>
        <v>0.99919967974374369</v>
      </c>
      <c r="AB57" s="1" t="e">
        <f t="shared" si="35"/>
        <v>#N/A</v>
      </c>
      <c r="AC57" s="1" t="e">
        <f t="shared" si="36"/>
        <v>#N/A</v>
      </c>
      <c r="AD57" s="1" t="e">
        <f t="shared" si="37"/>
        <v>#N/A</v>
      </c>
      <c r="AE57" s="1" t="e">
        <f t="shared" si="38"/>
        <v>#N/A</v>
      </c>
      <c r="AF57" s="1" t="e">
        <f t="shared" si="39"/>
        <v>#N/A</v>
      </c>
      <c r="AG57" s="1" t="e">
        <f t="shared" si="40"/>
        <v>#N/A</v>
      </c>
      <c r="AH57" s="1">
        <v>0.04</v>
      </c>
      <c r="AI57" s="1">
        <f t="shared" si="41"/>
        <v>0.99919967974374369</v>
      </c>
      <c r="AJ57" s="1" t="e">
        <f t="shared" si="42"/>
        <v>#N/A</v>
      </c>
      <c r="AK57" s="1" t="e">
        <f t="shared" si="43"/>
        <v>#N/A</v>
      </c>
      <c r="AL57" s="1" t="e">
        <f t="shared" si="44"/>
        <v>#N/A</v>
      </c>
      <c r="AM57" s="1" t="e">
        <f t="shared" si="45"/>
        <v>#N/A</v>
      </c>
      <c r="AN57" s="1" t="e">
        <f t="shared" si="46"/>
        <v>#N/A</v>
      </c>
      <c r="AO57" s="1" t="e">
        <f t="shared" si="47"/>
        <v>#N/A</v>
      </c>
    </row>
    <row r="58" spans="1:55">
      <c r="A58" s="11" t="s">
        <v>13</v>
      </c>
      <c r="B58" s="13">
        <f>IF(B6=0,"n.a.",MAX(B170:B176)/B6)</f>
        <v>0.76492307692307693</v>
      </c>
      <c r="C58" s="13">
        <f>IF(C6=0,"n.a.",MAX(C170:C176)/C6)</f>
        <v>0.69916801348964097</v>
      </c>
      <c r="D58" s="13">
        <f>IF(AND(ISNUMBER(B58),ISNUMBER(C58)),B58-C58,"n.a.")</f>
        <v>6.5755063433435956E-2</v>
      </c>
      <c r="E58" s="13">
        <f>IF(AND(ISNUMBER(C58),C58&lt;&gt;0,ISNUMBER(D58)),D58/C58,"n.a.")</f>
        <v>9.4047585365416894E-2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>
        <v>0.06</v>
      </c>
      <c r="S58" s="1">
        <f t="shared" si="27"/>
        <v>0.99819837707742243</v>
      </c>
      <c r="T58" s="1" t="e">
        <f t="shared" si="28"/>
        <v>#N/A</v>
      </c>
      <c r="U58" s="1" t="e">
        <f t="shared" si="29"/>
        <v>#N/A</v>
      </c>
      <c r="V58" s="1" t="e">
        <f t="shared" si="30"/>
        <v>#N/A</v>
      </c>
      <c r="W58" s="1" t="e">
        <f t="shared" si="31"/>
        <v>#N/A</v>
      </c>
      <c r="X58" s="1" t="e">
        <f t="shared" si="32"/>
        <v>#N/A</v>
      </c>
      <c r="Y58" s="1" t="e">
        <f t="shared" si="33"/>
        <v>#N/A</v>
      </c>
      <c r="Z58" s="1">
        <v>0.06</v>
      </c>
      <c r="AA58" s="1">
        <f t="shared" si="34"/>
        <v>0.99819837707742243</v>
      </c>
      <c r="AB58" s="1" t="e">
        <f t="shared" si="35"/>
        <v>#N/A</v>
      </c>
      <c r="AC58" s="1" t="e">
        <f t="shared" si="36"/>
        <v>#N/A</v>
      </c>
      <c r="AD58" s="1" t="e">
        <f t="shared" si="37"/>
        <v>#N/A</v>
      </c>
      <c r="AE58" s="1" t="e">
        <f t="shared" si="38"/>
        <v>#N/A</v>
      </c>
      <c r="AF58" s="1" t="e">
        <f t="shared" si="39"/>
        <v>#N/A</v>
      </c>
      <c r="AG58" s="1" t="e">
        <f t="shared" si="40"/>
        <v>#N/A</v>
      </c>
      <c r="AH58" s="1">
        <v>0.06</v>
      </c>
      <c r="AI58" s="1">
        <f t="shared" si="41"/>
        <v>0.99819837707742243</v>
      </c>
      <c r="AJ58" s="1" t="e">
        <f t="shared" si="42"/>
        <v>#N/A</v>
      </c>
      <c r="AK58" s="1" t="e">
        <f t="shared" si="43"/>
        <v>#N/A</v>
      </c>
      <c r="AL58" s="1" t="e">
        <f t="shared" si="44"/>
        <v>#N/A</v>
      </c>
      <c r="AM58" s="1" t="e">
        <f t="shared" si="45"/>
        <v>#N/A</v>
      </c>
      <c r="AN58" s="1" t="e">
        <f t="shared" si="46"/>
        <v>#N/A</v>
      </c>
      <c r="AO58" s="1" t="e">
        <f t="shared" si="47"/>
        <v>#N/A</v>
      </c>
    </row>
    <row r="59" spans="1:55">
      <c r="A59" s="11" t="s">
        <v>14</v>
      </c>
      <c r="B59" s="13">
        <f>IF(B6=0,"n.a.",(IFERROR(LARGE(B170:B176,1),0)+IFERROR(LARGE(B170:B176,2),0)+IFERROR(LARGE(B170:B176,3),0))/B6)</f>
        <v>0.91524492307692307</v>
      </c>
      <c r="C59" s="13">
        <f>IF(C6=0,"n.a.",(IFERROR(LARGE(C170:C176,1),0)+IFERROR(LARGE(C170:C176,2),0)+IFERROR(LARGE(C170:C176,3),0))/C6)</f>
        <v>0.95274424973029537</v>
      </c>
      <c r="D59" s="13">
        <f>IF(AND(ISNUMBER(B59),ISNUMBER(C59)),B59-C59,"n.a.")</f>
        <v>-3.74993266533723E-2</v>
      </c>
      <c r="E59" s="13">
        <f>IF(AND(ISNUMBER(C59),C59&lt;&gt;0,ISNUMBER(D59)),D59/C59,"n.a.")</f>
        <v>-3.9359278908256523E-2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>
        <v>0.08</v>
      </c>
      <c r="S59" s="1">
        <f t="shared" si="27"/>
        <v>0.996794863550169</v>
      </c>
      <c r="T59" s="1" t="e">
        <f t="shared" si="28"/>
        <v>#N/A</v>
      </c>
      <c r="U59" s="1" t="e">
        <f t="shared" si="29"/>
        <v>#N/A</v>
      </c>
      <c r="V59" s="1" t="e">
        <f t="shared" si="30"/>
        <v>#N/A</v>
      </c>
      <c r="W59" s="1" t="e">
        <f t="shared" si="31"/>
        <v>#N/A</v>
      </c>
      <c r="X59" s="1" t="e">
        <f t="shared" si="32"/>
        <v>#N/A</v>
      </c>
      <c r="Y59" s="1" t="e">
        <f t="shared" si="33"/>
        <v>#N/A</v>
      </c>
      <c r="Z59" s="1">
        <v>0.08</v>
      </c>
      <c r="AA59" s="1">
        <f t="shared" si="34"/>
        <v>0.996794863550169</v>
      </c>
      <c r="AB59" s="1" t="e">
        <f t="shared" si="35"/>
        <v>#N/A</v>
      </c>
      <c r="AC59" s="1" t="e">
        <f t="shared" si="36"/>
        <v>#N/A</v>
      </c>
      <c r="AD59" s="1" t="e">
        <f t="shared" si="37"/>
        <v>#N/A</v>
      </c>
      <c r="AE59" s="1" t="e">
        <f t="shared" si="38"/>
        <v>#N/A</v>
      </c>
      <c r="AF59" s="1" t="e">
        <f t="shared" si="39"/>
        <v>#N/A</v>
      </c>
      <c r="AG59" s="1" t="e">
        <f t="shared" si="40"/>
        <v>#N/A</v>
      </c>
      <c r="AH59" s="1">
        <v>0.08</v>
      </c>
      <c r="AI59" s="1">
        <f t="shared" si="41"/>
        <v>0.996794863550169</v>
      </c>
      <c r="AJ59" s="1" t="e">
        <f t="shared" si="42"/>
        <v>#N/A</v>
      </c>
      <c r="AK59" s="1" t="e">
        <f t="shared" si="43"/>
        <v>#N/A</v>
      </c>
      <c r="AL59" s="1" t="e">
        <f t="shared" si="44"/>
        <v>#N/A</v>
      </c>
      <c r="AM59" s="1" t="e">
        <f t="shared" si="45"/>
        <v>#N/A</v>
      </c>
      <c r="AN59" s="1" t="e">
        <f t="shared" si="46"/>
        <v>#N/A</v>
      </c>
      <c r="AO59" s="1" t="e">
        <f t="shared" si="47"/>
        <v>#N/A</v>
      </c>
    </row>
    <row r="60" spans="1:55">
      <c r="A60" s="11"/>
      <c r="B60" s="15"/>
      <c r="C60" s="15"/>
      <c r="D60" s="15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v>0.1</v>
      </c>
      <c r="S60" s="1">
        <f t="shared" si="27"/>
        <v>0.99498743710661997</v>
      </c>
      <c r="T60" s="1" t="e">
        <f t="shared" si="28"/>
        <v>#N/A</v>
      </c>
      <c r="U60" s="1" t="e">
        <f t="shared" si="29"/>
        <v>#N/A</v>
      </c>
      <c r="V60" s="1" t="e">
        <f t="shared" si="30"/>
        <v>#N/A</v>
      </c>
      <c r="W60" s="1" t="e">
        <f t="shared" si="31"/>
        <v>#N/A</v>
      </c>
      <c r="X60" s="1" t="e">
        <f t="shared" si="32"/>
        <v>#N/A</v>
      </c>
      <c r="Y60" s="1" t="e">
        <f t="shared" si="33"/>
        <v>#N/A</v>
      </c>
      <c r="Z60" s="1">
        <v>0.1</v>
      </c>
      <c r="AA60" s="1">
        <f t="shared" si="34"/>
        <v>0.99498743710661997</v>
      </c>
      <c r="AB60" s="1" t="e">
        <f t="shared" si="35"/>
        <v>#N/A</v>
      </c>
      <c r="AC60" s="1" t="e">
        <f t="shared" si="36"/>
        <v>#N/A</v>
      </c>
      <c r="AD60" s="1" t="e">
        <f t="shared" si="37"/>
        <v>#N/A</v>
      </c>
      <c r="AE60" s="1" t="e">
        <f t="shared" si="38"/>
        <v>#N/A</v>
      </c>
      <c r="AF60" s="1" t="e">
        <f t="shared" si="39"/>
        <v>#N/A</v>
      </c>
      <c r="AG60" s="1" t="e">
        <f t="shared" si="40"/>
        <v>#N/A</v>
      </c>
      <c r="AH60" s="1">
        <v>0.1</v>
      </c>
      <c r="AI60" s="1">
        <f t="shared" si="41"/>
        <v>0.99498743710661997</v>
      </c>
      <c r="AJ60" s="1" t="e">
        <f t="shared" si="42"/>
        <v>#N/A</v>
      </c>
      <c r="AK60" s="1" t="e">
        <f t="shared" si="43"/>
        <v>#N/A</v>
      </c>
      <c r="AL60" s="1" t="e">
        <f t="shared" si="44"/>
        <v>#N/A</v>
      </c>
      <c r="AM60" s="1" t="e">
        <f t="shared" si="45"/>
        <v>#N/A</v>
      </c>
      <c r="AN60" s="1" t="e">
        <f t="shared" si="46"/>
        <v>#N/A</v>
      </c>
      <c r="AO60" s="1" t="e">
        <f t="shared" si="47"/>
        <v>#N/A</v>
      </c>
    </row>
    <row r="61" spans="1:55">
      <c r="A61" s="11"/>
      <c r="B61" s="15"/>
      <c r="C61" s="15"/>
      <c r="D61" s="15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>
        <v>0.12</v>
      </c>
      <c r="S61" s="1">
        <f t="shared" si="27"/>
        <v>0.99277389167926855</v>
      </c>
      <c r="T61" s="1" t="e">
        <f t="shared" si="28"/>
        <v>#N/A</v>
      </c>
      <c r="U61" s="1" t="e">
        <f t="shared" si="29"/>
        <v>#N/A</v>
      </c>
      <c r="V61" s="1" t="e">
        <f t="shared" si="30"/>
        <v>#N/A</v>
      </c>
      <c r="W61" s="1" t="e">
        <f t="shared" si="31"/>
        <v>#N/A</v>
      </c>
      <c r="X61" s="1" t="e">
        <f t="shared" si="32"/>
        <v>#N/A</v>
      </c>
      <c r="Y61" s="1" t="e">
        <f t="shared" si="33"/>
        <v>#N/A</v>
      </c>
      <c r="Z61" s="1">
        <v>0.12</v>
      </c>
      <c r="AA61" s="1">
        <f t="shared" si="34"/>
        <v>0.99277389167926855</v>
      </c>
      <c r="AB61" s="1" t="e">
        <f t="shared" si="35"/>
        <v>#N/A</v>
      </c>
      <c r="AC61" s="1" t="e">
        <f t="shared" si="36"/>
        <v>#N/A</v>
      </c>
      <c r="AD61" s="1" t="e">
        <f t="shared" si="37"/>
        <v>#N/A</v>
      </c>
      <c r="AE61" s="1" t="e">
        <f t="shared" si="38"/>
        <v>#N/A</v>
      </c>
      <c r="AF61" s="1" t="e">
        <f t="shared" si="39"/>
        <v>#N/A</v>
      </c>
      <c r="AG61" s="1" t="e">
        <f t="shared" si="40"/>
        <v>#N/A</v>
      </c>
      <c r="AH61" s="1">
        <v>0.12</v>
      </c>
      <c r="AI61" s="1">
        <f t="shared" si="41"/>
        <v>0.99277389167926855</v>
      </c>
      <c r="AJ61" s="1" t="e">
        <f t="shared" si="42"/>
        <v>#N/A</v>
      </c>
      <c r="AK61" s="1" t="e">
        <f t="shared" si="43"/>
        <v>#N/A</v>
      </c>
      <c r="AL61" s="1" t="e">
        <f t="shared" si="44"/>
        <v>#N/A</v>
      </c>
      <c r="AM61" s="1" t="e">
        <f t="shared" si="45"/>
        <v>#N/A</v>
      </c>
      <c r="AN61" s="1" t="e">
        <f t="shared" si="46"/>
        <v>#N/A</v>
      </c>
      <c r="AO61" s="1" t="e">
        <f t="shared" si="47"/>
        <v>#N/A</v>
      </c>
    </row>
    <row r="62" spans="1:55">
      <c r="A62" s="11"/>
      <c r="B62" s="15"/>
      <c r="C62" s="15"/>
      <c r="D62" s="15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>
        <v>0.14000000000000001</v>
      </c>
      <c r="S62" s="1">
        <f t="shared" si="27"/>
        <v>0.99015150355892512</v>
      </c>
      <c r="T62" s="1" t="e">
        <f t="shared" si="28"/>
        <v>#N/A</v>
      </c>
      <c r="U62" s="1" t="e">
        <f t="shared" si="29"/>
        <v>#N/A</v>
      </c>
      <c r="V62" s="1" t="e">
        <f t="shared" si="30"/>
        <v>#N/A</v>
      </c>
      <c r="W62" s="1" t="e">
        <f t="shared" si="31"/>
        <v>#N/A</v>
      </c>
      <c r="X62" s="1" t="e">
        <f t="shared" si="32"/>
        <v>#N/A</v>
      </c>
      <c r="Y62" s="1" t="e">
        <f t="shared" si="33"/>
        <v>#N/A</v>
      </c>
      <c r="Z62" s="1">
        <v>0.14000000000000001</v>
      </c>
      <c r="AA62" s="1">
        <f t="shared" si="34"/>
        <v>0.99015150355892512</v>
      </c>
      <c r="AB62" s="1" t="e">
        <f t="shared" si="35"/>
        <v>#N/A</v>
      </c>
      <c r="AC62" s="1" t="e">
        <f t="shared" si="36"/>
        <v>#N/A</v>
      </c>
      <c r="AD62" s="1" t="e">
        <f t="shared" si="37"/>
        <v>#N/A</v>
      </c>
      <c r="AE62" s="1" t="e">
        <f t="shared" si="38"/>
        <v>#N/A</v>
      </c>
      <c r="AF62" s="1" t="e">
        <f t="shared" si="39"/>
        <v>#N/A</v>
      </c>
      <c r="AG62" s="1" t="e">
        <f t="shared" si="40"/>
        <v>#N/A</v>
      </c>
      <c r="AH62" s="1">
        <v>0.14000000000000001</v>
      </c>
      <c r="AI62" s="1">
        <f t="shared" si="41"/>
        <v>0.99015150355892512</v>
      </c>
      <c r="AJ62" s="1" t="e">
        <f t="shared" si="42"/>
        <v>#N/A</v>
      </c>
      <c r="AK62" s="1" t="e">
        <f t="shared" si="43"/>
        <v>#N/A</v>
      </c>
      <c r="AL62" s="1" t="e">
        <f t="shared" si="44"/>
        <v>#N/A</v>
      </c>
      <c r="AM62" s="1" t="e">
        <f t="shared" si="45"/>
        <v>#N/A</v>
      </c>
      <c r="AN62" s="1" t="e">
        <f t="shared" si="46"/>
        <v>#N/A</v>
      </c>
      <c r="AO62" s="1" t="e">
        <f t="shared" si="47"/>
        <v>#N/A</v>
      </c>
    </row>
    <row r="63" spans="1:55">
      <c r="A63" s="11"/>
      <c r="B63" s="15"/>
      <c r="C63" s="15"/>
      <c r="D63" s="15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>
        <v>0.16</v>
      </c>
      <c r="S63" s="1">
        <f t="shared" si="27"/>
        <v>0.98711701434024535</v>
      </c>
      <c r="T63" s="1" t="e">
        <f t="shared" si="28"/>
        <v>#N/A</v>
      </c>
      <c r="U63" s="1" t="e">
        <f t="shared" si="29"/>
        <v>#N/A</v>
      </c>
      <c r="V63" s="1" t="e">
        <f t="shared" si="30"/>
        <v>#N/A</v>
      </c>
      <c r="W63" s="1" t="e">
        <f t="shared" si="31"/>
        <v>#N/A</v>
      </c>
      <c r="X63" s="1" t="e">
        <f t="shared" si="32"/>
        <v>#N/A</v>
      </c>
      <c r="Y63" s="1" t="e">
        <f t="shared" si="33"/>
        <v>#N/A</v>
      </c>
      <c r="Z63" s="1">
        <v>0.16</v>
      </c>
      <c r="AA63" s="1">
        <f t="shared" si="34"/>
        <v>0.98711701434024535</v>
      </c>
      <c r="AB63" s="1" t="e">
        <f t="shared" si="35"/>
        <v>#N/A</v>
      </c>
      <c r="AC63" s="1" t="e">
        <f t="shared" si="36"/>
        <v>#N/A</v>
      </c>
      <c r="AD63" s="1" t="e">
        <f t="shared" si="37"/>
        <v>#N/A</v>
      </c>
      <c r="AE63" s="1" t="e">
        <f t="shared" si="38"/>
        <v>#N/A</v>
      </c>
      <c r="AF63" s="1" t="e">
        <f t="shared" si="39"/>
        <v>#N/A</v>
      </c>
      <c r="AG63" s="1" t="e">
        <f t="shared" si="40"/>
        <v>#N/A</v>
      </c>
      <c r="AH63" s="1">
        <v>0.16</v>
      </c>
      <c r="AI63" s="1">
        <f t="shared" si="41"/>
        <v>0.98711701434024535</v>
      </c>
      <c r="AJ63" s="1" t="e">
        <f t="shared" si="42"/>
        <v>#N/A</v>
      </c>
      <c r="AK63" s="1" t="e">
        <f t="shared" si="43"/>
        <v>#N/A</v>
      </c>
      <c r="AL63" s="1" t="e">
        <f t="shared" si="44"/>
        <v>#N/A</v>
      </c>
      <c r="AM63" s="1" t="e">
        <f t="shared" si="45"/>
        <v>#N/A</v>
      </c>
      <c r="AN63" s="1" t="e">
        <f t="shared" si="46"/>
        <v>#N/A</v>
      </c>
      <c r="AO63" s="1" t="e">
        <f t="shared" si="47"/>
        <v>#N/A</v>
      </c>
    </row>
    <row r="64" spans="1:55">
      <c r="R64" s="1">
        <v>0.18</v>
      </c>
      <c r="S64" s="1">
        <f t="shared" si="27"/>
        <v>0.98366661018863499</v>
      </c>
      <c r="T64" s="1" t="e">
        <f t="shared" si="28"/>
        <v>#N/A</v>
      </c>
      <c r="U64" s="1" t="e">
        <f t="shared" si="29"/>
        <v>#N/A</v>
      </c>
      <c r="V64" s="1" t="e">
        <f t="shared" si="30"/>
        <v>#N/A</v>
      </c>
      <c r="W64" s="1" t="e">
        <f t="shared" si="31"/>
        <v>#N/A</v>
      </c>
      <c r="X64" s="1" t="e">
        <f t="shared" si="32"/>
        <v>#N/A</v>
      </c>
      <c r="Y64" s="1" t="e">
        <f t="shared" si="33"/>
        <v>#N/A</v>
      </c>
      <c r="Z64" s="1">
        <v>0.18</v>
      </c>
      <c r="AA64" s="1">
        <f t="shared" si="34"/>
        <v>0.98366661018863499</v>
      </c>
      <c r="AB64" s="1" t="e">
        <f t="shared" si="35"/>
        <v>#N/A</v>
      </c>
      <c r="AC64" s="1" t="e">
        <f t="shared" si="36"/>
        <v>#N/A</v>
      </c>
      <c r="AD64" s="1" t="e">
        <f t="shared" si="37"/>
        <v>#N/A</v>
      </c>
      <c r="AE64" s="1" t="e">
        <f t="shared" si="38"/>
        <v>#N/A</v>
      </c>
      <c r="AF64" s="1" t="e">
        <f t="shared" si="39"/>
        <v>#N/A</v>
      </c>
      <c r="AG64" s="1" t="e">
        <f t="shared" si="40"/>
        <v>#N/A</v>
      </c>
      <c r="AH64" s="1">
        <v>0.18</v>
      </c>
      <c r="AI64" s="1">
        <f t="shared" si="41"/>
        <v>0.98366661018863499</v>
      </c>
      <c r="AJ64" s="1" t="e">
        <f t="shared" si="42"/>
        <v>#N/A</v>
      </c>
      <c r="AK64" s="1" t="e">
        <f t="shared" si="43"/>
        <v>#N/A</v>
      </c>
      <c r="AL64" s="1" t="e">
        <f t="shared" si="44"/>
        <v>#N/A</v>
      </c>
      <c r="AM64" s="1" t="e">
        <f t="shared" si="45"/>
        <v>#N/A</v>
      </c>
      <c r="AN64" s="1" t="e">
        <f t="shared" si="46"/>
        <v>#N/A</v>
      </c>
      <c r="AO64" s="1" t="e">
        <f t="shared" si="47"/>
        <v>#N/A</v>
      </c>
    </row>
    <row r="65" spans="1:41">
      <c r="A65" s="11"/>
      <c r="B65" s="15"/>
      <c r="C65" s="15"/>
      <c r="D65" s="15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>
        <v>0.2</v>
      </c>
      <c r="S65" s="1">
        <f t="shared" si="27"/>
        <v>0.9797958971132712</v>
      </c>
      <c r="T65" s="1" t="e">
        <f t="shared" si="28"/>
        <v>#N/A</v>
      </c>
      <c r="U65" s="1" t="e">
        <f t="shared" si="29"/>
        <v>#N/A</v>
      </c>
      <c r="V65" s="1" t="e">
        <f t="shared" si="30"/>
        <v>#N/A</v>
      </c>
      <c r="W65" s="1" t="e">
        <f t="shared" si="31"/>
        <v>#N/A</v>
      </c>
      <c r="X65" s="1" t="e">
        <f t="shared" si="32"/>
        <v>#N/A</v>
      </c>
      <c r="Y65" s="1" t="e">
        <f t="shared" si="33"/>
        <v>#N/A</v>
      </c>
      <c r="Z65" s="1">
        <v>0.2</v>
      </c>
      <c r="AA65" s="1">
        <f t="shared" si="34"/>
        <v>0.9797958971132712</v>
      </c>
      <c r="AB65" s="1" t="e">
        <f t="shared" si="35"/>
        <v>#N/A</v>
      </c>
      <c r="AC65" s="1" t="e">
        <f t="shared" si="36"/>
        <v>#N/A</v>
      </c>
      <c r="AD65" s="1" t="e">
        <f t="shared" si="37"/>
        <v>#N/A</v>
      </c>
      <c r="AE65" s="1" t="e">
        <f t="shared" si="38"/>
        <v>#N/A</v>
      </c>
      <c r="AF65" s="1" t="e">
        <f t="shared" si="39"/>
        <v>#N/A</v>
      </c>
      <c r="AG65" s="1" t="e">
        <f t="shared" si="40"/>
        <v>#N/A</v>
      </c>
      <c r="AH65" s="1">
        <v>0.2</v>
      </c>
      <c r="AI65" s="1">
        <f t="shared" si="41"/>
        <v>0.9797958971132712</v>
      </c>
      <c r="AJ65" s="1" t="e">
        <f t="shared" si="42"/>
        <v>#N/A</v>
      </c>
      <c r="AK65" s="1" t="e">
        <f t="shared" si="43"/>
        <v>#N/A</v>
      </c>
      <c r="AL65" s="1" t="e">
        <f t="shared" si="44"/>
        <v>#N/A</v>
      </c>
      <c r="AM65" s="1" t="e">
        <f t="shared" si="45"/>
        <v>#N/A</v>
      </c>
      <c r="AN65" s="1" t="e">
        <f t="shared" si="46"/>
        <v>#N/A</v>
      </c>
      <c r="AO65" s="1" t="e">
        <f t="shared" si="47"/>
        <v>#N/A</v>
      </c>
    </row>
    <row r="66" spans="1:41">
      <c r="A66" s="11"/>
      <c r="B66" s="15"/>
      <c r="C66" s="15"/>
      <c r="D66" s="15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>
        <v>0.22</v>
      </c>
      <c r="S66" s="1">
        <f t="shared" si="27"/>
        <v>0.97549987186057585</v>
      </c>
      <c r="T66" s="1" t="e">
        <f t="shared" si="28"/>
        <v>#N/A</v>
      </c>
      <c r="U66" s="1" t="e">
        <f t="shared" si="29"/>
        <v>#N/A</v>
      </c>
      <c r="V66" s="1" t="e">
        <f t="shared" si="30"/>
        <v>#N/A</v>
      </c>
      <c r="W66" s="1" t="e">
        <f t="shared" si="31"/>
        <v>#N/A</v>
      </c>
      <c r="X66" s="1" t="e">
        <f t="shared" si="32"/>
        <v>#N/A</v>
      </c>
      <c r="Y66" s="1" t="e">
        <f t="shared" si="33"/>
        <v>#N/A</v>
      </c>
      <c r="Z66" s="1">
        <v>0.22</v>
      </c>
      <c r="AA66" s="1">
        <f t="shared" si="34"/>
        <v>0.97549987186057585</v>
      </c>
      <c r="AB66" s="1" t="e">
        <f t="shared" si="35"/>
        <v>#N/A</v>
      </c>
      <c r="AC66" s="1" t="e">
        <f t="shared" si="36"/>
        <v>#N/A</v>
      </c>
      <c r="AD66" s="1" t="e">
        <f t="shared" si="37"/>
        <v>#N/A</v>
      </c>
      <c r="AE66" s="1" t="e">
        <f t="shared" si="38"/>
        <v>#N/A</v>
      </c>
      <c r="AF66" s="1" t="e">
        <f t="shared" si="39"/>
        <v>#N/A</v>
      </c>
      <c r="AG66" s="1" t="e">
        <f t="shared" si="40"/>
        <v>#N/A</v>
      </c>
      <c r="AH66" s="1">
        <v>0.22</v>
      </c>
      <c r="AI66" s="1">
        <f t="shared" si="41"/>
        <v>0.97549987186057585</v>
      </c>
      <c r="AJ66" s="1" t="e">
        <f t="shared" si="42"/>
        <v>#N/A</v>
      </c>
      <c r="AK66" s="1" t="e">
        <f t="shared" si="43"/>
        <v>#N/A</v>
      </c>
      <c r="AL66" s="1" t="e">
        <f t="shared" si="44"/>
        <v>#N/A</v>
      </c>
      <c r="AM66" s="1" t="e">
        <f t="shared" si="45"/>
        <v>#N/A</v>
      </c>
      <c r="AN66" s="1" t="e">
        <f t="shared" si="46"/>
        <v>#N/A</v>
      </c>
      <c r="AO66" s="1" t="e">
        <f t="shared" si="47"/>
        <v>#N/A</v>
      </c>
    </row>
    <row r="67" spans="1:41">
      <c r="A67" s="11"/>
      <c r="B67" s="15"/>
      <c r="C67" s="15"/>
      <c r="D67" s="15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>
        <v>0.24</v>
      </c>
      <c r="S67" s="1">
        <f t="shared" si="27"/>
        <v>0.97077288796092776</v>
      </c>
      <c r="T67" s="1" t="e">
        <f t="shared" si="28"/>
        <v>#N/A</v>
      </c>
      <c r="U67" s="1" t="e">
        <f t="shared" si="29"/>
        <v>#N/A</v>
      </c>
      <c r="V67" s="1" t="e">
        <f t="shared" si="30"/>
        <v>#N/A</v>
      </c>
      <c r="W67" s="1" t="e">
        <f t="shared" si="31"/>
        <v>#N/A</v>
      </c>
      <c r="X67" s="1" t="e">
        <f t="shared" si="32"/>
        <v>#N/A</v>
      </c>
      <c r="Y67" s="1" t="e">
        <f t="shared" si="33"/>
        <v>#N/A</v>
      </c>
      <c r="Z67" s="1">
        <v>0.24</v>
      </c>
      <c r="AA67" s="1">
        <f t="shared" si="34"/>
        <v>0.97077288796092776</v>
      </c>
      <c r="AB67" s="1" t="e">
        <f t="shared" si="35"/>
        <v>#N/A</v>
      </c>
      <c r="AC67" s="1" t="e">
        <f t="shared" si="36"/>
        <v>#N/A</v>
      </c>
      <c r="AD67" s="1" t="e">
        <f t="shared" si="37"/>
        <v>#N/A</v>
      </c>
      <c r="AE67" s="1" t="e">
        <f t="shared" si="38"/>
        <v>#N/A</v>
      </c>
      <c r="AF67" s="1" t="e">
        <f t="shared" si="39"/>
        <v>#N/A</v>
      </c>
      <c r="AG67" s="1" t="e">
        <f t="shared" si="40"/>
        <v>#N/A</v>
      </c>
      <c r="AH67" s="1">
        <v>0.24</v>
      </c>
      <c r="AI67" s="1">
        <f t="shared" si="41"/>
        <v>0.97077288796092776</v>
      </c>
      <c r="AJ67" s="1" t="e">
        <f t="shared" si="42"/>
        <v>#N/A</v>
      </c>
      <c r="AK67" s="1" t="e">
        <f t="shared" si="43"/>
        <v>#N/A</v>
      </c>
      <c r="AL67" s="1" t="e">
        <f t="shared" si="44"/>
        <v>#N/A</v>
      </c>
      <c r="AM67" s="1" t="e">
        <f t="shared" si="45"/>
        <v>#N/A</v>
      </c>
      <c r="AN67" s="1" t="e">
        <f t="shared" si="46"/>
        <v>#N/A</v>
      </c>
      <c r="AO67" s="1" t="e">
        <f t="shared" si="47"/>
        <v>#N/A</v>
      </c>
    </row>
    <row r="68" spans="1:41">
      <c r="A68" s="11"/>
      <c r="B68" s="15"/>
      <c r="C68" s="15"/>
      <c r="D68" s="15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>
        <v>0.26</v>
      </c>
      <c r="S68" s="1">
        <f t="shared" si="27"/>
        <v>0.96560861636586492</v>
      </c>
      <c r="T68" s="1" t="e">
        <f t="shared" si="28"/>
        <v>#N/A</v>
      </c>
      <c r="U68" s="1" t="e">
        <f t="shared" si="29"/>
        <v>#N/A</v>
      </c>
      <c r="V68" s="1" t="e">
        <f t="shared" si="30"/>
        <v>#N/A</v>
      </c>
      <c r="W68" s="1" t="e">
        <f t="shared" si="31"/>
        <v>#N/A</v>
      </c>
      <c r="X68" s="1" t="e">
        <f t="shared" si="32"/>
        <v>#N/A</v>
      </c>
      <c r="Y68" s="1" t="e">
        <f t="shared" si="33"/>
        <v>#N/A</v>
      </c>
      <c r="Z68" s="1">
        <v>0.26</v>
      </c>
      <c r="AA68" s="1">
        <f t="shared" si="34"/>
        <v>0.96560861636586492</v>
      </c>
      <c r="AB68" s="1" t="e">
        <f t="shared" si="35"/>
        <v>#N/A</v>
      </c>
      <c r="AC68" s="1" t="e">
        <f t="shared" si="36"/>
        <v>#N/A</v>
      </c>
      <c r="AD68" s="1" t="e">
        <f t="shared" si="37"/>
        <v>#N/A</v>
      </c>
      <c r="AE68" s="1" t="e">
        <f t="shared" si="38"/>
        <v>#N/A</v>
      </c>
      <c r="AF68" s="1" t="e">
        <f t="shared" si="39"/>
        <v>#N/A</v>
      </c>
      <c r="AG68" s="1" t="e">
        <f t="shared" si="40"/>
        <v>#N/A</v>
      </c>
      <c r="AH68" s="1">
        <v>0.26</v>
      </c>
      <c r="AI68" s="1">
        <f t="shared" si="41"/>
        <v>0.96560861636586492</v>
      </c>
      <c r="AJ68" s="1" t="e">
        <f t="shared" si="42"/>
        <v>#N/A</v>
      </c>
      <c r="AK68" s="1" t="e">
        <f t="shared" si="43"/>
        <v>#N/A</v>
      </c>
      <c r="AL68" s="1" t="e">
        <f t="shared" si="44"/>
        <v>#N/A</v>
      </c>
      <c r="AM68" s="1" t="e">
        <f t="shared" si="45"/>
        <v>#N/A</v>
      </c>
      <c r="AN68" s="1" t="e">
        <f t="shared" si="46"/>
        <v>#N/A</v>
      </c>
      <c r="AO68" s="1" t="e">
        <f t="shared" si="47"/>
        <v>#N/A</v>
      </c>
    </row>
    <row r="69" spans="1:41">
      <c r="A69" s="11"/>
      <c r="B69" s="15"/>
      <c r="C69" s="15"/>
      <c r="D69" s="15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>
        <v>0.28000000000000003</v>
      </c>
      <c r="S69" s="1">
        <f t="shared" ref="S69:S100" si="49">SQRT(MAX(0,1-R69^2))</f>
        <v>0.96</v>
      </c>
      <c r="T69" s="1" t="e">
        <f t="shared" ref="T69:T100" si="50">IF(ISNUMBER($B$16),IF(AND($C$16=1,R69&lt;=-COS(PI()*$B$16)),S69,NA()),NA())</f>
        <v>#N/A</v>
      </c>
      <c r="U69" s="1" t="e">
        <f t="shared" ref="U69:U105" si="51">IF(ISNUMBER($B$16),IF(AND($C$16=2,R69&lt;=-COS(PI()*$B$16)),S69,NA()),NA())</f>
        <v>#N/A</v>
      </c>
      <c r="V69" s="1" t="e">
        <f t="shared" ref="V69:V105" si="52">IF(ISNUMBER($B$16),IF(AND($C$16=3,R69&lt;=-COS(PI()*$B$16)),S69,NA()),NA())</f>
        <v>#N/A</v>
      </c>
      <c r="W69" s="1" t="e">
        <f t="shared" ref="W69:W105" si="53">IF(ISNUMBER($B$16),IF(AND($C$16=4,R69&lt;=-COS(PI()*$B$16)),S69,NA()),NA())</f>
        <v>#N/A</v>
      </c>
      <c r="X69" s="1" t="e">
        <f t="shared" ref="X69:X105" si="54">IF(ISNUMBER($B$16),IF(AND($C$16=5,R69&lt;=-COS(PI()*$B$16)),S69,NA()),NA())</f>
        <v>#N/A</v>
      </c>
      <c r="Y69" s="1" t="e">
        <f t="shared" ref="Y69:Y105" si="55">IF(ISNUMBER($B$16),IF(AND(ISNUMBER($B$16),R69&gt;=MIN(0,$R$2),R69&lt;=MAX(0,$R$2)),IF($R$2=0,0,R69/$R$2*$S$2),NA()),NA())</f>
        <v>#N/A</v>
      </c>
      <c r="Z69" s="1">
        <v>0.28000000000000003</v>
      </c>
      <c r="AA69" s="1">
        <f t="shared" ref="AA69:AA100" si="56">SQRT(MAX(0,1-Z69^2))</f>
        <v>0.96</v>
      </c>
      <c r="AB69" s="1" t="e">
        <f t="shared" ref="AB69:AB100" si="57">IF(ISNUMBER($B$17),IF(AND($C$17=1,Z69&lt;=-COS(PI()*$B$17)),AA69,NA()),NA())</f>
        <v>#N/A</v>
      </c>
      <c r="AC69" s="1" t="e">
        <f t="shared" ref="AC69:AC105" si="58">IF(ISNUMBER($B$17),IF(AND($C$17=2,Z69&lt;=-COS(PI()*$B$17)),AA69,NA()),NA())</f>
        <v>#N/A</v>
      </c>
      <c r="AD69" s="1" t="e">
        <f t="shared" ref="AD69:AD105" si="59">IF(ISNUMBER($B$17),IF(AND($C$17=3,Z69&lt;=-COS(PI()*$B$17)),AA69,NA()),NA())</f>
        <v>#N/A</v>
      </c>
      <c r="AE69" s="1" t="e">
        <f t="shared" ref="AE69:AE105" si="60">IF(ISNUMBER($B$17),IF(AND($C$17=4,Z69&lt;=-COS(PI()*$B$17)),AA69,NA()),NA())</f>
        <v>#N/A</v>
      </c>
      <c r="AF69" s="1" t="e">
        <f t="shared" ref="AF69:AF105" si="61">IF(ISNUMBER($B$17),IF(AND($C$17=5,Z69&lt;=-COS(PI()*$B$17)),AA69,NA()),NA())</f>
        <v>#N/A</v>
      </c>
      <c r="AG69" s="1" t="e">
        <f t="shared" ref="AG69:AG105" si="62">IF(ISNUMBER($B$17),IF(AND(ISNUMBER($B$17),Z69&gt;=MIN(0,$Z$2),Z69&lt;=MAX(0,$Z$2)),IF($Z$2=0,0,Z69/$Z$2*$AA$2),NA()),NA())</f>
        <v>#N/A</v>
      </c>
      <c r="AH69" s="1">
        <v>0.28000000000000003</v>
      </c>
      <c r="AI69" s="1">
        <f t="shared" ref="AI69:AI100" si="63">SQRT(MAX(0,1-AH69^2))</f>
        <v>0.96</v>
      </c>
      <c r="AJ69" s="1" t="e">
        <f t="shared" ref="AJ69:AJ100" si="64">IF(ISNUMBER($B$18),IF(AND($C$18=1,AH69&lt;=-COS(PI()*$B$18)),AI69,NA()),NA())</f>
        <v>#N/A</v>
      </c>
      <c r="AK69" s="1" t="e">
        <f t="shared" ref="AK69:AK105" si="65">IF(ISNUMBER($B$18),IF(AND($C$18=2,AH69&lt;=-COS(PI()*$B$18)),AI69,NA()),NA())</f>
        <v>#N/A</v>
      </c>
      <c r="AL69" s="1" t="e">
        <f t="shared" ref="AL69:AL105" si="66">IF(ISNUMBER($B$18),IF(AND($C$18=3,AH69&lt;=-COS(PI()*$B$18)),AI69,NA()),NA())</f>
        <v>#N/A</v>
      </c>
      <c r="AM69" s="1" t="e">
        <f t="shared" ref="AM69:AM105" si="67">IF(ISNUMBER($B$18),IF(AND($C$18=4,AH69&lt;=-COS(PI()*$B$18)),AI69,NA()),NA())</f>
        <v>#N/A</v>
      </c>
      <c r="AN69" s="1" t="e">
        <f t="shared" ref="AN69:AN105" si="68">IF(ISNUMBER($B$18),IF(AND($C$18=5,AH69&lt;=-COS(PI()*$B$18)),AI69,NA()),NA())</f>
        <v>#N/A</v>
      </c>
      <c r="AO69" s="1" t="e">
        <f t="shared" ref="AO69:AO105" si="69">IF(ISNUMBER($B$18),IF(AND(ISNUMBER($B$18),AH69&gt;=MIN(0,$AH$2),AH69&lt;=MAX(0,$AH$2)),IF($AH$2=0,0,AH69/$AH$2*$AI$2),NA()),NA())</f>
        <v>#N/A</v>
      </c>
    </row>
    <row r="70" spans="1:41">
      <c r="A70" s="11"/>
      <c r="B70" s="15"/>
      <c r="C70" s="15"/>
      <c r="D70" s="15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>
        <v>0.3</v>
      </c>
      <c r="S70" s="1">
        <f t="shared" si="49"/>
        <v>0.95393920141694566</v>
      </c>
      <c r="T70" s="1" t="e">
        <f t="shared" si="50"/>
        <v>#N/A</v>
      </c>
      <c r="U70" s="1" t="e">
        <f t="shared" si="51"/>
        <v>#N/A</v>
      </c>
      <c r="V70" s="1" t="e">
        <f t="shared" si="52"/>
        <v>#N/A</v>
      </c>
      <c r="W70" s="1" t="e">
        <f t="shared" si="53"/>
        <v>#N/A</v>
      </c>
      <c r="X70" s="1" t="e">
        <f t="shared" si="54"/>
        <v>#N/A</v>
      </c>
      <c r="Y70" s="1" t="e">
        <f t="shared" si="55"/>
        <v>#N/A</v>
      </c>
      <c r="Z70" s="1">
        <v>0.3</v>
      </c>
      <c r="AA70" s="1">
        <f t="shared" si="56"/>
        <v>0.95393920141694566</v>
      </c>
      <c r="AB70" s="1" t="e">
        <f t="shared" si="57"/>
        <v>#N/A</v>
      </c>
      <c r="AC70" s="1" t="e">
        <f t="shared" si="58"/>
        <v>#N/A</v>
      </c>
      <c r="AD70" s="1" t="e">
        <f t="shared" si="59"/>
        <v>#N/A</v>
      </c>
      <c r="AE70" s="1" t="e">
        <f t="shared" si="60"/>
        <v>#N/A</v>
      </c>
      <c r="AF70" s="1" t="e">
        <f t="shared" si="61"/>
        <v>#N/A</v>
      </c>
      <c r="AG70" s="1" t="e">
        <f t="shared" si="62"/>
        <v>#N/A</v>
      </c>
      <c r="AH70" s="1">
        <v>0.3</v>
      </c>
      <c r="AI70" s="1">
        <f t="shared" si="63"/>
        <v>0.95393920141694566</v>
      </c>
      <c r="AJ70" s="1" t="e">
        <f t="shared" si="64"/>
        <v>#N/A</v>
      </c>
      <c r="AK70" s="1" t="e">
        <f t="shared" si="65"/>
        <v>#N/A</v>
      </c>
      <c r="AL70" s="1" t="e">
        <f t="shared" si="66"/>
        <v>#N/A</v>
      </c>
      <c r="AM70" s="1" t="e">
        <f t="shared" si="67"/>
        <v>#N/A</v>
      </c>
      <c r="AN70" s="1" t="e">
        <f t="shared" si="68"/>
        <v>#N/A</v>
      </c>
      <c r="AO70" s="1" t="e">
        <f t="shared" si="69"/>
        <v>#N/A</v>
      </c>
    </row>
    <row r="71" spans="1:41">
      <c r="A71" s="11"/>
      <c r="B71" s="15"/>
      <c r="C71" s="15"/>
      <c r="D71" s="15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>
        <v>0.32</v>
      </c>
      <c r="S71" s="1">
        <f t="shared" si="49"/>
        <v>0.94741754258616084</v>
      </c>
      <c r="T71" s="1" t="e">
        <f t="shared" si="50"/>
        <v>#N/A</v>
      </c>
      <c r="U71" s="1" t="e">
        <f t="shared" si="51"/>
        <v>#N/A</v>
      </c>
      <c r="V71" s="1" t="e">
        <f t="shared" si="52"/>
        <v>#N/A</v>
      </c>
      <c r="W71" s="1" t="e">
        <f t="shared" si="53"/>
        <v>#N/A</v>
      </c>
      <c r="X71" s="1" t="e">
        <f t="shared" si="54"/>
        <v>#N/A</v>
      </c>
      <c r="Y71" s="1" t="e">
        <f t="shared" si="55"/>
        <v>#N/A</v>
      </c>
      <c r="Z71" s="1">
        <v>0.32</v>
      </c>
      <c r="AA71" s="1">
        <f t="shared" si="56"/>
        <v>0.94741754258616084</v>
      </c>
      <c r="AB71" s="1" t="e">
        <f t="shared" si="57"/>
        <v>#N/A</v>
      </c>
      <c r="AC71" s="1" t="e">
        <f t="shared" si="58"/>
        <v>#N/A</v>
      </c>
      <c r="AD71" s="1" t="e">
        <f t="shared" si="59"/>
        <v>#N/A</v>
      </c>
      <c r="AE71" s="1" t="e">
        <f t="shared" si="60"/>
        <v>#N/A</v>
      </c>
      <c r="AF71" s="1" t="e">
        <f t="shared" si="61"/>
        <v>#N/A</v>
      </c>
      <c r="AG71" s="1" t="e">
        <f t="shared" si="62"/>
        <v>#N/A</v>
      </c>
      <c r="AH71" s="1">
        <v>0.32</v>
      </c>
      <c r="AI71" s="1">
        <f t="shared" si="63"/>
        <v>0.94741754258616084</v>
      </c>
      <c r="AJ71" s="1" t="e">
        <f t="shared" si="64"/>
        <v>#N/A</v>
      </c>
      <c r="AK71" s="1" t="e">
        <f t="shared" si="65"/>
        <v>#N/A</v>
      </c>
      <c r="AL71" s="1" t="e">
        <f t="shared" si="66"/>
        <v>#N/A</v>
      </c>
      <c r="AM71" s="1" t="e">
        <f t="shared" si="67"/>
        <v>#N/A</v>
      </c>
      <c r="AN71" s="1" t="e">
        <f t="shared" si="68"/>
        <v>#N/A</v>
      </c>
      <c r="AO71" s="1" t="e">
        <f t="shared" si="69"/>
        <v>#N/A</v>
      </c>
    </row>
    <row r="72" spans="1:41">
      <c r="A72" s="11"/>
      <c r="B72" s="15"/>
      <c r="C72" s="15"/>
      <c r="D72" s="15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0.34</v>
      </c>
      <c r="S72" s="1">
        <f t="shared" si="49"/>
        <v>0.9404254356406998</v>
      </c>
      <c r="T72" s="1" t="e">
        <f t="shared" si="50"/>
        <v>#N/A</v>
      </c>
      <c r="U72" s="1" t="e">
        <f t="shared" si="51"/>
        <v>#N/A</v>
      </c>
      <c r="V72" s="1" t="e">
        <f t="shared" si="52"/>
        <v>#N/A</v>
      </c>
      <c r="W72" s="1" t="e">
        <f t="shared" si="53"/>
        <v>#N/A</v>
      </c>
      <c r="X72" s="1" t="e">
        <f t="shared" si="54"/>
        <v>#N/A</v>
      </c>
      <c r="Y72" s="1" t="e">
        <f t="shared" si="55"/>
        <v>#N/A</v>
      </c>
      <c r="Z72" s="1">
        <v>0.34</v>
      </c>
      <c r="AA72" s="1">
        <f t="shared" si="56"/>
        <v>0.9404254356406998</v>
      </c>
      <c r="AB72" s="1" t="e">
        <f t="shared" si="57"/>
        <v>#N/A</v>
      </c>
      <c r="AC72" s="1" t="e">
        <f t="shared" si="58"/>
        <v>#N/A</v>
      </c>
      <c r="AD72" s="1" t="e">
        <f t="shared" si="59"/>
        <v>#N/A</v>
      </c>
      <c r="AE72" s="1" t="e">
        <f t="shared" si="60"/>
        <v>#N/A</v>
      </c>
      <c r="AF72" s="1" t="e">
        <f t="shared" si="61"/>
        <v>#N/A</v>
      </c>
      <c r="AG72" s="1" t="e">
        <f t="shared" si="62"/>
        <v>#N/A</v>
      </c>
      <c r="AH72" s="1">
        <v>0.34</v>
      </c>
      <c r="AI72" s="1">
        <f t="shared" si="63"/>
        <v>0.9404254356406998</v>
      </c>
      <c r="AJ72" s="1" t="e">
        <f t="shared" si="64"/>
        <v>#N/A</v>
      </c>
      <c r="AK72" s="1" t="e">
        <f t="shared" si="65"/>
        <v>#N/A</v>
      </c>
      <c r="AL72" s="1" t="e">
        <f t="shared" si="66"/>
        <v>#N/A</v>
      </c>
      <c r="AM72" s="1" t="e">
        <f t="shared" si="67"/>
        <v>#N/A</v>
      </c>
      <c r="AN72" s="1" t="e">
        <f t="shared" si="68"/>
        <v>#N/A</v>
      </c>
      <c r="AO72" s="1" t="e">
        <f t="shared" si="69"/>
        <v>#N/A</v>
      </c>
    </row>
    <row r="73" spans="1:41">
      <c r="A73" s="11"/>
      <c r="B73" s="15"/>
      <c r="C73" s="15"/>
      <c r="D73" s="15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>
        <v>0.36</v>
      </c>
      <c r="S73" s="1">
        <f t="shared" si="49"/>
        <v>0.93295230317524813</v>
      </c>
      <c r="T73" s="1" t="e">
        <f t="shared" si="50"/>
        <v>#N/A</v>
      </c>
      <c r="U73" s="1" t="e">
        <f t="shared" si="51"/>
        <v>#N/A</v>
      </c>
      <c r="V73" s="1" t="e">
        <f t="shared" si="52"/>
        <v>#N/A</v>
      </c>
      <c r="W73" s="1" t="e">
        <f t="shared" si="53"/>
        <v>#N/A</v>
      </c>
      <c r="X73" s="1" t="e">
        <f t="shared" si="54"/>
        <v>#N/A</v>
      </c>
      <c r="Y73" s="1" t="e">
        <f t="shared" si="55"/>
        <v>#N/A</v>
      </c>
      <c r="Z73" s="1">
        <v>0.36</v>
      </c>
      <c r="AA73" s="1">
        <f t="shared" si="56"/>
        <v>0.93295230317524813</v>
      </c>
      <c r="AB73" s="1" t="e">
        <f t="shared" si="57"/>
        <v>#N/A</v>
      </c>
      <c r="AC73" s="1" t="e">
        <f t="shared" si="58"/>
        <v>#N/A</v>
      </c>
      <c r="AD73" s="1" t="e">
        <f t="shared" si="59"/>
        <v>#N/A</v>
      </c>
      <c r="AE73" s="1" t="e">
        <f t="shared" si="60"/>
        <v>#N/A</v>
      </c>
      <c r="AF73" s="1" t="e">
        <f t="shared" si="61"/>
        <v>#N/A</v>
      </c>
      <c r="AG73" s="1" t="e">
        <f t="shared" si="62"/>
        <v>#N/A</v>
      </c>
      <c r="AH73" s="1">
        <v>0.36</v>
      </c>
      <c r="AI73" s="1">
        <f t="shared" si="63"/>
        <v>0.93295230317524813</v>
      </c>
      <c r="AJ73" s="1" t="e">
        <f t="shared" si="64"/>
        <v>#N/A</v>
      </c>
      <c r="AK73" s="1" t="e">
        <f t="shared" si="65"/>
        <v>#N/A</v>
      </c>
      <c r="AL73" s="1" t="e">
        <f t="shared" si="66"/>
        <v>#N/A</v>
      </c>
      <c r="AM73" s="1" t="e">
        <f t="shared" si="67"/>
        <v>#N/A</v>
      </c>
      <c r="AN73" s="1" t="e">
        <f t="shared" si="68"/>
        <v>#N/A</v>
      </c>
      <c r="AO73" s="1" t="e">
        <f t="shared" si="69"/>
        <v>#N/A</v>
      </c>
    </row>
    <row r="74" spans="1:41">
      <c r="A74" s="11"/>
      <c r="B74" s="15"/>
      <c r="C74" s="15"/>
      <c r="D74" s="15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0.38</v>
      </c>
      <c r="S74" s="1">
        <f t="shared" si="49"/>
        <v>0.92498648638777425</v>
      </c>
      <c r="T74" s="1" t="e">
        <f t="shared" si="50"/>
        <v>#N/A</v>
      </c>
      <c r="U74" s="1" t="e">
        <f t="shared" si="51"/>
        <v>#N/A</v>
      </c>
      <c r="V74" s="1" t="e">
        <f t="shared" si="52"/>
        <v>#N/A</v>
      </c>
      <c r="W74" s="1" t="e">
        <f t="shared" si="53"/>
        <v>#N/A</v>
      </c>
      <c r="X74" s="1" t="e">
        <f t="shared" si="54"/>
        <v>#N/A</v>
      </c>
      <c r="Y74" s="1" t="e">
        <f t="shared" si="55"/>
        <v>#N/A</v>
      </c>
      <c r="Z74" s="1">
        <v>0.38</v>
      </c>
      <c r="AA74" s="1">
        <f t="shared" si="56"/>
        <v>0.92498648638777425</v>
      </c>
      <c r="AB74" s="1" t="e">
        <f t="shared" si="57"/>
        <v>#N/A</v>
      </c>
      <c r="AC74" s="1" t="e">
        <f t="shared" si="58"/>
        <v>#N/A</v>
      </c>
      <c r="AD74" s="1" t="e">
        <f t="shared" si="59"/>
        <v>#N/A</v>
      </c>
      <c r="AE74" s="1" t="e">
        <f t="shared" si="60"/>
        <v>#N/A</v>
      </c>
      <c r="AF74" s="1" t="e">
        <f t="shared" si="61"/>
        <v>#N/A</v>
      </c>
      <c r="AG74" s="1" t="e">
        <f t="shared" si="62"/>
        <v>#N/A</v>
      </c>
      <c r="AH74" s="1">
        <v>0.38</v>
      </c>
      <c r="AI74" s="1">
        <f t="shared" si="63"/>
        <v>0.92498648638777425</v>
      </c>
      <c r="AJ74" s="1" t="e">
        <f t="shared" si="64"/>
        <v>#N/A</v>
      </c>
      <c r="AK74" s="1" t="e">
        <f t="shared" si="65"/>
        <v>#N/A</v>
      </c>
      <c r="AL74" s="1" t="e">
        <f t="shared" si="66"/>
        <v>#N/A</v>
      </c>
      <c r="AM74" s="1" t="e">
        <f t="shared" si="67"/>
        <v>#N/A</v>
      </c>
      <c r="AN74" s="1" t="e">
        <f t="shared" si="68"/>
        <v>#N/A</v>
      </c>
      <c r="AO74" s="1" t="e">
        <f t="shared" si="69"/>
        <v>#N/A</v>
      </c>
    </row>
    <row r="75" spans="1:41">
      <c r="A75" s="11"/>
      <c r="B75" s="15"/>
      <c r="C75" s="15"/>
      <c r="D75" s="15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>
        <v>0.4</v>
      </c>
      <c r="S75" s="1">
        <f t="shared" si="49"/>
        <v>0.91651513899116799</v>
      </c>
      <c r="T75" s="1" t="e">
        <f t="shared" si="50"/>
        <v>#N/A</v>
      </c>
      <c r="U75" s="1" t="e">
        <f t="shared" si="51"/>
        <v>#N/A</v>
      </c>
      <c r="V75" s="1" t="e">
        <f t="shared" si="52"/>
        <v>#N/A</v>
      </c>
      <c r="W75" s="1" t="e">
        <f t="shared" si="53"/>
        <v>#N/A</v>
      </c>
      <c r="X75" s="1" t="e">
        <f t="shared" si="54"/>
        <v>#N/A</v>
      </c>
      <c r="Y75" s="1" t="e">
        <f t="shared" si="55"/>
        <v>#N/A</v>
      </c>
      <c r="Z75" s="1">
        <v>0.4</v>
      </c>
      <c r="AA75" s="1">
        <f t="shared" si="56"/>
        <v>0.91651513899116799</v>
      </c>
      <c r="AB75" s="1" t="e">
        <f t="shared" si="57"/>
        <v>#N/A</v>
      </c>
      <c r="AC75" s="1" t="e">
        <f t="shared" si="58"/>
        <v>#N/A</v>
      </c>
      <c r="AD75" s="1" t="e">
        <f t="shared" si="59"/>
        <v>#N/A</v>
      </c>
      <c r="AE75" s="1" t="e">
        <f t="shared" si="60"/>
        <v>#N/A</v>
      </c>
      <c r="AF75" s="1" t="e">
        <f t="shared" si="61"/>
        <v>#N/A</v>
      </c>
      <c r="AG75" s="1" t="e">
        <f t="shared" si="62"/>
        <v>#N/A</v>
      </c>
      <c r="AH75" s="1">
        <v>0.4</v>
      </c>
      <c r="AI75" s="1">
        <f t="shared" si="63"/>
        <v>0.91651513899116799</v>
      </c>
      <c r="AJ75" s="1" t="e">
        <f t="shared" si="64"/>
        <v>#N/A</v>
      </c>
      <c r="AK75" s="1" t="e">
        <f t="shared" si="65"/>
        <v>#N/A</v>
      </c>
      <c r="AL75" s="1" t="e">
        <f t="shared" si="66"/>
        <v>#N/A</v>
      </c>
      <c r="AM75" s="1" t="e">
        <f t="shared" si="67"/>
        <v>#N/A</v>
      </c>
      <c r="AN75" s="1" t="e">
        <f t="shared" si="68"/>
        <v>#N/A</v>
      </c>
      <c r="AO75" s="1" t="e">
        <f t="shared" si="69"/>
        <v>#N/A</v>
      </c>
    </row>
    <row r="76" spans="1:41">
      <c r="A76" s="11"/>
      <c r="B76" s="15"/>
      <c r="C76" s="15"/>
      <c r="D76" s="15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>
        <v>0.42</v>
      </c>
      <c r="S76" s="1">
        <f t="shared" si="49"/>
        <v>0.90752410436307418</v>
      </c>
      <c r="T76" s="1" t="e">
        <f t="shared" si="50"/>
        <v>#N/A</v>
      </c>
      <c r="U76" s="1" t="e">
        <f t="shared" si="51"/>
        <v>#N/A</v>
      </c>
      <c r="V76" s="1" t="e">
        <f t="shared" si="52"/>
        <v>#N/A</v>
      </c>
      <c r="W76" s="1" t="e">
        <f t="shared" si="53"/>
        <v>#N/A</v>
      </c>
      <c r="X76" s="1" t="e">
        <f t="shared" si="54"/>
        <v>#N/A</v>
      </c>
      <c r="Y76" s="1" t="e">
        <f t="shared" si="55"/>
        <v>#N/A</v>
      </c>
      <c r="Z76" s="1">
        <v>0.42</v>
      </c>
      <c r="AA76" s="1">
        <f t="shared" si="56"/>
        <v>0.90752410436307418</v>
      </c>
      <c r="AB76" s="1" t="e">
        <f t="shared" si="57"/>
        <v>#N/A</v>
      </c>
      <c r="AC76" s="1" t="e">
        <f t="shared" si="58"/>
        <v>#N/A</v>
      </c>
      <c r="AD76" s="1" t="e">
        <f t="shared" si="59"/>
        <v>#N/A</v>
      </c>
      <c r="AE76" s="1" t="e">
        <f t="shared" si="60"/>
        <v>#N/A</v>
      </c>
      <c r="AF76" s="1" t="e">
        <f t="shared" si="61"/>
        <v>#N/A</v>
      </c>
      <c r="AG76" s="1" t="e">
        <f t="shared" si="62"/>
        <v>#N/A</v>
      </c>
      <c r="AH76" s="1">
        <v>0.42</v>
      </c>
      <c r="AI76" s="1">
        <f t="shared" si="63"/>
        <v>0.90752410436307418</v>
      </c>
      <c r="AJ76" s="1" t="e">
        <f t="shared" si="64"/>
        <v>#N/A</v>
      </c>
      <c r="AK76" s="1" t="e">
        <f t="shared" si="65"/>
        <v>#N/A</v>
      </c>
      <c r="AL76" s="1" t="e">
        <f t="shared" si="66"/>
        <v>#N/A</v>
      </c>
      <c r="AM76" s="1" t="e">
        <f t="shared" si="67"/>
        <v>#N/A</v>
      </c>
      <c r="AN76" s="1" t="e">
        <f t="shared" si="68"/>
        <v>#N/A</v>
      </c>
      <c r="AO76" s="1" t="e">
        <f t="shared" si="69"/>
        <v>#N/A</v>
      </c>
    </row>
    <row r="77" spans="1:41">
      <c r="A77" s="11"/>
      <c r="B77" s="15"/>
      <c r="C77" s="15"/>
      <c r="D77" s="15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>
        <v>0.44</v>
      </c>
      <c r="S77" s="1">
        <f t="shared" si="49"/>
        <v>0.89799777282574589</v>
      </c>
      <c r="T77" s="1" t="e">
        <f t="shared" si="50"/>
        <v>#N/A</v>
      </c>
      <c r="U77" s="1" t="e">
        <f t="shared" si="51"/>
        <v>#N/A</v>
      </c>
      <c r="V77" s="1" t="e">
        <f t="shared" si="52"/>
        <v>#N/A</v>
      </c>
      <c r="W77" s="1" t="e">
        <f t="shared" si="53"/>
        <v>#N/A</v>
      </c>
      <c r="X77" s="1" t="e">
        <f t="shared" si="54"/>
        <v>#N/A</v>
      </c>
      <c r="Y77" s="1" t="e">
        <f t="shared" si="55"/>
        <v>#N/A</v>
      </c>
      <c r="Z77" s="1">
        <v>0.44</v>
      </c>
      <c r="AA77" s="1">
        <f t="shared" si="56"/>
        <v>0.89799777282574589</v>
      </c>
      <c r="AB77" s="1" t="e">
        <f t="shared" si="57"/>
        <v>#N/A</v>
      </c>
      <c r="AC77" s="1" t="e">
        <f t="shared" si="58"/>
        <v>#N/A</v>
      </c>
      <c r="AD77" s="1" t="e">
        <f t="shared" si="59"/>
        <v>#N/A</v>
      </c>
      <c r="AE77" s="1" t="e">
        <f t="shared" si="60"/>
        <v>#N/A</v>
      </c>
      <c r="AF77" s="1" t="e">
        <f t="shared" si="61"/>
        <v>#N/A</v>
      </c>
      <c r="AG77" s="1" t="e">
        <f t="shared" si="62"/>
        <v>#N/A</v>
      </c>
      <c r="AH77" s="1">
        <v>0.44</v>
      </c>
      <c r="AI77" s="1">
        <f t="shared" si="63"/>
        <v>0.89799777282574589</v>
      </c>
      <c r="AJ77" s="1" t="e">
        <f t="shared" si="64"/>
        <v>#N/A</v>
      </c>
      <c r="AK77" s="1" t="e">
        <f t="shared" si="65"/>
        <v>#N/A</v>
      </c>
      <c r="AL77" s="1" t="e">
        <f t="shared" si="66"/>
        <v>#N/A</v>
      </c>
      <c r="AM77" s="1" t="e">
        <f t="shared" si="67"/>
        <v>#N/A</v>
      </c>
      <c r="AN77" s="1" t="e">
        <f t="shared" si="68"/>
        <v>#N/A</v>
      </c>
      <c r="AO77" s="1" t="e">
        <f t="shared" si="69"/>
        <v>#N/A</v>
      </c>
    </row>
    <row r="78" spans="1:41">
      <c r="A78" s="11"/>
      <c r="B78" s="15"/>
      <c r="C78" s="15"/>
      <c r="D78" s="15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>
        <v>0.46</v>
      </c>
      <c r="S78" s="1">
        <f t="shared" si="49"/>
        <v>0.88791891521692456</v>
      </c>
      <c r="T78" s="1" t="e">
        <f t="shared" si="50"/>
        <v>#N/A</v>
      </c>
      <c r="U78" s="1" t="e">
        <f t="shared" si="51"/>
        <v>#N/A</v>
      </c>
      <c r="V78" s="1" t="e">
        <f t="shared" si="52"/>
        <v>#N/A</v>
      </c>
      <c r="W78" s="1" t="e">
        <f t="shared" si="53"/>
        <v>#N/A</v>
      </c>
      <c r="X78" s="1" t="e">
        <f t="shared" si="54"/>
        <v>#N/A</v>
      </c>
      <c r="Y78" s="1" t="e">
        <f t="shared" si="55"/>
        <v>#N/A</v>
      </c>
      <c r="Z78" s="1">
        <v>0.46</v>
      </c>
      <c r="AA78" s="1">
        <f t="shared" si="56"/>
        <v>0.88791891521692456</v>
      </c>
      <c r="AB78" s="1" t="e">
        <f t="shared" si="57"/>
        <v>#N/A</v>
      </c>
      <c r="AC78" s="1" t="e">
        <f t="shared" si="58"/>
        <v>#N/A</v>
      </c>
      <c r="AD78" s="1" t="e">
        <f t="shared" si="59"/>
        <v>#N/A</v>
      </c>
      <c r="AE78" s="1" t="e">
        <f t="shared" si="60"/>
        <v>#N/A</v>
      </c>
      <c r="AF78" s="1" t="e">
        <f t="shared" si="61"/>
        <v>#N/A</v>
      </c>
      <c r="AG78" s="1" t="e">
        <f t="shared" si="62"/>
        <v>#N/A</v>
      </c>
      <c r="AH78" s="1">
        <v>0.46</v>
      </c>
      <c r="AI78" s="1">
        <f t="shared" si="63"/>
        <v>0.88791891521692456</v>
      </c>
      <c r="AJ78" s="1" t="e">
        <f t="shared" si="64"/>
        <v>#N/A</v>
      </c>
      <c r="AK78" s="1" t="e">
        <f t="shared" si="65"/>
        <v>#N/A</v>
      </c>
      <c r="AL78" s="1" t="e">
        <f t="shared" si="66"/>
        <v>#N/A</v>
      </c>
      <c r="AM78" s="1" t="e">
        <f t="shared" si="67"/>
        <v>#N/A</v>
      </c>
      <c r="AN78" s="1" t="e">
        <f t="shared" si="68"/>
        <v>#N/A</v>
      </c>
      <c r="AO78" s="1" t="e">
        <f t="shared" si="69"/>
        <v>#N/A</v>
      </c>
    </row>
    <row r="79" spans="1:41">
      <c r="A79" s="11"/>
      <c r="B79" s="15"/>
      <c r="C79" s="15"/>
      <c r="D79" s="15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>
        <v>0.48</v>
      </c>
      <c r="S79" s="1">
        <f t="shared" si="49"/>
        <v>0.87726848797845236</v>
      </c>
      <c r="T79" s="1" t="e">
        <f t="shared" si="50"/>
        <v>#N/A</v>
      </c>
      <c r="U79" s="1" t="e">
        <f t="shared" si="51"/>
        <v>#N/A</v>
      </c>
      <c r="V79" s="1" t="e">
        <f t="shared" si="52"/>
        <v>#N/A</v>
      </c>
      <c r="W79" s="1" t="e">
        <f t="shared" si="53"/>
        <v>#N/A</v>
      </c>
      <c r="X79" s="1" t="e">
        <f t="shared" si="54"/>
        <v>#N/A</v>
      </c>
      <c r="Y79" s="1" t="e">
        <f t="shared" si="55"/>
        <v>#N/A</v>
      </c>
      <c r="Z79" s="1">
        <v>0.48</v>
      </c>
      <c r="AA79" s="1">
        <f t="shared" si="56"/>
        <v>0.87726848797845236</v>
      </c>
      <c r="AB79" s="1" t="e">
        <f t="shared" si="57"/>
        <v>#N/A</v>
      </c>
      <c r="AC79" s="1" t="e">
        <f t="shared" si="58"/>
        <v>#N/A</v>
      </c>
      <c r="AD79" s="1" t="e">
        <f t="shared" si="59"/>
        <v>#N/A</v>
      </c>
      <c r="AE79" s="1" t="e">
        <f t="shared" si="60"/>
        <v>#N/A</v>
      </c>
      <c r="AF79" s="1" t="e">
        <f t="shared" si="61"/>
        <v>#N/A</v>
      </c>
      <c r="AG79" s="1" t="e">
        <f t="shared" si="62"/>
        <v>#N/A</v>
      </c>
      <c r="AH79" s="1">
        <v>0.48</v>
      </c>
      <c r="AI79" s="1">
        <f t="shared" si="63"/>
        <v>0.87726848797845236</v>
      </c>
      <c r="AJ79" s="1" t="e">
        <f t="shared" si="64"/>
        <v>#N/A</v>
      </c>
      <c r="AK79" s="1" t="e">
        <f t="shared" si="65"/>
        <v>#N/A</v>
      </c>
      <c r="AL79" s="1" t="e">
        <f t="shared" si="66"/>
        <v>#N/A</v>
      </c>
      <c r="AM79" s="1" t="e">
        <f t="shared" si="67"/>
        <v>#N/A</v>
      </c>
      <c r="AN79" s="1" t="e">
        <f t="shared" si="68"/>
        <v>#N/A</v>
      </c>
      <c r="AO79" s="1" t="e">
        <f t="shared" si="69"/>
        <v>#N/A</v>
      </c>
    </row>
    <row r="80" spans="1:41">
      <c r="A80" s="11"/>
      <c r="B80" s="15"/>
      <c r="C80" s="15"/>
      <c r="D80" s="15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>
        <v>0.5</v>
      </c>
      <c r="S80" s="1">
        <f t="shared" si="49"/>
        <v>0.8660254037844386</v>
      </c>
      <c r="T80" s="1" t="e">
        <f t="shared" si="50"/>
        <v>#N/A</v>
      </c>
      <c r="U80" s="1" t="e">
        <f t="shared" si="51"/>
        <v>#N/A</v>
      </c>
      <c r="V80" s="1" t="e">
        <f t="shared" si="52"/>
        <v>#N/A</v>
      </c>
      <c r="W80" s="1" t="e">
        <f t="shared" si="53"/>
        <v>#N/A</v>
      </c>
      <c r="X80" s="1" t="e">
        <f t="shared" si="54"/>
        <v>#N/A</v>
      </c>
      <c r="Y80" s="1" t="e">
        <f t="shared" si="55"/>
        <v>#N/A</v>
      </c>
      <c r="Z80" s="1">
        <v>0.5</v>
      </c>
      <c r="AA80" s="1">
        <f t="shared" si="56"/>
        <v>0.8660254037844386</v>
      </c>
      <c r="AB80" s="1" t="e">
        <f t="shared" si="57"/>
        <v>#N/A</v>
      </c>
      <c r="AC80" s="1" t="e">
        <f t="shared" si="58"/>
        <v>#N/A</v>
      </c>
      <c r="AD80" s="1" t="e">
        <f t="shared" si="59"/>
        <v>#N/A</v>
      </c>
      <c r="AE80" s="1" t="e">
        <f t="shared" si="60"/>
        <v>#N/A</v>
      </c>
      <c r="AF80" s="1" t="e">
        <f t="shared" si="61"/>
        <v>#N/A</v>
      </c>
      <c r="AG80" s="1" t="e">
        <f t="shared" si="62"/>
        <v>#N/A</v>
      </c>
      <c r="AH80" s="1">
        <v>0.5</v>
      </c>
      <c r="AI80" s="1">
        <f t="shared" si="63"/>
        <v>0.8660254037844386</v>
      </c>
      <c r="AJ80" s="1" t="e">
        <f t="shared" si="64"/>
        <v>#N/A</v>
      </c>
      <c r="AK80" s="1" t="e">
        <f t="shared" si="65"/>
        <v>#N/A</v>
      </c>
      <c r="AL80" s="1" t="e">
        <f t="shared" si="66"/>
        <v>#N/A</v>
      </c>
      <c r="AM80" s="1" t="e">
        <f t="shared" si="67"/>
        <v>#N/A</v>
      </c>
      <c r="AN80" s="1" t="e">
        <f t="shared" si="68"/>
        <v>#N/A</v>
      </c>
      <c r="AO80" s="1" t="e">
        <f t="shared" si="69"/>
        <v>#N/A</v>
      </c>
    </row>
    <row r="81" spans="1:41">
      <c r="A81" s="11"/>
      <c r="B81" s="15"/>
      <c r="C81" s="15"/>
      <c r="D81" s="15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>
        <v>0.52</v>
      </c>
      <c r="S81" s="1">
        <f t="shared" si="49"/>
        <v>0.85416626016250496</v>
      </c>
      <c r="T81" s="1" t="e">
        <f t="shared" si="50"/>
        <v>#N/A</v>
      </c>
      <c r="U81" s="1" t="e">
        <f t="shared" si="51"/>
        <v>#N/A</v>
      </c>
      <c r="V81" s="1" t="e">
        <f t="shared" si="52"/>
        <v>#N/A</v>
      </c>
      <c r="W81" s="1" t="e">
        <f t="shared" si="53"/>
        <v>#N/A</v>
      </c>
      <c r="X81" s="1" t="e">
        <f t="shared" si="54"/>
        <v>#N/A</v>
      </c>
      <c r="Y81" s="1" t="e">
        <f t="shared" si="55"/>
        <v>#N/A</v>
      </c>
      <c r="Z81" s="1">
        <v>0.52</v>
      </c>
      <c r="AA81" s="1">
        <f t="shared" si="56"/>
        <v>0.85416626016250496</v>
      </c>
      <c r="AB81" s="1" t="e">
        <f t="shared" si="57"/>
        <v>#N/A</v>
      </c>
      <c r="AC81" s="1" t="e">
        <f t="shared" si="58"/>
        <v>#N/A</v>
      </c>
      <c r="AD81" s="1" t="e">
        <f t="shared" si="59"/>
        <v>#N/A</v>
      </c>
      <c r="AE81" s="1" t="e">
        <f t="shared" si="60"/>
        <v>#N/A</v>
      </c>
      <c r="AF81" s="1" t="e">
        <f t="shared" si="61"/>
        <v>#N/A</v>
      </c>
      <c r="AG81" s="1" t="e">
        <f t="shared" si="62"/>
        <v>#N/A</v>
      </c>
      <c r="AH81" s="1">
        <v>0.52</v>
      </c>
      <c r="AI81" s="1">
        <f t="shared" si="63"/>
        <v>0.85416626016250496</v>
      </c>
      <c r="AJ81" s="1" t="e">
        <f t="shared" si="64"/>
        <v>#N/A</v>
      </c>
      <c r="AK81" s="1" t="e">
        <f t="shared" si="65"/>
        <v>#N/A</v>
      </c>
      <c r="AL81" s="1" t="e">
        <f t="shared" si="66"/>
        <v>#N/A</v>
      </c>
      <c r="AM81" s="1" t="e">
        <f t="shared" si="67"/>
        <v>#N/A</v>
      </c>
      <c r="AN81" s="1" t="e">
        <f t="shared" si="68"/>
        <v>#N/A</v>
      </c>
      <c r="AO81" s="1" t="e">
        <f t="shared" si="69"/>
        <v>#N/A</v>
      </c>
    </row>
    <row r="82" spans="1:41">
      <c r="A82" s="11"/>
      <c r="B82" s="15"/>
      <c r="C82" s="15"/>
      <c r="D82" s="15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>
        <v>0.54</v>
      </c>
      <c r="S82" s="1">
        <f t="shared" si="49"/>
        <v>0.84166501650003245</v>
      </c>
      <c r="T82" s="1" t="e">
        <f t="shared" si="50"/>
        <v>#N/A</v>
      </c>
      <c r="U82" s="1" t="e">
        <f t="shared" si="51"/>
        <v>#N/A</v>
      </c>
      <c r="V82" s="1" t="e">
        <f t="shared" si="52"/>
        <v>#N/A</v>
      </c>
      <c r="W82" s="1" t="e">
        <f t="shared" si="53"/>
        <v>#N/A</v>
      </c>
      <c r="X82" s="1" t="e">
        <f t="shared" si="54"/>
        <v>#N/A</v>
      </c>
      <c r="Y82" s="1" t="e">
        <f t="shared" si="55"/>
        <v>#N/A</v>
      </c>
      <c r="Z82" s="1">
        <v>0.54</v>
      </c>
      <c r="AA82" s="1">
        <f t="shared" si="56"/>
        <v>0.84166501650003245</v>
      </c>
      <c r="AB82" s="1" t="e">
        <f t="shared" si="57"/>
        <v>#N/A</v>
      </c>
      <c r="AC82" s="1" t="e">
        <f t="shared" si="58"/>
        <v>#N/A</v>
      </c>
      <c r="AD82" s="1" t="e">
        <f t="shared" si="59"/>
        <v>#N/A</v>
      </c>
      <c r="AE82" s="1" t="e">
        <f t="shared" si="60"/>
        <v>#N/A</v>
      </c>
      <c r="AF82" s="1" t="e">
        <f t="shared" si="61"/>
        <v>#N/A</v>
      </c>
      <c r="AG82" s="1" t="e">
        <f t="shared" si="62"/>
        <v>#N/A</v>
      </c>
      <c r="AH82" s="1">
        <v>0.54</v>
      </c>
      <c r="AI82" s="1">
        <f t="shared" si="63"/>
        <v>0.84166501650003245</v>
      </c>
      <c r="AJ82" s="1" t="e">
        <f t="shared" si="64"/>
        <v>#N/A</v>
      </c>
      <c r="AK82" s="1" t="e">
        <f t="shared" si="65"/>
        <v>#N/A</v>
      </c>
      <c r="AL82" s="1" t="e">
        <f t="shared" si="66"/>
        <v>#N/A</v>
      </c>
      <c r="AM82" s="1" t="e">
        <f t="shared" si="67"/>
        <v>#N/A</v>
      </c>
      <c r="AN82" s="1" t="e">
        <f t="shared" si="68"/>
        <v>#N/A</v>
      </c>
      <c r="AO82" s="1" t="e">
        <f t="shared" si="69"/>
        <v>#N/A</v>
      </c>
    </row>
    <row r="83" spans="1:41">
      <c r="A83" s="11"/>
      <c r="B83" s="15"/>
      <c r="C83" s="15"/>
      <c r="D83" s="15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>
        <v>0.56000000000000005</v>
      </c>
      <c r="S83" s="1">
        <f t="shared" si="49"/>
        <v>0.82849260708831907</v>
      </c>
      <c r="T83" s="1" t="e">
        <f t="shared" si="50"/>
        <v>#N/A</v>
      </c>
      <c r="U83" s="1" t="e">
        <f t="shared" si="51"/>
        <v>#N/A</v>
      </c>
      <c r="V83" s="1" t="e">
        <f t="shared" si="52"/>
        <v>#N/A</v>
      </c>
      <c r="W83" s="1" t="e">
        <f t="shared" si="53"/>
        <v>#N/A</v>
      </c>
      <c r="X83" s="1" t="e">
        <f t="shared" si="54"/>
        <v>#N/A</v>
      </c>
      <c r="Y83" s="1" t="e">
        <f t="shared" si="55"/>
        <v>#N/A</v>
      </c>
      <c r="Z83" s="1">
        <v>0.56000000000000005</v>
      </c>
      <c r="AA83" s="1">
        <f t="shared" si="56"/>
        <v>0.82849260708831907</v>
      </c>
      <c r="AB83" s="1" t="e">
        <f t="shared" si="57"/>
        <v>#N/A</v>
      </c>
      <c r="AC83" s="1" t="e">
        <f t="shared" si="58"/>
        <v>#N/A</v>
      </c>
      <c r="AD83" s="1" t="e">
        <f t="shared" si="59"/>
        <v>#N/A</v>
      </c>
      <c r="AE83" s="1" t="e">
        <f t="shared" si="60"/>
        <v>#N/A</v>
      </c>
      <c r="AF83" s="1" t="e">
        <f t="shared" si="61"/>
        <v>#N/A</v>
      </c>
      <c r="AG83" s="1" t="e">
        <f t="shared" si="62"/>
        <v>#N/A</v>
      </c>
      <c r="AH83" s="1">
        <v>0.56000000000000005</v>
      </c>
      <c r="AI83" s="1">
        <f t="shared" si="63"/>
        <v>0.82849260708831907</v>
      </c>
      <c r="AJ83" s="1" t="e">
        <f t="shared" si="64"/>
        <v>#N/A</v>
      </c>
      <c r="AK83" s="1" t="e">
        <f t="shared" si="65"/>
        <v>#N/A</v>
      </c>
      <c r="AL83" s="1" t="e">
        <f t="shared" si="66"/>
        <v>#N/A</v>
      </c>
      <c r="AM83" s="1" t="e">
        <f t="shared" si="67"/>
        <v>#N/A</v>
      </c>
      <c r="AN83" s="1" t="e">
        <f t="shared" si="68"/>
        <v>#N/A</v>
      </c>
      <c r="AO83" s="1" t="e">
        <f t="shared" si="69"/>
        <v>#N/A</v>
      </c>
    </row>
    <row r="84" spans="1:41">
      <c r="A84" s="11"/>
      <c r="B84" s="15"/>
      <c r="C84" s="15"/>
      <c r="D84" s="15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0.57999999999999996</v>
      </c>
      <c r="S84" s="1">
        <f t="shared" si="49"/>
        <v>0.81461647417665206</v>
      </c>
      <c r="T84" s="1" t="e">
        <f t="shared" si="50"/>
        <v>#N/A</v>
      </c>
      <c r="U84" s="1" t="e">
        <f t="shared" si="51"/>
        <v>#N/A</v>
      </c>
      <c r="V84" s="1" t="e">
        <f t="shared" si="52"/>
        <v>#N/A</v>
      </c>
      <c r="W84" s="1" t="e">
        <f t="shared" si="53"/>
        <v>#N/A</v>
      </c>
      <c r="X84" s="1" t="e">
        <f t="shared" si="54"/>
        <v>#N/A</v>
      </c>
      <c r="Y84" s="1" t="e">
        <f t="shared" si="55"/>
        <v>#N/A</v>
      </c>
      <c r="Z84" s="1">
        <v>0.57999999999999996</v>
      </c>
      <c r="AA84" s="1">
        <f t="shared" si="56"/>
        <v>0.81461647417665206</v>
      </c>
      <c r="AB84" s="1" t="e">
        <f t="shared" si="57"/>
        <v>#N/A</v>
      </c>
      <c r="AC84" s="1" t="e">
        <f t="shared" si="58"/>
        <v>#N/A</v>
      </c>
      <c r="AD84" s="1" t="e">
        <f t="shared" si="59"/>
        <v>#N/A</v>
      </c>
      <c r="AE84" s="1" t="e">
        <f t="shared" si="60"/>
        <v>#N/A</v>
      </c>
      <c r="AF84" s="1" t="e">
        <f t="shared" si="61"/>
        <v>#N/A</v>
      </c>
      <c r="AG84" s="1" t="e">
        <f t="shared" si="62"/>
        <v>#N/A</v>
      </c>
      <c r="AH84" s="1">
        <v>0.57999999999999996</v>
      </c>
      <c r="AI84" s="1">
        <f t="shared" si="63"/>
        <v>0.81461647417665206</v>
      </c>
      <c r="AJ84" s="1" t="e">
        <f t="shared" si="64"/>
        <v>#N/A</v>
      </c>
      <c r="AK84" s="1" t="e">
        <f t="shared" si="65"/>
        <v>#N/A</v>
      </c>
      <c r="AL84" s="1" t="e">
        <f t="shared" si="66"/>
        <v>#N/A</v>
      </c>
      <c r="AM84" s="1" t="e">
        <f t="shared" si="67"/>
        <v>#N/A</v>
      </c>
      <c r="AN84" s="1" t="e">
        <f t="shared" si="68"/>
        <v>#N/A</v>
      </c>
      <c r="AO84" s="1" t="e">
        <f t="shared" si="69"/>
        <v>#N/A</v>
      </c>
    </row>
    <row r="85" spans="1:41">
      <c r="A85" s="11"/>
      <c r="B85" s="15"/>
      <c r="C85" s="15"/>
      <c r="D85" s="15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>
        <v>0.6</v>
      </c>
      <c r="S85" s="1">
        <f t="shared" si="49"/>
        <v>0.8</v>
      </c>
      <c r="T85" s="1" t="e">
        <f t="shared" si="50"/>
        <v>#N/A</v>
      </c>
      <c r="U85" s="1" t="e">
        <f t="shared" si="51"/>
        <v>#N/A</v>
      </c>
      <c r="V85" s="1" t="e">
        <f t="shared" si="52"/>
        <v>#N/A</v>
      </c>
      <c r="W85" s="1" t="e">
        <f t="shared" si="53"/>
        <v>#N/A</v>
      </c>
      <c r="X85" s="1" t="e">
        <f t="shared" si="54"/>
        <v>#N/A</v>
      </c>
      <c r="Y85" s="1" t="e">
        <f t="shared" si="55"/>
        <v>#N/A</v>
      </c>
      <c r="Z85" s="1">
        <v>0.6</v>
      </c>
      <c r="AA85" s="1">
        <f t="shared" si="56"/>
        <v>0.8</v>
      </c>
      <c r="AB85" s="1" t="e">
        <f t="shared" si="57"/>
        <v>#N/A</v>
      </c>
      <c r="AC85" s="1" t="e">
        <f t="shared" si="58"/>
        <v>#N/A</v>
      </c>
      <c r="AD85" s="1" t="e">
        <f t="shared" si="59"/>
        <v>#N/A</v>
      </c>
      <c r="AE85" s="1" t="e">
        <f t="shared" si="60"/>
        <v>#N/A</v>
      </c>
      <c r="AF85" s="1" t="e">
        <f t="shared" si="61"/>
        <v>#N/A</v>
      </c>
      <c r="AG85" s="1" t="e">
        <f t="shared" si="62"/>
        <v>#N/A</v>
      </c>
      <c r="AH85" s="1">
        <v>0.6</v>
      </c>
      <c r="AI85" s="1">
        <f t="shared" si="63"/>
        <v>0.8</v>
      </c>
      <c r="AJ85" s="1" t="e">
        <f t="shared" si="64"/>
        <v>#N/A</v>
      </c>
      <c r="AK85" s="1" t="e">
        <f t="shared" si="65"/>
        <v>#N/A</v>
      </c>
      <c r="AL85" s="1" t="e">
        <f t="shared" si="66"/>
        <v>#N/A</v>
      </c>
      <c r="AM85" s="1" t="e">
        <f t="shared" si="67"/>
        <v>#N/A</v>
      </c>
      <c r="AN85" s="1" t="e">
        <f t="shared" si="68"/>
        <v>#N/A</v>
      </c>
      <c r="AO85" s="1" t="e">
        <f t="shared" si="69"/>
        <v>#N/A</v>
      </c>
    </row>
    <row r="86" spans="1:41">
      <c r="A86" s="11"/>
      <c r="B86" s="15"/>
      <c r="C86" s="15"/>
      <c r="D86" s="15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>
        <v>0.62</v>
      </c>
      <c r="S86" s="1">
        <f t="shared" si="49"/>
        <v>0.7846018098373212</v>
      </c>
      <c r="T86" s="1" t="e">
        <f t="shared" si="50"/>
        <v>#N/A</v>
      </c>
      <c r="U86" s="1" t="e">
        <f t="shared" si="51"/>
        <v>#N/A</v>
      </c>
      <c r="V86" s="1" t="e">
        <f t="shared" si="52"/>
        <v>#N/A</v>
      </c>
      <c r="W86" s="1" t="e">
        <f t="shared" si="53"/>
        <v>#N/A</v>
      </c>
      <c r="X86" s="1" t="e">
        <f t="shared" si="54"/>
        <v>#N/A</v>
      </c>
      <c r="Y86" s="1" t="e">
        <f t="shared" si="55"/>
        <v>#N/A</v>
      </c>
      <c r="Z86" s="1">
        <v>0.62</v>
      </c>
      <c r="AA86" s="1">
        <f t="shared" si="56"/>
        <v>0.7846018098373212</v>
      </c>
      <c r="AB86" s="1" t="e">
        <f t="shared" si="57"/>
        <v>#N/A</v>
      </c>
      <c r="AC86" s="1" t="e">
        <f t="shared" si="58"/>
        <v>#N/A</v>
      </c>
      <c r="AD86" s="1" t="e">
        <f t="shared" si="59"/>
        <v>#N/A</v>
      </c>
      <c r="AE86" s="1" t="e">
        <f t="shared" si="60"/>
        <v>#N/A</v>
      </c>
      <c r="AF86" s="1" t="e">
        <f t="shared" si="61"/>
        <v>#N/A</v>
      </c>
      <c r="AG86" s="1" t="e">
        <f t="shared" si="62"/>
        <v>#N/A</v>
      </c>
      <c r="AH86" s="1">
        <v>0.62</v>
      </c>
      <c r="AI86" s="1">
        <f t="shared" si="63"/>
        <v>0.7846018098373212</v>
      </c>
      <c r="AJ86" s="1" t="e">
        <f t="shared" si="64"/>
        <v>#N/A</v>
      </c>
      <c r="AK86" s="1" t="e">
        <f t="shared" si="65"/>
        <v>#N/A</v>
      </c>
      <c r="AL86" s="1" t="e">
        <f t="shared" si="66"/>
        <v>#N/A</v>
      </c>
      <c r="AM86" s="1" t="e">
        <f t="shared" si="67"/>
        <v>#N/A</v>
      </c>
      <c r="AN86" s="1" t="e">
        <f t="shared" si="68"/>
        <v>#N/A</v>
      </c>
      <c r="AO86" s="1" t="e">
        <f t="shared" si="69"/>
        <v>#N/A</v>
      </c>
    </row>
    <row r="87" spans="1:41">
      <c r="A87" s="11"/>
      <c r="B87" s="15"/>
      <c r="C87" s="15"/>
      <c r="D87" s="15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>
        <v>0.64</v>
      </c>
      <c r="S87" s="1">
        <f t="shared" si="49"/>
        <v>0.7683749084919419</v>
      </c>
      <c r="T87" s="1" t="e">
        <f t="shared" si="50"/>
        <v>#N/A</v>
      </c>
      <c r="U87" s="1" t="e">
        <f t="shared" si="51"/>
        <v>#N/A</v>
      </c>
      <c r="V87" s="1" t="e">
        <f t="shared" si="52"/>
        <v>#N/A</v>
      </c>
      <c r="W87" s="1" t="e">
        <f t="shared" si="53"/>
        <v>#N/A</v>
      </c>
      <c r="X87" s="1" t="e">
        <f t="shared" si="54"/>
        <v>#N/A</v>
      </c>
      <c r="Y87" s="1" t="e">
        <f t="shared" si="55"/>
        <v>#N/A</v>
      </c>
      <c r="Z87" s="1">
        <v>0.64</v>
      </c>
      <c r="AA87" s="1">
        <f t="shared" si="56"/>
        <v>0.7683749084919419</v>
      </c>
      <c r="AB87" s="1" t="e">
        <f t="shared" si="57"/>
        <v>#N/A</v>
      </c>
      <c r="AC87" s="1" t="e">
        <f t="shared" si="58"/>
        <v>#N/A</v>
      </c>
      <c r="AD87" s="1" t="e">
        <f t="shared" si="59"/>
        <v>#N/A</v>
      </c>
      <c r="AE87" s="1" t="e">
        <f t="shared" si="60"/>
        <v>#N/A</v>
      </c>
      <c r="AF87" s="1" t="e">
        <f t="shared" si="61"/>
        <v>#N/A</v>
      </c>
      <c r="AG87" s="1" t="e">
        <f t="shared" si="62"/>
        <v>#N/A</v>
      </c>
      <c r="AH87" s="1">
        <v>0.64</v>
      </c>
      <c r="AI87" s="1">
        <f t="shared" si="63"/>
        <v>0.7683749084919419</v>
      </c>
      <c r="AJ87" s="1" t="e">
        <f t="shared" si="64"/>
        <v>#N/A</v>
      </c>
      <c r="AK87" s="1" t="e">
        <f t="shared" si="65"/>
        <v>#N/A</v>
      </c>
      <c r="AL87" s="1" t="e">
        <f t="shared" si="66"/>
        <v>#N/A</v>
      </c>
      <c r="AM87" s="1" t="e">
        <f t="shared" si="67"/>
        <v>#N/A</v>
      </c>
      <c r="AN87" s="1" t="e">
        <f t="shared" si="68"/>
        <v>#N/A</v>
      </c>
      <c r="AO87" s="1" t="e">
        <f t="shared" si="69"/>
        <v>#N/A</v>
      </c>
    </row>
    <row r="88" spans="1:41">
      <c r="A88" s="11"/>
      <c r="B88" s="15"/>
      <c r="C88" s="15"/>
      <c r="D88" s="15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>
        <v>0.66</v>
      </c>
      <c r="S88" s="1">
        <f t="shared" si="49"/>
        <v>0.751265598839718</v>
      </c>
      <c r="T88" s="1" t="e">
        <f t="shared" si="50"/>
        <v>#N/A</v>
      </c>
      <c r="U88" s="1" t="e">
        <f t="shared" si="51"/>
        <v>#N/A</v>
      </c>
      <c r="V88" s="1" t="e">
        <f t="shared" si="52"/>
        <v>#N/A</v>
      </c>
      <c r="W88" s="1" t="e">
        <f t="shared" si="53"/>
        <v>#N/A</v>
      </c>
      <c r="X88" s="1" t="e">
        <f t="shared" si="54"/>
        <v>#N/A</v>
      </c>
      <c r="Y88" s="1" t="e">
        <f t="shared" si="55"/>
        <v>#N/A</v>
      </c>
      <c r="Z88" s="1">
        <v>0.66</v>
      </c>
      <c r="AA88" s="1">
        <f t="shared" si="56"/>
        <v>0.751265598839718</v>
      </c>
      <c r="AB88" s="1" t="e">
        <f t="shared" si="57"/>
        <v>#N/A</v>
      </c>
      <c r="AC88" s="1" t="e">
        <f t="shared" si="58"/>
        <v>#N/A</v>
      </c>
      <c r="AD88" s="1" t="e">
        <f t="shared" si="59"/>
        <v>#N/A</v>
      </c>
      <c r="AE88" s="1" t="e">
        <f t="shared" si="60"/>
        <v>#N/A</v>
      </c>
      <c r="AF88" s="1" t="e">
        <f t="shared" si="61"/>
        <v>#N/A</v>
      </c>
      <c r="AG88" s="1" t="e">
        <f t="shared" si="62"/>
        <v>#N/A</v>
      </c>
      <c r="AH88" s="1">
        <v>0.66</v>
      </c>
      <c r="AI88" s="1">
        <f t="shared" si="63"/>
        <v>0.751265598839718</v>
      </c>
      <c r="AJ88" s="1" t="e">
        <f t="shared" si="64"/>
        <v>#N/A</v>
      </c>
      <c r="AK88" s="1" t="e">
        <f t="shared" si="65"/>
        <v>#N/A</v>
      </c>
      <c r="AL88" s="1" t="e">
        <f t="shared" si="66"/>
        <v>#N/A</v>
      </c>
      <c r="AM88" s="1" t="e">
        <f t="shared" si="67"/>
        <v>#N/A</v>
      </c>
      <c r="AN88" s="1" t="e">
        <f t="shared" si="68"/>
        <v>#N/A</v>
      </c>
      <c r="AO88" s="1" t="e">
        <f t="shared" si="69"/>
        <v>#N/A</v>
      </c>
    </row>
    <row r="89" spans="1:41">
      <c r="A89" s="11"/>
      <c r="B89" s="15"/>
      <c r="C89" s="15"/>
      <c r="D89" s="15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>
        <v>0.68</v>
      </c>
      <c r="S89" s="1">
        <f t="shared" si="49"/>
        <v>0.73321211119293428</v>
      </c>
      <c r="T89" s="1" t="e">
        <f t="shared" si="50"/>
        <v>#N/A</v>
      </c>
      <c r="U89" s="1" t="e">
        <f t="shared" si="51"/>
        <v>#N/A</v>
      </c>
      <c r="V89" s="1" t="e">
        <f t="shared" si="52"/>
        <v>#N/A</v>
      </c>
      <c r="W89" s="1" t="e">
        <f t="shared" si="53"/>
        <v>#N/A</v>
      </c>
      <c r="X89" s="1" t="e">
        <f t="shared" si="54"/>
        <v>#N/A</v>
      </c>
      <c r="Y89" s="1" t="e">
        <f t="shared" si="55"/>
        <v>#N/A</v>
      </c>
      <c r="Z89" s="1">
        <v>0.68</v>
      </c>
      <c r="AA89" s="1">
        <f t="shared" si="56"/>
        <v>0.73321211119293428</v>
      </c>
      <c r="AB89" s="1" t="e">
        <f t="shared" si="57"/>
        <v>#N/A</v>
      </c>
      <c r="AC89" s="1" t="e">
        <f t="shared" si="58"/>
        <v>#N/A</v>
      </c>
      <c r="AD89" s="1" t="e">
        <f t="shared" si="59"/>
        <v>#N/A</v>
      </c>
      <c r="AE89" s="1" t="e">
        <f t="shared" si="60"/>
        <v>#N/A</v>
      </c>
      <c r="AF89" s="1" t="e">
        <f t="shared" si="61"/>
        <v>#N/A</v>
      </c>
      <c r="AG89" s="1" t="e">
        <f t="shared" si="62"/>
        <v>#N/A</v>
      </c>
      <c r="AH89" s="1">
        <v>0.68</v>
      </c>
      <c r="AI89" s="1">
        <f t="shared" si="63"/>
        <v>0.73321211119293428</v>
      </c>
      <c r="AJ89" s="1" t="e">
        <f t="shared" si="64"/>
        <v>#N/A</v>
      </c>
      <c r="AK89" s="1" t="e">
        <f t="shared" si="65"/>
        <v>#N/A</v>
      </c>
      <c r="AL89" s="1" t="e">
        <f t="shared" si="66"/>
        <v>#N/A</v>
      </c>
      <c r="AM89" s="1" t="e">
        <f t="shared" si="67"/>
        <v>#N/A</v>
      </c>
      <c r="AN89" s="1" t="e">
        <f t="shared" si="68"/>
        <v>#N/A</v>
      </c>
      <c r="AO89" s="1" t="e">
        <f t="shared" si="69"/>
        <v>#N/A</v>
      </c>
    </row>
    <row r="90" spans="1:41">
      <c r="A90" s="11"/>
      <c r="B90" s="15"/>
      <c r="C90" s="15"/>
      <c r="D90" s="15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>
        <v>0.7</v>
      </c>
      <c r="S90" s="1">
        <f t="shared" si="49"/>
        <v>0.71414284285428498</v>
      </c>
      <c r="T90" s="1" t="e">
        <f t="shared" si="50"/>
        <v>#N/A</v>
      </c>
      <c r="U90" s="1" t="e">
        <f t="shared" si="51"/>
        <v>#N/A</v>
      </c>
      <c r="V90" s="1" t="e">
        <f t="shared" si="52"/>
        <v>#N/A</v>
      </c>
      <c r="W90" s="1" t="e">
        <f t="shared" si="53"/>
        <v>#N/A</v>
      </c>
      <c r="X90" s="1" t="e">
        <f t="shared" si="54"/>
        <v>#N/A</v>
      </c>
      <c r="Y90" s="1" t="e">
        <f t="shared" si="55"/>
        <v>#N/A</v>
      </c>
      <c r="Z90" s="1">
        <v>0.7</v>
      </c>
      <c r="AA90" s="1">
        <f t="shared" si="56"/>
        <v>0.71414284285428498</v>
      </c>
      <c r="AB90" s="1" t="e">
        <f t="shared" si="57"/>
        <v>#N/A</v>
      </c>
      <c r="AC90" s="1" t="e">
        <f t="shared" si="58"/>
        <v>#N/A</v>
      </c>
      <c r="AD90" s="1" t="e">
        <f t="shared" si="59"/>
        <v>#N/A</v>
      </c>
      <c r="AE90" s="1" t="e">
        <f t="shared" si="60"/>
        <v>#N/A</v>
      </c>
      <c r="AF90" s="1" t="e">
        <f t="shared" si="61"/>
        <v>#N/A</v>
      </c>
      <c r="AG90" s="1" t="e">
        <f t="shared" si="62"/>
        <v>#N/A</v>
      </c>
      <c r="AH90" s="1">
        <v>0.7</v>
      </c>
      <c r="AI90" s="1">
        <f t="shared" si="63"/>
        <v>0.71414284285428498</v>
      </c>
      <c r="AJ90" s="1" t="e">
        <f t="shared" si="64"/>
        <v>#N/A</v>
      </c>
      <c r="AK90" s="1" t="e">
        <f t="shared" si="65"/>
        <v>#N/A</v>
      </c>
      <c r="AL90" s="1" t="e">
        <f t="shared" si="66"/>
        <v>#N/A</v>
      </c>
      <c r="AM90" s="1" t="e">
        <f t="shared" si="67"/>
        <v>#N/A</v>
      </c>
      <c r="AN90" s="1" t="e">
        <f t="shared" si="68"/>
        <v>#N/A</v>
      </c>
      <c r="AO90" s="1" t="e">
        <f t="shared" si="69"/>
        <v>#N/A</v>
      </c>
    </row>
    <row r="91" spans="1:41">
      <c r="A91" s="11"/>
      <c r="B91" s="15"/>
      <c r="C91" s="15"/>
      <c r="D91" s="15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>
        <v>0.72</v>
      </c>
      <c r="S91" s="1">
        <f t="shared" si="49"/>
        <v>0.69397406291589891</v>
      </c>
      <c r="T91" s="1" t="e">
        <f t="shared" si="50"/>
        <v>#N/A</v>
      </c>
      <c r="U91" s="1" t="e">
        <f t="shared" si="51"/>
        <v>#N/A</v>
      </c>
      <c r="V91" s="1" t="e">
        <f t="shared" si="52"/>
        <v>#N/A</v>
      </c>
      <c r="W91" s="1" t="e">
        <f t="shared" si="53"/>
        <v>#N/A</v>
      </c>
      <c r="X91" s="1" t="e">
        <f t="shared" si="54"/>
        <v>#N/A</v>
      </c>
      <c r="Y91" s="1" t="e">
        <f t="shared" si="55"/>
        <v>#N/A</v>
      </c>
      <c r="Z91" s="1">
        <v>0.72</v>
      </c>
      <c r="AA91" s="1">
        <f t="shared" si="56"/>
        <v>0.69397406291589891</v>
      </c>
      <c r="AB91" s="1" t="e">
        <f t="shared" si="57"/>
        <v>#N/A</v>
      </c>
      <c r="AC91" s="1" t="e">
        <f t="shared" si="58"/>
        <v>#N/A</v>
      </c>
      <c r="AD91" s="1" t="e">
        <f t="shared" si="59"/>
        <v>#N/A</v>
      </c>
      <c r="AE91" s="1" t="e">
        <f t="shared" si="60"/>
        <v>#N/A</v>
      </c>
      <c r="AF91" s="1" t="e">
        <f t="shared" si="61"/>
        <v>#N/A</v>
      </c>
      <c r="AG91" s="1" t="e">
        <f t="shared" si="62"/>
        <v>#N/A</v>
      </c>
      <c r="AH91" s="1">
        <v>0.72</v>
      </c>
      <c r="AI91" s="1">
        <f t="shared" si="63"/>
        <v>0.69397406291589891</v>
      </c>
      <c r="AJ91" s="1" t="e">
        <f t="shared" si="64"/>
        <v>#N/A</v>
      </c>
      <c r="AK91" s="1" t="e">
        <f t="shared" si="65"/>
        <v>#N/A</v>
      </c>
      <c r="AL91" s="1" t="e">
        <f t="shared" si="66"/>
        <v>#N/A</v>
      </c>
      <c r="AM91" s="1" t="e">
        <f t="shared" si="67"/>
        <v>#N/A</v>
      </c>
      <c r="AN91" s="1" t="e">
        <f t="shared" si="68"/>
        <v>#N/A</v>
      </c>
      <c r="AO91" s="1" t="e">
        <f t="shared" si="69"/>
        <v>#N/A</v>
      </c>
    </row>
    <row r="92" spans="1:41">
      <c r="A92" s="11"/>
      <c r="B92" s="15"/>
      <c r="C92" s="15"/>
      <c r="D92" s="15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>
        <v>0.74</v>
      </c>
      <c r="S92" s="1">
        <f t="shared" si="49"/>
        <v>0.67260686883200949</v>
      </c>
      <c r="T92" s="1" t="e">
        <f t="shared" si="50"/>
        <v>#N/A</v>
      </c>
      <c r="U92" s="1" t="e">
        <f t="shared" si="51"/>
        <v>#N/A</v>
      </c>
      <c r="V92" s="1" t="e">
        <f t="shared" si="52"/>
        <v>#N/A</v>
      </c>
      <c r="W92" s="1" t="e">
        <f t="shared" si="53"/>
        <v>#N/A</v>
      </c>
      <c r="X92" s="1" t="e">
        <f t="shared" si="54"/>
        <v>#N/A</v>
      </c>
      <c r="Y92" s="1" t="e">
        <f t="shared" si="55"/>
        <v>#N/A</v>
      </c>
      <c r="Z92" s="1">
        <v>0.74</v>
      </c>
      <c r="AA92" s="1">
        <f t="shared" si="56"/>
        <v>0.67260686883200949</v>
      </c>
      <c r="AB92" s="1" t="e">
        <f t="shared" si="57"/>
        <v>#N/A</v>
      </c>
      <c r="AC92" s="1" t="e">
        <f t="shared" si="58"/>
        <v>#N/A</v>
      </c>
      <c r="AD92" s="1" t="e">
        <f t="shared" si="59"/>
        <v>#N/A</v>
      </c>
      <c r="AE92" s="1" t="e">
        <f t="shared" si="60"/>
        <v>#N/A</v>
      </c>
      <c r="AF92" s="1" t="e">
        <f t="shared" si="61"/>
        <v>#N/A</v>
      </c>
      <c r="AG92" s="1" t="e">
        <f t="shared" si="62"/>
        <v>#N/A</v>
      </c>
      <c r="AH92" s="1">
        <v>0.74</v>
      </c>
      <c r="AI92" s="1">
        <f t="shared" si="63"/>
        <v>0.67260686883200949</v>
      </c>
      <c r="AJ92" s="1" t="e">
        <f t="shared" si="64"/>
        <v>#N/A</v>
      </c>
      <c r="AK92" s="1" t="e">
        <f t="shared" si="65"/>
        <v>#N/A</v>
      </c>
      <c r="AL92" s="1" t="e">
        <f t="shared" si="66"/>
        <v>#N/A</v>
      </c>
      <c r="AM92" s="1" t="e">
        <f t="shared" si="67"/>
        <v>#N/A</v>
      </c>
      <c r="AN92" s="1" t="e">
        <f t="shared" si="68"/>
        <v>#N/A</v>
      </c>
      <c r="AO92" s="1" t="e">
        <f t="shared" si="69"/>
        <v>#N/A</v>
      </c>
    </row>
    <row r="93" spans="1:41">
      <c r="A93" s="11"/>
      <c r="B93" s="15"/>
      <c r="C93" s="15"/>
      <c r="D93" s="15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>
        <v>0.76</v>
      </c>
      <c r="S93" s="1">
        <f t="shared" si="49"/>
        <v>0.64992307237087688</v>
      </c>
      <c r="T93" s="1" t="e">
        <f t="shared" si="50"/>
        <v>#N/A</v>
      </c>
      <c r="U93" s="1" t="e">
        <f t="shared" si="51"/>
        <v>#N/A</v>
      </c>
      <c r="V93" s="1" t="e">
        <f t="shared" si="52"/>
        <v>#N/A</v>
      </c>
      <c r="W93" s="1" t="e">
        <f t="shared" si="53"/>
        <v>#N/A</v>
      </c>
      <c r="X93" s="1" t="e">
        <f t="shared" si="54"/>
        <v>#N/A</v>
      </c>
      <c r="Y93" s="1" t="e">
        <f t="shared" si="55"/>
        <v>#N/A</v>
      </c>
      <c r="Z93" s="1">
        <v>0.76</v>
      </c>
      <c r="AA93" s="1">
        <f t="shared" si="56"/>
        <v>0.64992307237087688</v>
      </c>
      <c r="AB93" s="1" t="e">
        <f t="shared" si="57"/>
        <v>#N/A</v>
      </c>
      <c r="AC93" s="1" t="e">
        <f t="shared" si="58"/>
        <v>#N/A</v>
      </c>
      <c r="AD93" s="1" t="e">
        <f t="shared" si="59"/>
        <v>#N/A</v>
      </c>
      <c r="AE93" s="1" t="e">
        <f t="shared" si="60"/>
        <v>#N/A</v>
      </c>
      <c r="AF93" s="1" t="e">
        <f t="shared" si="61"/>
        <v>#N/A</v>
      </c>
      <c r="AG93" s="1" t="e">
        <f t="shared" si="62"/>
        <v>#N/A</v>
      </c>
      <c r="AH93" s="1">
        <v>0.76</v>
      </c>
      <c r="AI93" s="1">
        <f t="shared" si="63"/>
        <v>0.64992307237087688</v>
      </c>
      <c r="AJ93" s="1" t="e">
        <f t="shared" si="64"/>
        <v>#N/A</v>
      </c>
      <c r="AK93" s="1" t="e">
        <f t="shared" si="65"/>
        <v>#N/A</v>
      </c>
      <c r="AL93" s="1" t="e">
        <f t="shared" si="66"/>
        <v>#N/A</v>
      </c>
      <c r="AM93" s="1" t="e">
        <f t="shared" si="67"/>
        <v>#N/A</v>
      </c>
      <c r="AN93" s="1" t="e">
        <f t="shared" si="68"/>
        <v>#N/A</v>
      </c>
      <c r="AO93" s="1" t="e">
        <f t="shared" si="69"/>
        <v>#N/A</v>
      </c>
    </row>
    <row r="94" spans="1:41">
      <c r="A94" s="11"/>
      <c r="B94" s="15"/>
      <c r="C94" s="15"/>
      <c r="D94" s="15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>
        <v>0.78</v>
      </c>
      <c r="S94" s="1">
        <f t="shared" si="49"/>
        <v>0.62577951388648057</v>
      </c>
      <c r="T94" s="1" t="e">
        <f t="shared" si="50"/>
        <v>#N/A</v>
      </c>
      <c r="U94" s="1" t="e">
        <f t="shared" si="51"/>
        <v>#N/A</v>
      </c>
      <c r="V94" s="1" t="e">
        <f t="shared" si="52"/>
        <v>#N/A</v>
      </c>
      <c r="W94" s="1" t="e">
        <f t="shared" si="53"/>
        <v>#N/A</v>
      </c>
      <c r="X94" s="1" t="e">
        <f t="shared" si="54"/>
        <v>#N/A</v>
      </c>
      <c r="Y94" s="1" t="e">
        <f t="shared" si="55"/>
        <v>#N/A</v>
      </c>
      <c r="Z94" s="1">
        <v>0.78</v>
      </c>
      <c r="AA94" s="1">
        <f t="shared" si="56"/>
        <v>0.62577951388648057</v>
      </c>
      <c r="AB94" s="1" t="e">
        <f t="shared" si="57"/>
        <v>#N/A</v>
      </c>
      <c r="AC94" s="1" t="e">
        <f t="shared" si="58"/>
        <v>#N/A</v>
      </c>
      <c r="AD94" s="1" t="e">
        <f t="shared" si="59"/>
        <v>#N/A</v>
      </c>
      <c r="AE94" s="1" t="e">
        <f t="shared" si="60"/>
        <v>#N/A</v>
      </c>
      <c r="AF94" s="1" t="e">
        <f t="shared" si="61"/>
        <v>#N/A</v>
      </c>
      <c r="AG94" s="1" t="e">
        <f t="shared" si="62"/>
        <v>#N/A</v>
      </c>
      <c r="AH94" s="1">
        <v>0.78</v>
      </c>
      <c r="AI94" s="1">
        <f t="shared" si="63"/>
        <v>0.62577951388648057</v>
      </c>
      <c r="AJ94" s="1" t="e">
        <f t="shared" si="64"/>
        <v>#N/A</v>
      </c>
      <c r="AK94" s="1" t="e">
        <f t="shared" si="65"/>
        <v>#N/A</v>
      </c>
      <c r="AL94" s="1" t="e">
        <f t="shared" si="66"/>
        <v>#N/A</v>
      </c>
      <c r="AM94" s="1" t="e">
        <f t="shared" si="67"/>
        <v>#N/A</v>
      </c>
      <c r="AN94" s="1" t="e">
        <f t="shared" si="68"/>
        <v>#N/A</v>
      </c>
      <c r="AO94" s="1" t="e">
        <f t="shared" si="69"/>
        <v>#N/A</v>
      </c>
    </row>
    <row r="95" spans="1:41">
      <c r="A95" s="11"/>
      <c r="B95" s="15"/>
      <c r="C95" s="15"/>
      <c r="D95" s="15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>
        <v>0.8</v>
      </c>
      <c r="S95" s="1">
        <f t="shared" si="49"/>
        <v>0.59999999999999987</v>
      </c>
      <c r="T95" s="1" t="e">
        <f t="shared" si="50"/>
        <v>#N/A</v>
      </c>
      <c r="U95" s="1" t="e">
        <f t="shared" si="51"/>
        <v>#N/A</v>
      </c>
      <c r="V95" s="1" t="e">
        <f t="shared" si="52"/>
        <v>#N/A</v>
      </c>
      <c r="W95" s="1" t="e">
        <f t="shared" si="53"/>
        <v>#N/A</v>
      </c>
      <c r="X95" s="1" t="e">
        <f t="shared" si="54"/>
        <v>#N/A</v>
      </c>
      <c r="Y95" s="1" t="e">
        <f t="shared" si="55"/>
        <v>#N/A</v>
      </c>
      <c r="Z95" s="1">
        <v>0.8</v>
      </c>
      <c r="AA95" s="1">
        <f t="shared" si="56"/>
        <v>0.59999999999999987</v>
      </c>
      <c r="AB95" s="1" t="e">
        <f t="shared" si="57"/>
        <v>#N/A</v>
      </c>
      <c r="AC95" s="1" t="e">
        <f t="shared" si="58"/>
        <v>#N/A</v>
      </c>
      <c r="AD95" s="1" t="e">
        <f t="shared" si="59"/>
        <v>#N/A</v>
      </c>
      <c r="AE95" s="1" t="e">
        <f t="shared" si="60"/>
        <v>#N/A</v>
      </c>
      <c r="AF95" s="1" t="e">
        <f t="shared" si="61"/>
        <v>#N/A</v>
      </c>
      <c r="AG95" s="1" t="e">
        <f t="shared" si="62"/>
        <v>#N/A</v>
      </c>
      <c r="AH95" s="1">
        <v>0.8</v>
      </c>
      <c r="AI95" s="1">
        <f t="shared" si="63"/>
        <v>0.59999999999999987</v>
      </c>
      <c r="AJ95" s="1" t="e">
        <f t="shared" si="64"/>
        <v>#N/A</v>
      </c>
      <c r="AK95" s="1" t="e">
        <f t="shared" si="65"/>
        <v>#N/A</v>
      </c>
      <c r="AL95" s="1" t="e">
        <f t="shared" si="66"/>
        <v>#N/A</v>
      </c>
      <c r="AM95" s="1" t="e">
        <f t="shared" si="67"/>
        <v>#N/A</v>
      </c>
      <c r="AN95" s="1" t="e">
        <f t="shared" si="68"/>
        <v>#N/A</v>
      </c>
      <c r="AO95" s="1" t="e">
        <f t="shared" si="69"/>
        <v>#N/A</v>
      </c>
    </row>
    <row r="96" spans="1:41">
      <c r="A96" s="11"/>
      <c r="B96" s="15"/>
      <c r="C96" s="15"/>
      <c r="D96" s="15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>
        <v>0.82</v>
      </c>
      <c r="S96" s="1">
        <f t="shared" si="49"/>
        <v>0.57236352085016751</v>
      </c>
      <c r="T96" s="1" t="e">
        <f t="shared" si="50"/>
        <v>#N/A</v>
      </c>
      <c r="U96" s="1" t="e">
        <f t="shared" si="51"/>
        <v>#N/A</v>
      </c>
      <c r="V96" s="1" t="e">
        <f t="shared" si="52"/>
        <v>#N/A</v>
      </c>
      <c r="W96" s="1" t="e">
        <f t="shared" si="53"/>
        <v>#N/A</v>
      </c>
      <c r="X96" s="1" t="e">
        <f t="shared" si="54"/>
        <v>#N/A</v>
      </c>
      <c r="Y96" s="1" t="e">
        <f t="shared" si="55"/>
        <v>#N/A</v>
      </c>
      <c r="Z96" s="1">
        <v>0.82</v>
      </c>
      <c r="AA96" s="1">
        <f t="shared" si="56"/>
        <v>0.57236352085016751</v>
      </c>
      <c r="AB96" s="1" t="e">
        <f t="shared" si="57"/>
        <v>#N/A</v>
      </c>
      <c r="AC96" s="1" t="e">
        <f t="shared" si="58"/>
        <v>#N/A</v>
      </c>
      <c r="AD96" s="1" t="e">
        <f t="shared" si="59"/>
        <v>#N/A</v>
      </c>
      <c r="AE96" s="1" t="e">
        <f t="shared" si="60"/>
        <v>#N/A</v>
      </c>
      <c r="AF96" s="1" t="e">
        <f t="shared" si="61"/>
        <v>#N/A</v>
      </c>
      <c r="AG96" s="1" t="e">
        <f t="shared" si="62"/>
        <v>#N/A</v>
      </c>
      <c r="AH96" s="1">
        <v>0.82</v>
      </c>
      <c r="AI96" s="1">
        <f t="shared" si="63"/>
        <v>0.57236352085016751</v>
      </c>
      <c r="AJ96" s="1" t="e">
        <f t="shared" si="64"/>
        <v>#N/A</v>
      </c>
      <c r="AK96" s="1" t="e">
        <f t="shared" si="65"/>
        <v>#N/A</v>
      </c>
      <c r="AL96" s="1" t="e">
        <f t="shared" si="66"/>
        <v>#N/A</v>
      </c>
      <c r="AM96" s="1" t="e">
        <f t="shared" si="67"/>
        <v>#N/A</v>
      </c>
      <c r="AN96" s="1" t="e">
        <f t="shared" si="68"/>
        <v>#N/A</v>
      </c>
      <c r="AO96" s="1" t="e">
        <f t="shared" si="69"/>
        <v>#N/A</v>
      </c>
    </row>
    <row r="97" spans="1:53">
      <c r="A97" s="11"/>
      <c r="B97" s="15"/>
      <c r="C97" s="15"/>
      <c r="D97" s="15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>
        <v>0.84</v>
      </c>
      <c r="S97" s="1">
        <f t="shared" si="49"/>
        <v>0.54258639865002156</v>
      </c>
      <c r="T97" s="1" t="e">
        <f t="shared" si="50"/>
        <v>#N/A</v>
      </c>
      <c r="U97" s="1" t="e">
        <f t="shared" si="51"/>
        <v>#N/A</v>
      </c>
      <c r="V97" s="1" t="e">
        <f t="shared" si="52"/>
        <v>#N/A</v>
      </c>
      <c r="W97" s="1" t="e">
        <f t="shared" si="53"/>
        <v>#N/A</v>
      </c>
      <c r="X97" s="1" t="e">
        <f t="shared" si="54"/>
        <v>#N/A</v>
      </c>
      <c r="Y97" s="1" t="e">
        <f t="shared" si="55"/>
        <v>#N/A</v>
      </c>
      <c r="Z97" s="1">
        <v>0.84</v>
      </c>
      <c r="AA97" s="1">
        <f t="shared" si="56"/>
        <v>0.54258639865002156</v>
      </c>
      <c r="AB97" s="1" t="e">
        <f t="shared" si="57"/>
        <v>#N/A</v>
      </c>
      <c r="AC97" s="1" t="e">
        <f t="shared" si="58"/>
        <v>#N/A</v>
      </c>
      <c r="AD97" s="1" t="e">
        <f t="shared" si="59"/>
        <v>#N/A</v>
      </c>
      <c r="AE97" s="1" t="e">
        <f t="shared" si="60"/>
        <v>#N/A</v>
      </c>
      <c r="AF97" s="1" t="e">
        <f t="shared" si="61"/>
        <v>#N/A</v>
      </c>
      <c r="AG97" s="1" t="e">
        <f t="shared" si="62"/>
        <v>#N/A</v>
      </c>
      <c r="AH97" s="1">
        <v>0.84</v>
      </c>
      <c r="AI97" s="1">
        <f t="shared" si="63"/>
        <v>0.54258639865002156</v>
      </c>
      <c r="AJ97" s="1" t="e">
        <f t="shared" si="64"/>
        <v>#N/A</v>
      </c>
      <c r="AK97" s="1" t="e">
        <f t="shared" si="65"/>
        <v>#N/A</v>
      </c>
      <c r="AL97" s="1" t="e">
        <f t="shared" si="66"/>
        <v>#N/A</v>
      </c>
      <c r="AM97" s="1" t="e">
        <f t="shared" si="67"/>
        <v>#N/A</v>
      </c>
      <c r="AN97" s="1" t="e">
        <f t="shared" si="68"/>
        <v>#N/A</v>
      </c>
      <c r="AO97" s="1" t="e">
        <f t="shared" si="69"/>
        <v>#N/A</v>
      </c>
    </row>
    <row r="98" spans="1:53">
      <c r="A98" s="11"/>
      <c r="B98" s="15"/>
      <c r="C98" s="15"/>
      <c r="D98" s="15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>
        <v>0.86</v>
      </c>
      <c r="S98" s="1">
        <f t="shared" si="49"/>
        <v>0.51029403288692299</v>
      </c>
      <c r="T98" s="1" t="e">
        <f t="shared" si="50"/>
        <v>#N/A</v>
      </c>
      <c r="U98" s="1" t="e">
        <f t="shared" si="51"/>
        <v>#N/A</v>
      </c>
      <c r="V98" s="1" t="e">
        <f t="shared" si="52"/>
        <v>#N/A</v>
      </c>
      <c r="W98" s="1" t="e">
        <f t="shared" si="53"/>
        <v>#N/A</v>
      </c>
      <c r="X98" s="1" t="e">
        <f t="shared" si="54"/>
        <v>#N/A</v>
      </c>
      <c r="Y98" s="1" t="e">
        <f t="shared" si="55"/>
        <v>#N/A</v>
      </c>
      <c r="Z98" s="1">
        <v>0.86</v>
      </c>
      <c r="AA98" s="1">
        <f t="shared" si="56"/>
        <v>0.51029403288692299</v>
      </c>
      <c r="AB98" s="1" t="e">
        <f t="shared" si="57"/>
        <v>#N/A</v>
      </c>
      <c r="AC98" s="1" t="e">
        <f t="shared" si="58"/>
        <v>#N/A</v>
      </c>
      <c r="AD98" s="1" t="e">
        <f t="shared" si="59"/>
        <v>#N/A</v>
      </c>
      <c r="AE98" s="1" t="e">
        <f t="shared" si="60"/>
        <v>#N/A</v>
      </c>
      <c r="AF98" s="1" t="e">
        <f t="shared" si="61"/>
        <v>#N/A</v>
      </c>
      <c r="AG98" s="1" t="e">
        <f t="shared" si="62"/>
        <v>#N/A</v>
      </c>
      <c r="AH98" s="1">
        <v>0.86</v>
      </c>
      <c r="AI98" s="1">
        <f t="shared" si="63"/>
        <v>0.51029403288692299</v>
      </c>
      <c r="AJ98" s="1" t="e">
        <f t="shared" si="64"/>
        <v>#N/A</v>
      </c>
      <c r="AK98" s="1" t="e">
        <f t="shared" si="65"/>
        <v>#N/A</v>
      </c>
      <c r="AL98" s="1" t="e">
        <f t="shared" si="66"/>
        <v>#N/A</v>
      </c>
      <c r="AM98" s="1" t="e">
        <f t="shared" si="67"/>
        <v>#N/A</v>
      </c>
      <c r="AN98" s="1" t="e">
        <f t="shared" si="68"/>
        <v>#N/A</v>
      </c>
      <c r="AO98" s="1" t="e">
        <f t="shared" si="69"/>
        <v>#N/A</v>
      </c>
    </row>
    <row r="99" spans="1:53">
      <c r="A99" s="11"/>
      <c r="B99" s="15"/>
      <c r="C99" s="15"/>
      <c r="D99" s="15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>
        <v>0.88</v>
      </c>
      <c r="S99" s="1">
        <f t="shared" si="49"/>
        <v>0.4749736834815167</v>
      </c>
      <c r="T99" s="1" t="e">
        <f t="shared" si="50"/>
        <v>#N/A</v>
      </c>
      <c r="U99" s="1" t="e">
        <f t="shared" si="51"/>
        <v>#N/A</v>
      </c>
      <c r="V99" s="1" t="e">
        <f t="shared" si="52"/>
        <v>#N/A</v>
      </c>
      <c r="W99" s="1" t="e">
        <f t="shared" si="53"/>
        <v>#N/A</v>
      </c>
      <c r="X99" s="1" t="e">
        <f t="shared" si="54"/>
        <v>#N/A</v>
      </c>
      <c r="Y99" s="1" t="e">
        <f t="shared" si="55"/>
        <v>#N/A</v>
      </c>
      <c r="Z99" s="1">
        <v>0.88</v>
      </c>
      <c r="AA99" s="1">
        <f t="shared" si="56"/>
        <v>0.4749736834815167</v>
      </c>
      <c r="AB99" s="1" t="e">
        <f t="shared" si="57"/>
        <v>#N/A</v>
      </c>
      <c r="AC99" s="1" t="e">
        <f t="shared" si="58"/>
        <v>#N/A</v>
      </c>
      <c r="AD99" s="1" t="e">
        <f t="shared" si="59"/>
        <v>#N/A</v>
      </c>
      <c r="AE99" s="1" t="e">
        <f t="shared" si="60"/>
        <v>#N/A</v>
      </c>
      <c r="AF99" s="1" t="e">
        <f t="shared" si="61"/>
        <v>#N/A</v>
      </c>
      <c r="AG99" s="1" t="e">
        <f t="shared" si="62"/>
        <v>#N/A</v>
      </c>
      <c r="AH99" s="1">
        <v>0.88</v>
      </c>
      <c r="AI99" s="1">
        <f t="shared" si="63"/>
        <v>0.4749736834815167</v>
      </c>
      <c r="AJ99" s="1" t="e">
        <f t="shared" si="64"/>
        <v>#N/A</v>
      </c>
      <c r="AK99" s="1" t="e">
        <f t="shared" si="65"/>
        <v>#N/A</v>
      </c>
      <c r="AL99" s="1" t="e">
        <f t="shared" si="66"/>
        <v>#N/A</v>
      </c>
      <c r="AM99" s="1" t="e">
        <f t="shared" si="67"/>
        <v>#N/A</v>
      </c>
      <c r="AN99" s="1" t="e">
        <f t="shared" si="68"/>
        <v>#N/A</v>
      </c>
      <c r="AO99" s="1" t="e">
        <f t="shared" si="69"/>
        <v>#N/A</v>
      </c>
    </row>
    <row r="100" spans="1:53">
      <c r="A100" s="11"/>
      <c r="B100" s="15"/>
      <c r="C100" s="15"/>
      <c r="D100" s="15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>
        <v>0.9</v>
      </c>
      <c r="S100" s="1">
        <f t="shared" si="49"/>
        <v>0.43588989435406728</v>
      </c>
      <c r="T100" s="1" t="e">
        <f t="shared" si="50"/>
        <v>#N/A</v>
      </c>
      <c r="U100" s="1" t="e">
        <f t="shared" si="51"/>
        <v>#N/A</v>
      </c>
      <c r="V100" s="1" t="e">
        <f t="shared" si="52"/>
        <v>#N/A</v>
      </c>
      <c r="W100" s="1" t="e">
        <f t="shared" si="53"/>
        <v>#N/A</v>
      </c>
      <c r="X100" s="1" t="e">
        <f t="shared" si="54"/>
        <v>#N/A</v>
      </c>
      <c r="Y100" s="1" t="e">
        <f t="shared" si="55"/>
        <v>#N/A</v>
      </c>
      <c r="Z100" s="1">
        <v>0.9</v>
      </c>
      <c r="AA100" s="1">
        <f t="shared" si="56"/>
        <v>0.43588989435406728</v>
      </c>
      <c r="AB100" s="1" t="e">
        <f t="shared" si="57"/>
        <v>#N/A</v>
      </c>
      <c r="AC100" s="1" t="e">
        <f t="shared" si="58"/>
        <v>#N/A</v>
      </c>
      <c r="AD100" s="1" t="e">
        <f t="shared" si="59"/>
        <v>#N/A</v>
      </c>
      <c r="AE100" s="1" t="e">
        <f t="shared" si="60"/>
        <v>#N/A</v>
      </c>
      <c r="AF100" s="1" t="e">
        <f t="shared" si="61"/>
        <v>#N/A</v>
      </c>
      <c r="AG100" s="1" t="e">
        <f t="shared" si="62"/>
        <v>#N/A</v>
      </c>
      <c r="AH100" s="1">
        <v>0.9</v>
      </c>
      <c r="AI100" s="1">
        <f t="shared" si="63"/>
        <v>0.43588989435406728</v>
      </c>
      <c r="AJ100" s="1" t="e">
        <f t="shared" si="64"/>
        <v>#N/A</v>
      </c>
      <c r="AK100" s="1" t="e">
        <f t="shared" si="65"/>
        <v>#N/A</v>
      </c>
      <c r="AL100" s="1" t="e">
        <f t="shared" si="66"/>
        <v>#N/A</v>
      </c>
      <c r="AM100" s="1" t="e">
        <f t="shared" si="67"/>
        <v>#N/A</v>
      </c>
      <c r="AN100" s="1" t="e">
        <f t="shared" si="68"/>
        <v>#N/A</v>
      </c>
      <c r="AO100" s="1" t="e">
        <f t="shared" si="69"/>
        <v>#N/A</v>
      </c>
    </row>
    <row r="101" spans="1:53">
      <c r="A101" s="11"/>
      <c r="B101" s="15"/>
      <c r="C101" s="15"/>
      <c r="D101" s="15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>
        <v>0.92</v>
      </c>
      <c r="S101" s="1">
        <f t="shared" ref="S101:S105" si="70">SQRT(MAX(0,1-R101^2))</f>
        <v>0.39191835884530846</v>
      </c>
      <c r="T101" s="1" t="e">
        <f t="shared" ref="T101:T105" si="71">IF(ISNUMBER($B$16),IF(AND($C$16=1,R101&lt;=-COS(PI()*$B$16)),S101,NA()),NA())</f>
        <v>#N/A</v>
      </c>
      <c r="U101" s="1" t="e">
        <f t="shared" si="51"/>
        <v>#N/A</v>
      </c>
      <c r="V101" s="1" t="e">
        <f t="shared" si="52"/>
        <v>#N/A</v>
      </c>
      <c r="W101" s="1" t="e">
        <f t="shared" si="53"/>
        <v>#N/A</v>
      </c>
      <c r="X101" s="1" t="e">
        <f t="shared" si="54"/>
        <v>#N/A</v>
      </c>
      <c r="Y101" s="1" t="e">
        <f t="shared" si="55"/>
        <v>#N/A</v>
      </c>
      <c r="Z101" s="1">
        <v>0.92</v>
      </c>
      <c r="AA101" s="1">
        <f t="shared" ref="AA101:AA105" si="72">SQRT(MAX(0,1-Z101^2))</f>
        <v>0.39191835884530846</v>
      </c>
      <c r="AB101" s="1" t="e">
        <f t="shared" ref="AB101:AB105" si="73">IF(ISNUMBER($B$17),IF(AND($C$17=1,Z101&lt;=-COS(PI()*$B$17)),AA101,NA()),NA())</f>
        <v>#N/A</v>
      </c>
      <c r="AC101" s="1" t="e">
        <f t="shared" si="58"/>
        <v>#N/A</v>
      </c>
      <c r="AD101" s="1" t="e">
        <f t="shared" si="59"/>
        <v>#N/A</v>
      </c>
      <c r="AE101" s="1" t="e">
        <f t="shared" si="60"/>
        <v>#N/A</v>
      </c>
      <c r="AF101" s="1" t="e">
        <f t="shared" si="61"/>
        <v>#N/A</v>
      </c>
      <c r="AG101" s="1" t="e">
        <f t="shared" si="62"/>
        <v>#N/A</v>
      </c>
      <c r="AH101" s="1">
        <v>0.92</v>
      </c>
      <c r="AI101" s="1">
        <f t="shared" ref="AI101:AI105" si="74">SQRT(MAX(0,1-AH101^2))</f>
        <v>0.39191835884530846</v>
      </c>
      <c r="AJ101" s="1" t="e">
        <f t="shared" ref="AJ101:AJ105" si="75">IF(ISNUMBER($B$18),IF(AND($C$18=1,AH101&lt;=-COS(PI()*$B$18)),AI101,NA()),NA())</f>
        <v>#N/A</v>
      </c>
      <c r="AK101" s="1" t="e">
        <f t="shared" si="65"/>
        <v>#N/A</v>
      </c>
      <c r="AL101" s="1" t="e">
        <f t="shared" si="66"/>
        <v>#N/A</v>
      </c>
      <c r="AM101" s="1" t="e">
        <f t="shared" si="67"/>
        <v>#N/A</v>
      </c>
      <c r="AN101" s="1" t="e">
        <f t="shared" si="68"/>
        <v>#N/A</v>
      </c>
      <c r="AO101" s="1" t="e">
        <f t="shared" si="69"/>
        <v>#N/A</v>
      </c>
    </row>
    <row r="102" spans="1:53">
      <c r="A102" s="11"/>
      <c r="B102" s="15"/>
      <c r="C102" s="15"/>
      <c r="D102" s="15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>
        <v>0.94</v>
      </c>
      <c r="S102" s="1">
        <f t="shared" si="70"/>
        <v>0.34117444218463971</v>
      </c>
      <c r="T102" s="1" t="e">
        <f t="shared" si="71"/>
        <v>#N/A</v>
      </c>
      <c r="U102" s="1" t="e">
        <f t="shared" si="51"/>
        <v>#N/A</v>
      </c>
      <c r="V102" s="1" t="e">
        <f t="shared" si="52"/>
        <v>#N/A</v>
      </c>
      <c r="W102" s="1" t="e">
        <f t="shared" si="53"/>
        <v>#N/A</v>
      </c>
      <c r="X102" s="1" t="e">
        <f t="shared" si="54"/>
        <v>#N/A</v>
      </c>
      <c r="Y102" s="1" t="e">
        <f t="shared" si="55"/>
        <v>#N/A</v>
      </c>
      <c r="Z102" s="1">
        <v>0.94</v>
      </c>
      <c r="AA102" s="1">
        <f t="shared" si="72"/>
        <v>0.34117444218463971</v>
      </c>
      <c r="AB102" s="1" t="e">
        <f t="shared" si="73"/>
        <v>#N/A</v>
      </c>
      <c r="AC102" s="1" t="e">
        <f t="shared" si="58"/>
        <v>#N/A</v>
      </c>
      <c r="AD102" s="1" t="e">
        <f t="shared" si="59"/>
        <v>#N/A</v>
      </c>
      <c r="AE102" s="1" t="e">
        <f t="shared" si="60"/>
        <v>#N/A</v>
      </c>
      <c r="AF102" s="1" t="e">
        <f t="shared" si="61"/>
        <v>#N/A</v>
      </c>
      <c r="AG102" s="1" t="e">
        <f t="shared" si="62"/>
        <v>#N/A</v>
      </c>
      <c r="AH102" s="1">
        <v>0.94</v>
      </c>
      <c r="AI102" s="1">
        <f t="shared" si="74"/>
        <v>0.34117444218463971</v>
      </c>
      <c r="AJ102" s="1" t="e">
        <f t="shared" si="75"/>
        <v>#N/A</v>
      </c>
      <c r="AK102" s="1" t="e">
        <f t="shared" si="65"/>
        <v>#N/A</v>
      </c>
      <c r="AL102" s="1" t="e">
        <f t="shared" si="66"/>
        <v>#N/A</v>
      </c>
      <c r="AM102" s="1" t="e">
        <f t="shared" si="67"/>
        <v>#N/A</v>
      </c>
      <c r="AN102" s="1" t="e">
        <f t="shared" si="68"/>
        <v>#N/A</v>
      </c>
      <c r="AO102" s="1" t="e">
        <f t="shared" si="69"/>
        <v>#N/A</v>
      </c>
    </row>
    <row r="103" spans="1:53">
      <c r="A103" s="11"/>
      <c r="B103" s="15"/>
      <c r="C103" s="15"/>
      <c r="D103" s="15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>
        <v>0.96</v>
      </c>
      <c r="S103" s="1">
        <f t="shared" si="70"/>
        <v>0.28000000000000003</v>
      </c>
      <c r="T103" s="1" t="e">
        <f t="shared" si="71"/>
        <v>#N/A</v>
      </c>
      <c r="U103" s="1" t="e">
        <f t="shared" si="51"/>
        <v>#N/A</v>
      </c>
      <c r="V103" s="1" t="e">
        <f t="shared" si="52"/>
        <v>#N/A</v>
      </c>
      <c r="W103" s="1" t="e">
        <f t="shared" si="53"/>
        <v>#N/A</v>
      </c>
      <c r="X103" s="1" t="e">
        <f t="shared" si="54"/>
        <v>#N/A</v>
      </c>
      <c r="Y103" s="1" t="e">
        <f t="shared" si="55"/>
        <v>#N/A</v>
      </c>
      <c r="Z103" s="1">
        <v>0.96</v>
      </c>
      <c r="AA103" s="1">
        <f t="shared" si="72"/>
        <v>0.28000000000000003</v>
      </c>
      <c r="AB103" s="1" t="e">
        <f t="shared" si="73"/>
        <v>#N/A</v>
      </c>
      <c r="AC103" s="1" t="e">
        <f t="shared" si="58"/>
        <v>#N/A</v>
      </c>
      <c r="AD103" s="1" t="e">
        <f t="shared" si="59"/>
        <v>#N/A</v>
      </c>
      <c r="AE103" s="1" t="e">
        <f t="shared" si="60"/>
        <v>#N/A</v>
      </c>
      <c r="AF103" s="1" t="e">
        <f t="shared" si="61"/>
        <v>#N/A</v>
      </c>
      <c r="AG103" s="1" t="e">
        <f t="shared" si="62"/>
        <v>#N/A</v>
      </c>
      <c r="AH103" s="1">
        <v>0.96</v>
      </c>
      <c r="AI103" s="1">
        <f t="shared" si="74"/>
        <v>0.28000000000000003</v>
      </c>
      <c r="AJ103" s="1" t="e">
        <f t="shared" si="75"/>
        <v>#N/A</v>
      </c>
      <c r="AK103" s="1" t="e">
        <f t="shared" si="65"/>
        <v>#N/A</v>
      </c>
      <c r="AL103" s="1" t="e">
        <f t="shared" si="66"/>
        <v>#N/A</v>
      </c>
      <c r="AM103" s="1" t="e">
        <f t="shared" si="67"/>
        <v>#N/A</v>
      </c>
      <c r="AN103" s="1" t="e">
        <f t="shared" si="68"/>
        <v>#N/A</v>
      </c>
      <c r="AO103" s="1" t="e">
        <f t="shared" si="69"/>
        <v>#N/A</v>
      </c>
    </row>
    <row r="104" spans="1:53">
      <c r="A104" s="11"/>
      <c r="B104" s="15"/>
      <c r="C104" s="15"/>
      <c r="D104" s="15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>
        <v>0.98</v>
      </c>
      <c r="S104" s="1">
        <f t="shared" si="70"/>
        <v>0.1989974874213242</v>
      </c>
      <c r="T104" s="1" t="e">
        <f t="shared" si="71"/>
        <v>#N/A</v>
      </c>
      <c r="U104" s="1" t="e">
        <f t="shared" si="51"/>
        <v>#N/A</v>
      </c>
      <c r="V104" s="1" t="e">
        <f t="shared" si="52"/>
        <v>#N/A</v>
      </c>
      <c r="W104" s="1" t="e">
        <f t="shared" si="53"/>
        <v>#N/A</v>
      </c>
      <c r="X104" s="1" t="e">
        <f t="shared" si="54"/>
        <v>#N/A</v>
      </c>
      <c r="Y104" s="1" t="e">
        <f t="shared" si="55"/>
        <v>#N/A</v>
      </c>
      <c r="Z104" s="1">
        <v>0.98</v>
      </c>
      <c r="AA104" s="1">
        <f t="shared" si="72"/>
        <v>0.1989974874213242</v>
      </c>
      <c r="AB104" s="1" t="e">
        <f t="shared" si="73"/>
        <v>#N/A</v>
      </c>
      <c r="AC104" s="1" t="e">
        <f t="shared" si="58"/>
        <v>#N/A</v>
      </c>
      <c r="AD104" s="1" t="e">
        <f t="shared" si="59"/>
        <v>#N/A</v>
      </c>
      <c r="AE104" s="1" t="e">
        <f t="shared" si="60"/>
        <v>#N/A</v>
      </c>
      <c r="AF104" s="1" t="e">
        <f t="shared" si="61"/>
        <v>#N/A</v>
      </c>
      <c r="AG104" s="1" t="e">
        <f t="shared" si="62"/>
        <v>#N/A</v>
      </c>
      <c r="AH104" s="1">
        <v>0.98</v>
      </c>
      <c r="AI104" s="1">
        <f t="shared" si="74"/>
        <v>0.1989974874213242</v>
      </c>
      <c r="AJ104" s="1" t="e">
        <f t="shared" si="75"/>
        <v>#N/A</v>
      </c>
      <c r="AK104" s="1" t="e">
        <f t="shared" si="65"/>
        <v>#N/A</v>
      </c>
      <c r="AL104" s="1" t="e">
        <f t="shared" si="66"/>
        <v>#N/A</v>
      </c>
      <c r="AM104" s="1" t="e">
        <f t="shared" si="67"/>
        <v>#N/A</v>
      </c>
      <c r="AN104" s="1" t="e">
        <f t="shared" si="68"/>
        <v>#N/A</v>
      </c>
      <c r="AO104" s="1" t="e">
        <f t="shared" si="69"/>
        <v>#N/A</v>
      </c>
    </row>
    <row r="105" spans="1:53">
      <c r="A105" s="11"/>
      <c r="B105" s="15"/>
      <c r="C105" s="15"/>
      <c r="D105" s="15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>
        <v>1</v>
      </c>
      <c r="S105" s="1">
        <f t="shared" si="70"/>
        <v>0</v>
      </c>
      <c r="T105" s="1" t="e">
        <f t="shared" si="71"/>
        <v>#N/A</v>
      </c>
      <c r="U105" s="1" t="e">
        <f t="shared" si="51"/>
        <v>#N/A</v>
      </c>
      <c r="V105" s="1" t="e">
        <f t="shared" si="52"/>
        <v>#N/A</v>
      </c>
      <c r="W105" s="1" t="e">
        <f t="shared" si="53"/>
        <v>#N/A</v>
      </c>
      <c r="X105" s="1" t="e">
        <f t="shared" si="54"/>
        <v>#N/A</v>
      </c>
      <c r="Y105" s="1" t="e">
        <f t="shared" si="55"/>
        <v>#N/A</v>
      </c>
      <c r="Z105" s="1">
        <v>1</v>
      </c>
      <c r="AA105" s="1">
        <f t="shared" si="72"/>
        <v>0</v>
      </c>
      <c r="AB105" s="1" t="e">
        <f t="shared" si="73"/>
        <v>#N/A</v>
      </c>
      <c r="AC105" s="1" t="e">
        <f t="shared" si="58"/>
        <v>#N/A</v>
      </c>
      <c r="AD105" s="1" t="e">
        <f t="shared" si="59"/>
        <v>#N/A</v>
      </c>
      <c r="AE105" s="1" t="e">
        <f t="shared" si="60"/>
        <v>#N/A</v>
      </c>
      <c r="AF105" s="1" t="e">
        <f t="shared" si="61"/>
        <v>#N/A</v>
      </c>
      <c r="AG105" s="1" t="e">
        <f t="shared" si="62"/>
        <v>#N/A</v>
      </c>
      <c r="AH105" s="1">
        <v>1</v>
      </c>
      <c r="AI105" s="1">
        <f t="shared" si="74"/>
        <v>0</v>
      </c>
      <c r="AJ105" s="1" t="e">
        <f t="shared" si="75"/>
        <v>#N/A</v>
      </c>
      <c r="AK105" s="1" t="e">
        <f t="shared" si="65"/>
        <v>#N/A</v>
      </c>
      <c r="AL105" s="1" t="e">
        <f t="shared" si="66"/>
        <v>#N/A</v>
      </c>
      <c r="AM105" s="1" t="e">
        <f t="shared" si="67"/>
        <v>#N/A</v>
      </c>
      <c r="AN105" s="1" t="e">
        <f t="shared" si="68"/>
        <v>#N/A</v>
      </c>
      <c r="AO105" s="1" t="e">
        <f t="shared" si="69"/>
        <v>#N/A</v>
      </c>
    </row>
    <row r="106" spans="1:53">
      <c r="A106" s="11"/>
      <c r="B106" s="15"/>
      <c r="C106" s="15"/>
      <c r="D106" s="15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53">
      <c r="A107" s="11"/>
      <c r="B107" s="15"/>
      <c r="C107" s="15"/>
      <c r="D107" s="15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53">
      <c r="A108" s="11"/>
      <c r="B108" s="15"/>
      <c r="C108" s="15"/>
      <c r="D108" s="15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53">
      <c r="A109" s="11"/>
      <c r="B109" s="15"/>
      <c r="C109" s="15"/>
      <c r="D109" s="15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53">
      <c r="A110" s="11"/>
      <c r="B110" s="15"/>
      <c r="C110" s="15"/>
      <c r="D110" s="15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53">
      <c r="A111" s="11" t="s">
        <v>27</v>
      </c>
      <c r="B111" s="14">
        <f>IF(SUMIFS('Current AR'!$T$6:$T$103,'Current AR'!$J$6:$J$103,A111)=0,0,SUMIFS('Current AR'!$W$6:$W$103,'Current AR'!$J$6:$J$103,A111)/SUMIFS('Current AR'!$T$6:$T$103,'Current AR'!$J$6:$J$103,A111))</f>
        <v>16.709182352835864</v>
      </c>
      <c r="C111" s="15"/>
      <c r="D111" s="15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BA111" t="str">
        <f t="shared" ref="BA111:BA117" si="76">IF(B111=0,"",IF(MOD(ROUND(B111,2),1)=0,TEXT(B111,"0"),TEXT(B111,"0.00"))&amp;" days")</f>
        <v>16.71 days</v>
      </c>
    </row>
    <row r="112" spans="1:53">
      <c r="A112" s="11" t="s">
        <v>387</v>
      </c>
      <c r="B112" s="14">
        <f>IF(SUMIFS('Current AR'!$T$6:$T$103,'Current AR'!$J$6:$J$103,A112)=0,0,SUMIFS('Current AR'!$W$6:$W$103,'Current AR'!$J$6:$J$103,A112)/SUMIFS('Current AR'!$T$6:$T$103,'Current AR'!$J$6:$J$103,A112))</f>
        <v>0</v>
      </c>
      <c r="C112" s="15"/>
      <c r="D112" s="15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BA112" t="str">
        <f t="shared" si="76"/>
        <v/>
      </c>
    </row>
    <row r="113" spans="1:53">
      <c r="A113" s="11" t="s">
        <v>25</v>
      </c>
      <c r="B113" s="14">
        <f>IF(SUMIFS('Current AR'!$T$6:$T$103,'Current AR'!$J$6:$J$103,A113)=0,0,SUMIFS('Current AR'!$W$6:$W$103,'Current AR'!$J$6:$J$103,A113)/SUMIFS('Current AR'!$T$6:$T$103,'Current AR'!$J$6:$J$103,A113))</f>
        <v>13.042532814944941</v>
      </c>
      <c r="C113" s="15"/>
      <c r="D113" s="15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BA113" t="str">
        <f t="shared" si="76"/>
        <v>13.04 days</v>
      </c>
    </row>
    <row r="114" spans="1:53">
      <c r="A114" s="11" t="s">
        <v>33</v>
      </c>
      <c r="B114" s="14">
        <f>IF(SUMIFS('Current AR'!$T$6:$T$103,'Current AR'!$J$6:$J$103,A114)=0,0,SUMIFS('Current AR'!$W$6:$W$103,'Current AR'!$J$6:$J$103,A114)/SUMIFS('Current AR'!$T$6:$T$103,'Current AR'!$J$6:$J$103,A114))</f>
        <v>0</v>
      </c>
      <c r="C114" s="15"/>
      <c r="D114" s="15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BA114" t="str">
        <f t="shared" si="76"/>
        <v/>
      </c>
    </row>
    <row r="115" spans="1:53">
      <c r="A115" s="11" t="s">
        <v>31</v>
      </c>
      <c r="B115" s="14">
        <f>IF(SUMIFS('Current AR'!$T$6:$T$103,'Current AR'!$J$6:$J$103,A115)=0,0,SUMIFS('Current AR'!$W$6:$W$103,'Current AR'!$J$6:$J$103,A115)/SUMIFS('Current AR'!$T$6:$T$103,'Current AR'!$J$6:$J$103,A115))</f>
        <v>0</v>
      </c>
      <c r="C115" s="15"/>
      <c r="D115" s="15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BA115" t="str">
        <f t="shared" si="76"/>
        <v/>
      </c>
    </row>
    <row r="116" spans="1:53">
      <c r="A116" s="11" t="s">
        <v>29</v>
      </c>
      <c r="B116" s="14">
        <f>IF(SUMIFS('Current AR'!$T$6:$T$103,'Current AR'!$J$6:$J$103,A116)=0,0,SUMIFS('Current AR'!$W$6:$W$103,'Current AR'!$J$6:$J$103,A116)/SUMIFS('Current AR'!$T$6:$T$103,'Current AR'!$J$6:$J$103,A116))</f>
        <v>0</v>
      </c>
      <c r="C116" s="15"/>
      <c r="D116" s="15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BA116" t="str">
        <f t="shared" si="76"/>
        <v/>
      </c>
    </row>
    <row r="117" spans="1:53">
      <c r="A117" s="11" t="s">
        <v>35</v>
      </c>
      <c r="B117" s="14">
        <f>IF(SUMIFS('Current AR'!$T$6:$T$103,'Current AR'!$J$6:$J$103,A117)=0,0,SUMIFS('Current AR'!$W$6:$W$103,'Current AR'!$J$6:$J$103,A117)/SUMIFS('Current AR'!$T$6:$T$103,'Current AR'!$J$6:$J$103,A117))</f>
        <v>76</v>
      </c>
      <c r="C117" s="15"/>
      <c r="D117" s="15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BA117" t="str">
        <f t="shared" si="76"/>
        <v>76 days</v>
      </c>
    </row>
    <row r="118" spans="1:5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5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5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5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5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5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5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5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5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5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5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 t="str">
        <f>IF(B150=0,"",INDEX(A170:A176,MATCH(B150,B170:B176,0)))</f>
        <v>Customer 03</v>
      </c>
      <c r="B150" s="1">
        <f>IFERROR(LARGE(B170:B176,1),0)</f>
        <v>39053817000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 t="str">
        <f>IF(B151=0,"",INDEX(A170:A176,MATCH(B151,B170:B176,0)))</f>
        <v>Customer 07</v>
      </c>
      <c r="B151" s="1">
        <f>IFERROR(LARGE(B170:B176,2),0)</f>
        <v>4021632000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 t="str">
        <f>IF(B152=0,"",INDEX(A170:A176,MATCH(B152,B170:B176,0)))</f>
        <v>Customer 04</v>
      </c>
      <c r="B152" s="1">
        <f>IFERROR(LARGE(B170:B176,3),0)</f>
        <v>3653181387.0000005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4" spans="1:87">
      <c r="Z164">
        <v>177</v>
      </c>
    </row>
    <row r="169" spans="1:87" ht="26">
      <c r="A169" s="20" t="s">
        <v>18</v>
      </c>
      <c r="B169" s="20" t="s">
        <v>19</v>
      </c>
      <c r="C169" s="20" t="s">
        <v>20</v>
      </c>
      <c r="D169" s="20" t="s">
        <v>21</v>
      </c>
      <c r="E169" s="20" t="s">
        <v>22</v>
      </c>
      <c r="G169" s="20" t="s">
        <v>23</v>
      </c>
      <c r="H169" s="20" t="s">
        <v>19</v>
      </c>
      <c r="I169" s="20" t="s">
        <v>20</v>
      </c>
      <c r="J169" s="20" t="s">
        <v>21</v>
      </c>
      <c r="K169" s="20" t="s">
        <v>22</v>
      </c>
      <c r="L169" s="20" t="s">
        <v>23</v>
      </c>
      <c r="M169" s="20" t="s">
        <v>386</v>
      </c>
      <c r="BR169">
        <v>0.1053032599178285</v>
      </c>
      <c r="BZ169">
        <v>0.1053032599178285</v>
      </c>
    </row>
    <row r="170" spans="1:87">
      <c r="A170" s="19" t="s">
        <v>24</v>
      </c>
      <c r="B170" s="19">
        <f>SUMIFS('Current AR'!$V$6:$V$160,'Current AR'!$A$6:$A$160,A170)</f>
        <v>2000343001</v>
      </c>
      <c r="C170" s="19">
        <f>SUMIFS('Prior AR'!$V$6:$V$160,'Prior AR'!$A$6:$A$160,A170)</f>
        <v>1603172748</v>
      </c>
      <c r="D170" s="19">
        <f>SUMIFS('Current AR'!$V$6:$V$160,'Current AR'!$A$6:$A$160,A170,'Current AR'!$Q$6:$Q$160,"&lt;=0")</f>
        <v>450339000</v>
      </c>
      <c r="E170" s="19">
        <f>SUMIFS('Current AR'!$V$6:$V$160,'Current AR'!$A$6:$A$160,A170,'Current AR'!$Q$6:$Q$160,"&gt;0")</f>
        <v>1550004001</v>
      </c>
      <c r="G170" s="19" t="s">
        <v>25</v>
      </c>
      <c r="H170" s="19">
        <f>SUMIFS('Current AR'!$V$6:$V$160,'Current AR'!$J$6:$J$160,G170)</f>
        <v>14614668379</v>
      </c>
      <c r="I170" s="19">
        <f>SUMIFS('Prior AR'!$V$6:$V$160,'Prior AR'!$J$6:$J$160,G170)</f>
        <v>14415882833.000004</v>
      </c>
      <c r="J170" s="19">
        <f t="shared" ref="J170:J175" si="77">H170-K170</f>
        <v>10509252379</v>
      </c>
      <c r="K170" s="19">
        <f>SUMIFS('Current AR'!$V$6:$V$160,'Current AR'!$J$6:$J$160,G170,'Current AR'!$Q$6:$Q$160,"&gt;0")</f>
        <v>4105416000</v>
      </c>
      <c r="L170" s="19" t="str">
        <f t="shared" ref="L170:L175" si="78">G170</f>
        <v>Staff 01</v>
      </c>
      <c r="M170" s="26">
        <f>IF(K170=0,0,SUMIFS('Current AR'!$W$6:$W$160,'Current AR'!$J$6:$J$160,G170,'Current AR'!$U$6:$U$160,1)/K170)</f>
        <v>13.042532814944941</v>
      </c>
      <c r="P170" t="str">
        <f t="shared" ref="P170:Q176" si="79">IF(D170=0,"",TEXT(IF(D170&gt;=1000000000,D170/1000000000,IF(D170&gt;=1000000,D170/1000000,D170/1000)),IF(MOD(ROUND(IF(D170&gt;=1000000000,D170/1000000000,IF(D170&gt;=1000000,D170/1000000,D170/1000)),2),1)=0,"0","0.00"))&amp;IF(D170&gt;=1000000000," B VND",IF(D170&gt;=1000000," M VND","k")))</f>
        <v>450.34 M VND</v>
      </c>
      <c r="Q170" t="str">
        <f t="shared" si="79"/>
        <v>1.55 B VND</v>
      </c>
      <c r="R170" t="str">
        <f t="shared" ref="R170:S175" si="80">IF(J170=0,"",TEXT(IF(J170&gt;=1000000000,J170/1000000000,IF(J170&gt;=1000000,J170/1000000,J170/1000)),IF(MOD(ROUND(IF(J170&gt;=1000000000,J170/1000000000,IF(J170&gt;=1000000,J170/1000000,J170/1000)),2),1)=0,"0","0.00"))&amp;IF(J170&gt;=1000000000," B VND",IF(J170&gt;=1000000," M VND","k")))</f>
        <v>10.51 B VND</v>
      </c>
      <c r="S170" t="str">
        <f t="shared" si="80"/>
        <v>4.11 B VND</v>
      </c>
      <c r="T170" t="str">
        <f t="shared" ref="T170:T176" si="81">IF(M170=0,"",TEXT(M170,IF(MOD(ROUND(M170,2),1)=0,"0","0.00"))&amp;" days")</f>
        <v>13.04 days</v>
      </c>
      <c r="V170" s="18" t="s">
        <v>2</v>
      </c>
      <c r="W170" s="18" t="s">
        <v>2</v>
      </c>
      <c r="BF170" t="str">
        <f>L170</f>
        <v>Staff 01</v>
      </c>
      <c r="BG170">
        <f>M170</f>
        <v>13.042532814944941</v>
      </c>
      <c r="BH170" t="str">
        <f>T170</f>
        <v>13.04 days</v>
      </c>
      <c r="BK170">
        <f t="shared" ref="BK170:BK176" si="82">D170+E170</f>
        <v>2000343001</v>
      </c>
      <c r="BL170" t="str">
        <f t="shared" ref="BL170:BM176" si="83">IF(D170=0,"–",IF(ABS(D170)&gt;=1000000000,TEXT(D170/1000000000,"0.00")&amp;"B",IF(ABS(D170)&gt;=1000000,TEXT(D170/1000000,"0.0")&amp;"M",TEXT(D170/1000,"0")&amp;"K")))</f>
        <v>450.3M</v>
      </c>
      <c r="BM170" t="str">
        <f t="shared" si="83"/>
        <v>1.55B</v>
      </c>
      <c r="BN170" t="str">
        <f t="shared" ref="BN170:BO176" si="84">IF(AND(D170&gt;0,BL170=""),P170,"")</f>
        <v/>
      </c>
      <c r="BO170" t="str">
        <f t="shared" si="84"/>
        <v/>
      </c>
      <c r="BP170" t="e">
        <f t="shared" ref="BP170:BP176" si="85">IF(BN170&lt;&gt;"",BK170+MAX($BK$170:$BK$176)*(0.015),NA())</f>
        <v>#N/A</v>
      </c>
      <c r="BQ170" t="e">
        <f t="shared" ref="BQ170:BQ176" si="86">IF(BO170&lt;&gt;"",BK170+MAX($BK$170:$BK$176)*(0.015+IF(BN170&lt;&gt;"",0.106551,0)),NA())</f>
        <v>#N/A</v>
      </c>
      <c r="BS170">
        <f t="shared" ref="BS170:BS175" si="87">J170+K170</f>
        <v>14614668379</v>
      </c>
      <c r="BT170" t="str">
        <f t="shared" ref="BT170:BU175" si="88">IF(J170=0,"–",IF(ABS(J170)&gt;=1000000000,TEXT(J170/1000000000,"0.00")&amp;"B",IF(ABS(J170)&gt;=1000000,TEXT(J170/1000000,"0.0")&amp;"M",TEXT(J170/1000,"0")&amp;"K")))</f>
        <v>10.51B</v>
      </c>
      <c r="BU170" t="str">
        <f t="shared" si="88"/>
        <v>4.11B</v>
      </c>
      <c r="BV170" t="str">
        <f t="shared" ref="BV170:BW175" si="89">IF(AND(J170&gt;0,BT170=""),R170,"")</f>
        <v/>
      </c>
      <c r="BW170" t="str">
        <f t="shared" si="89"/>
        <v/>
      </c>
      <c r="BX170" t="e">
        <f t="shared" ref="BX170:BX175" si="90">IF(BV170&lt;&gt;"",BS170+MAX($BS$170:$BS$175)*(0.015),NA())</f>
        <v>#N/A</v>
      </c>
      <c r="BY170" t="e">
        <f t="shared" ref="BY170:BY175" si="91">IF(BW170&lt;&gt;"",BS170+MAX($BS$170:$BS$175)*(0.015+IF(BV170&lt;&gt;"",0.106551,0)),NA())</f>
        <v>#N/A</v>
      </c>
      <c r="CA170" t="s">
        <v>24</v>
      </c>
      <c r="CC170" t="str">
        <f t="shared" ref="CC170:CD176" si="92">IF(AND(D170&gt;0,D170&gt;=MAX($B$170:$B$176)*0.12),IF(D170=0,"",IF(ABS(D170)&gt;=1000000000,IF(MOD(ROUND(D170/1000000000,2),1)=0,TEXT(D170/1000000000,"0"),TEXT(D170/1000000000,"0.00"))&amp;"B",IF(ABS(D170)&gt;=1000000,IF(MOD(ROUND(D170/1000000,2),1)=0,TEXT(D170/1000000,"0"),TEXT(D170/1000000,"0.00"))&amp;"M",IF(MOD(ROUND(D170/1000,2),1)=0,TEXT(D170/1000,"0"),TEXT(D170/1000,"0.00"))&amp;"K"))),"")</f>
        <v/>
      </c>
      <c r="CD170" t="str">
        <f t="shared" si="92"/>
        <v/>
      </c>
      <c r="CE170" t="str">
        <f t="shared" ref="CE170:CF176" si="93">IF(AND(D170&gt;0,D170&lt;MAX($B$170:$B$176)*0.12),IF(D170=0,"",IF(ABS(D170)&gt;=1000000000,IF(MOD(ROUND(D170/1000000000,2),1)=0,TEXT(D170/1000000000,"0"),TEXT(D170/1000000000,"0.00"))&amp;"B",IF(ABS(D170)&gt;=1000000,IF(MOD(ROUND(D170/1000000,2),1)=0,TEXT(D170/1000000,"0"),TEXT(D170/1000000,"0.00"))&amp;"M",IF(MOD(ROUND(D170/1000,2),1)=0,TEXT(D170/1000,"0"),TEXT(D170/1000,"0.00"))&amp;"K"))),"")</f>
        <v>450.34M</v>
      </c>
      <c r="CF170" t="str">
        <f t="shared" si="93"/>
        <v>1.55B</v>
      </c>
      <c r="CG170">
        <f t="shared" ref="CG170:CG176" si="94">IF(AND(D170&gt;0,D170&lt;MAX($B$170:$B$176)*0.12),B170+MAX($B$170:$B$176)*0.03,0)</f>
        <v>3171957511</v>
      </c>
      <c r="CH170">
        <f t="shared" ref="CH170:CH176" si="95">IF(AND(E170&gt;0,E170&lt;MAX($B$170:$B$176)*0.12),B170+MAX($B$170:$B$176)*IF(AND(D170&gt;0,D170&lt;MAX($B$170:$B$176)*0.12),0.1,0.03),0)</f>
        <v>5905724701</v>
      </c>
      <c r="CI170" t="str">
        <f t="shared" ref="CI170:CI175" si="96">IF(BG170=0,"",IF(MOD(ROUND(BG170,2),1)=0,TEXT(BG170,"0"),TEXT(BG170,"0.00"))&amp;" days")</f>
        <v>13.04 days</v>
      </c>
    </row>
    <row r="171" spans="1:87">
      <c r="A171" s="19" t="s">
        <v>26</v>
      </c>
      <c r="B171" s="19">
        <f>SUMIFS('Current AR'!$V$6:$V$160,'Current AR'!$A$6:$A$160,A171)</f>
        <v>2283113999</v>
      </c>
      <c r="C171" s="19">
        <f>SUMIFS('Prior AR'!$V$6:$V$160,'Prior AR'!$A$6:$A$160,A171)</f>
        <v>0</v>
      </c>
      <c r="D171" s="19">
        <f>SUMIFS('Current AR'!$V$6:$V$160,'Current AR'!$A$6:$A$160,A171,'Current AR'!$Q$6:$Q$160,"&lt;=0")</f>
        <v>2283113999</v>
      </c>
      <c r="E171" s="19">
        <f>SUMIFS('Current AR'!$V$6:$V$160,'Current AR'!$A$6:$A$160,A171,'Current AR'!$Q$6:$Q$160,"&gt;0")</f>
        <v>0</v>
      </c>
      <c r="G171" s="19" t="s">
        <v>27</v>
      </c>
      <c r="H171" s="19">
        <f>SUMIFS('Current AR'!$V$6:$V$160,'Current AR'!$J$6:$J$160,G171)</f>
        <v>30092673008.999996</v>
      </c>
      <c r="I171" s="19">
        <f>SUMIFS('Prior AR'!$V$6:$V$160,'Prior AR'!$J$6:$J$160,G171)</f>
        <v>15416999424.999998</v>
      </c>
      <c r="J171" s="19">
        <f t="shared" si="77"/>
        <v>28416993008.999996</v>
      </c>
      <c r="K171" s="19">
        <f>SUMIFS('Current AR'!$V$6:$V$160,'Current AR'!$J$6:$J$160,G171,'Current AR'!$Q$6:$Q$160,"&gt;0")</f>
        <v>1675680000</v>
      </c>
      <c r="L171" s="19" t="str">
        <f t="shared" si="78"/>
        <v>Staff 02</v>
      </c>
      <c r="M171" s="26">
        <f>IF(K171=0,0,SUMIFS('Current AR'!$W$6:$W$160,'Current AR'!$J$6:$J$160,G171,'Current AR'!$U$6:$U$160,1)/K171)</f>
        <v>16.709182352835864</v>
      </c>
      <c r="P171" t="str">
        <f t="shared" si="79"/>
        <v>2.28 B VND</v>
      </c>
      <c r="Q171" t="str">
        <f t="shared" si="79"/>
        <v/>
      </c>
      <c r="R171" t="str">
        <f t="shared" si="80"/>
        <v>28.42 B VND</v>
      </c>
      <c r="S171" t="str">
        <f t="shared" si="80"/>
        <v>1.68 B VND</v>
      </c>
      <c r="T171" t="str">
        <f t="shared" si="81"/>
        <v>16.71 days</v>
      </c>
      <c r="V171" s="18" t="s">
        <v>24</v>
      </c>
      <c r="W171" s="18" t="s">
        <v>27</v>
      </c>
      <c r="BF171" t="str">
        <f t="shared" ref="BF171:BG175" si="97">L172</f>
        <v>Staff 03</v>
      </c>
      <c r="BG171">
        <f t="shared" si="97"/>
        <v>0</v>
      </c>
      <c r="BH171" t="str">
        <f>T172</f>
        <v/>
      </c>
      <c r="BK171">
        <f t="shared" si="82"/>
        <v>2283113999</v>
      </c>
      <c r="BL171" t="str">
        <f t="shared" si="83"/>
        <v>2.28B</v>
      </c>
      <c r="BM171" t="str">
        <f t="shared" si="83"/>
        <v>–</v>
      </c>
      <c r="BN171" t="str">
        <f t="shared" si="84"/>
        <v/>
      </c>
      <c r="BO171" t="str">
        <f t="shared" si="84"/>
        <v/>
      </c>
      <c r="BP171" t="e">
        <f t="shared" si="85"/>
        <v>#N/A</v>
      </c>
      <c r="BQ171" t="e">
        <f t="shared" si="86"/>
        <v>#N/A</v>
      </c>
      <c r="BS171">
        <f t="shared" si="87"/>
        <v>30092673008.999996</v>
      </c>
      <c r="BT171" t="str">
        <f t="shared" si="88"/>
        <v>28.42B</v>
      </c>
      <c r="BU171" t="str">
        <f t="shared" si="88"/>
        <v>1.68B</v>
      </c>
      <c r="BV171" t="str">
        <f t="shared" si="89"/>
        <v/>
      </c>
      <c r="BW171" t="str">
        <f t="shared" si="89"/>
        <v/>
      </c>
      <c r="BX171" t="e">
        <f t="shared" si="90"/>
        <v>#N/A</v>
      </c>
      <c r="BY171" t="e">
        <f t="shared" si="91"/>
        <v>#N/A</v>
      </c>
      <c r="CA171" t="s">
        <v>26</v>
      </c>
      <c r="CC171" t="str">
        <f t="shared" si="92"/>
        <v/>
      </c>
      <c r="CD171" t="str">
        <f t="shared" si="92"/>
        <v/>
      </c>
      <c r="CE171" t="str">
        <f t="shared" si="93"/>
        <v>2.28B</v>
      </c>
      <c r="CF171" t="str">
        <f t="shared" si="93"/>
        <v/>
      </c>
      <c r="CG171">
        <f t="shared" si="94"/>
        <v>3454728509</v>
      </c>
      <c r="CH171">
        <f t="shared" si="95"/>
        <v>0</v>
      </c>
      <c r="CI171" t="str">
        <f t="shared" si="96"/>
        <v/>
      </c>
    </row>
    <row r="172" spans="1:87">
      <c r="A172" s="19" t="s">
        <v>28</v>
      </c>
      <c r="B172" s="19">
        <f>SUMIFS('Current AR'!$V$6:$V$160,'Current AR'!$A$6:$A$160,A172)</f>
        <v>39053817000</v>
      </c>
      <c r="C172" s="19">
        <f>SUMIFS('Prior AR'!$V$6:$V$160,'Prior AR'!$A$6:$A$160,A172)</f>
        <v>23724532599.000008</v>
      </c>
      <c r="D172" s="19">
        <f>SUMIFS('Current AR'!$V$6:$V$160,'Current AR'!$A$6:$A$160,A172,'Current AR'!$Q$6:$Q$160,"&lt;=0")</f>
        <v>36498405001</v>
      </c>
      <c r="E172" s="19">
        <f>SUMIFS('Current AR'!$V$6:$V$160,'Current AR'!$A$6:$A$160,A172,'Current AR'!$Q$6:$Q$160,"&gt;0")</f>
        <v>2555411999</v>
      </c>
      <c r="G172" s="19" t="s">
        <v>29</v>
      </c>
      <c r="H172" s="19">
        <f>SUMIFS('Current AR'!$V$6:$V$160,'Current AR'!$J$6:$J$160,G172)</f>
        <v>2283113999</v>
      </c>
      <c r="I172" s="19">
        <f>SUMIFS('Prior AR'!$V$6:$V$160,'Prior AR'!$J$6:$J$160,G172)</f>
        <v>0</v>
      </c>
      <c r="J172" s="19">
        <f t="shared" si="77"/>
        <v>2283113999</v>
      </c>
      <c r="K172" s="19">
        <f>SUMIFS('Current AR'!$V$6:$V$160,'Current AR'!$J$6:$J$160,G172,'Current AR'!$Q$6:$Q$160,"&gt;0")</f>
        <v>0</v>
      </c>
      <c r="L172" s="19" t="str">
        <f t="shared" si="78"/>
        <v>Staff 03</v>
      </c>
      <c r="M172" s="26">
        <f>IF(K172=0,0,SUMIFS('Current AR'!$W$6:$W$160,'Current AR'!$J$6:$J$160,G172,'Current AR'!$U$6:$U$160,1)/K172)</f>
        <v>0</v>
      </c>
      <c r="P172" t="str">
        <f t="shared" si="79"/>
        <v>36.50 B VND</v>
      </c>
      <c r="Q172" t="str">
        <f t="shared" si="79"/>
        <v>2.56 B VND</v>
      </c>
      <c r="R172" t="str">
        <f t="shared" si="80"/>
        <v>2.28 B VND</v>
      </c>
      <c r="S172" t="str">
        <f t="shared" si="80"/>
        <v/>
      </c>
      <c r="T172" t="str">
        <f t="shared" si="81"/>
        <v/>
      </c>
      <c r="V172" s="18" t="s">
        <v>26</v>
      </c>
      <c r="W172" s="18" t="s">
        <v>25</v>
      </c>
      <c r="BF172" t="str">
        <f t="shared" si="97"/>
        <v>Staff 04</v>
      </c>
      <c r="BG172">
        <f t="shared" si="97"/>
        <v>0</v>
      </c>
      <c r="BH172" t="str">
        <f>T173</f>
        <v/>
      </c>
      <c r="BK172">
        <f t="shared" si="82"/>
        <v>39053817000</v>
      </c>
      <c r="BL172" t="str">
        <f t="shared" si="83"/>
        <v>36.50B</v>
      </c>
      <c r="BM172" t="str">
        <f t="shared" si="83"/>
        <v>2.56B</v>
      </c>
      <c r="BN172" t="str">
        <f t="shared" si="84"/>
        <v/>
      </c>
      <c r="BO172" t="str">
        <f t="shared" si="84"/>
        <v/>
      </c>
      <c r="BP172" t="e">
        <f t="shared" si="85"/>
        <v>#N/A</v>
      </c>
      <c r="BQ172" t="e">
        <f t="shared" si="86"/>
        <v>#N/A</v>
      </c>
      <c r="BS172">
        <f t="shared" si="87"/>
        <v>2283113999</v>
      </c>
      <c r="BT172" t="str">
        <f t="shared" si="88"/>
        <v>2.28B</v>
      </c>
      <c r="BU172" t="str">
        <f t="shared" si="88"/>
        <v>–</v>
      </c>
      <c r="BV172" t="str">
        <f t="shared" si="89"/>
        <v/>
      </c>
      <c r="BW172" t="str">
        <f t="shared" si="89"/>
        <v/>
      </c>
      <c r="BX172" t="e">
        <f t="shared" si="90"/>
        <v>#N/A</v>
      </c>
      <c r="BY172" t="e">
        <f t="shared" si="91"/>
        <v>#N/A</v>
      </c>
      <c r="CA172" t="s">
        <v>28</v>
      </c>
      <c r="CC172" t="str">
        <f t="shared" si="92"/>
        <v>36.50B</v>
      </c>
      <c r="CD172" t="str">
        <f t="shared" si="92"/>
        <v/>
      </c>
      <c r="CE172" t="str">
        <f t="shared" si="93"/>
        <v/>
      </c>
      <c r="CF172" t="str">
        <f t="shared" si="93"/>
        <v>2.56B</v>
      </c>
      <c r="CG172">
        <f t="shared" si="94"/>
        <v>0</v>
      </c>
      <c r="CH172">
        <f t="shared" si="95"/>
        <v>40225431510</v>
      </c>
      <c r="CI172" t="str">
        <f t="shared" si="96"/>
        <v/>
      </c>
    </row>
    <row r="173" spans="1:87">
      <c r="A173" s="19" t="s">
        <v>30</v>
      </c>
      <c r="B173" s="19">
        <f>SUMIFS('Current AR'!$V$6:$V$160,'Current AR'!$A$6:$A$160,A173)</f>
        <v>3653181387.0000005</v>
      </c>
      <c r="C173" s="19">
        <f>SUMIFS('Prior AR'!$V$6:$V$160,'Prior AR'!$A$6:$A$160,A173)</f>
        <v>4505176911</v>
      </c>
      <c r="D173" s="19">
        <f>SUMIFS('Current AR'!$V$6:$V$160,'Current AR'!$A$6:$A$160,A173,'Current AR'!$Q$6:$Q$160,"&lt;=0")</f>
        <v>1977501387</v>
      </c>
      <c r="E173" s="19">
        <f>SUMIFS('Current AR'!$V$6:$V$160,'Current AR'!$A$6:$A$160,A173,'Current AR'!$Q$6:$Q$160,"&gt;0")</f>
        <v>1675680000</v>
      </c>
      <c r="G173" s="19" t="s">
        <v>31</v>
      </c>
      <c r="H173" s="19">
        <f>SUMIFS('Current AR'!$V$6:$V$160,'Current AR'!$J$6:$J$160,G173)</f>
        <v>43462950</v>
      </c>
      <c r="I173" s="19">
        <f>SUMIFS('Prior AR'!$V$6:$V$160,'Prior AR'!$J$6:$J$160,G173)</f>
        <v>0</v>
      </c>
      <c r="J173" s="19">
        <f t="shared" si="77"/>
        <v>43462950</v>
      </c>
      <c r="K173" s="19">
        <f>SUMIFS('Current AR'!$V$6:$V$160,'Current AR'!$J$6:$J$160,G173,'Current AR'!$Q$6:$Q$160,"&gt;0")</f>
        <v>0</v>
      </c>
      <c r="L173" s="19" t="str">
        <f t="shared" si="78"/>
        <v>Staff 04</v>
      </c>
      <c r="M173" s="26">
        <f>IF(K173=0,0,SUMIFS('Current AR'!$W$6:$W$160,'Current AR'!$J$6:$J$160,G173,'Current AR'!$U$6:$U$160,1)/K173)</f>
        <v>0</v>
      </c>
      <c r="P173" t="str">
        <f t="shared" si="79"/>
        <v>1.98 B VND</v>
      </c>
      <c r="Q173" t="str">
        <f t="shared" si="79"/>
        <v>1.68 B VND</v>
      </c>
      <c r="R173" t="str">
        <f t="shared" si="80"/>
        <v>43.46 M VND</v>
      </c>
      <c r="S173" t="str">
        <f t="shared" si="80"/>
        <v/>
      </c>
      <c r="T173" t="str">
        <f t="shared" si="81"/>
        <v/>
      </c>
      <c r="V173" s="18" t="s">
        <v>28</v>
      </c>
      <c r="W173" s="18" t="s">
        <v>33</v>
      </c>
      <c r="BF173" t="str">
        <f t="shared" si="97"/>
        <v>Staff 05</v>
      </c>
      <c r="BG173">
        <f t="shared" si="97"/>
        <v>0</v>
      </c>
      <c r="BH173" t="str">
        <f>T174</f>
        <v/>
      </c>
      <c r="BK173">
        <f t="shared" si="82"/>
        <v>3653181387</v>
      </c>
      <c r="BL173" t="str">
        <f t="shared" si="83"/>
        <v>1.98B</v>
      </c>
      <c r="BM173" t="str">
        <f t="shared" si="83"/>
        <v>1.68B</v>
      </c>
      <c r="BN173" t="str">
        <f t="shared" si="84"/>
        <v/>
      </c>
      <c r="BO173" t="str">
        <f t="shared" si="84"/>
        <v/>
      </c>
      <c r="BP173" t="e">
        <f t="shared" si="85"/>
        <v>#N/A</v>
      </c>
      <c r="BQ173" t="e">
        <f t="shared" si="86"/>
        <v>#N/A</v>
      </c>
      <c r="BS173">
        <f t="shared" si="87"/>
        <v>43462950</v>
      </c>
      <c r="BT173" t="str">
        <f t="shared" si="88"/>
        <v>43.5M</v>
      </c>
      <c r="BU173" t="str">
        <f t="shared" si="88"/>
        <v>–</v>
      </c>
      <c r="BV173" t="str">
        <f t="shared" si="89"/>
        <v/>
      </c>
      <c r="BW173" t="str">
        <f t="shared" si="89"/>
        <v/>
      </c>
      <c r="BX173" t="e">
        <f t="shared" si="90"/>
        <v>#N/A</v>
      </c>
      <c r="BY173" t="e">
        <f t="shared" si="91"/>
        <v>#N/A</v>
      </c>
      <c r="CA173" t="s">
        <v>30</v>
      </c>
      <c r="CC173" t="str">
        <f t="shared" si="92"/>
        <v/>
      </c>
      <c r="CD173" t="str">
        <f t="shared" si="92"/>
        <v/>
      </c>
      <c r="CE173" t="str">
        <f t="shared" si="93"/>
        <v>1.98B</v>
      </c>
      <c r="CF173" t="str">
        <f t="shared" si="93"/>
        <v>1.68B</v>
      </c>
      <c r="CG173">
        <f t="shared" si="94"/>
        <v>4824795897</v>
      </c>
      <c r="CH173">
        <f t="shared" si="95"/>
        <v>7558563087</v>
      </c>
      <c r="CI173" t="str">
        <f t="shared" si="96"/>
        <v/>
      </c>
    </row>
    <row r="174" spans="1:87">
      <c r="A174" s="19" t="s">
        <v>32</v>
      </c>
      <c r="B174" s="19">
        <f>SUMIFS('Current AR'!$V$6:$V$160,'Current AR'!$A$6:$A$160,A174)</f>
        <v>43462950</v>
      </c>
      <c r="C174" s="19">
        <f>SUMIFS('Prior AR'!$V$6:$V$160,'Prior AR'!$A$6:$A$160,A174)</f>
        <v>0</v>
      </c>
      <c r="D174" s="19">
        <f>SUMIFS('Current AR'!$V$6:$V$160,'Current AR'!$A$6:$A$160,A174,'Current AR'!$Q$6:$Q$160,"&lt;=0")</f>
        <v>43462950</v>
      </c>
      <c r="E174" s="19">
        <f>SUMIFS('Current AR'!$V$6:$V$160,'Current AR'!$A$6:$A$160,A174,'Current AR'!$Q$6:$Q$160,"&gt;0")</f>
        <v>0</v>
      </c>
      <c r="G174" s="19" t="s">
        <v>33</v>
      </c>
      <c r="H174" s="19">
        <f>SUMIFS('Current AR'!$V$6:$V$160,'Current AR'!$J$6:$J$160,G174)</f>
        <v>324663</v>
      </c>
      <c r="I174" s="19">
        <f>SUMIFS('Prior AR'!$V$6:$V$160,'Prior AR'!$J$6:$J$160,G174)</f>
        <v>333943</v>
      </c>
      <c r="J174" s="19">
        <f t="shared" si="77"/>
        <v>324663</v>
      </c>
      <c r="K174" s="19">
        <f>SUMIFS('Current AR'!$V$6:$V$160,'Current AR'!$J$6:$J$160,G174,'Current AR'!$Q$6:$Q$160,"&gt;0")</f>
        <v>0</v>
      </c>
      <c r="L174" s="19" t="str">
        <f t="shared" si="78"/>
        <v>Staff 05</v>
      </c>
      <c r="M174" s="26">
        <f>IF(K174=0,0,SUMIFS('Current AR'!$W$6:$W$160,'Current AR'!$J$6:$J$160,G174,'Current AR'!$U$6:$U$160,1)/K174)</f>
        <v>0</v>
      </c>
      <c r="P174" t="str">
        <f t="shared" si="79"/>
        <v>43.46 M VND</v>
      </c>
      <c r="Q174" t="str">
        <f t="shared" si="79"/>
        <v/>
      </c>
      <c r="R174" t="str">
        <f t="shared" si="80"/>
        <v>324.66k</v>
      </c>
      <c r="S174" t="str">
        <f t="shared" si="80"/>
        <v/>
      </c>
      <c r="T174" t="str">
        <f t="shared" si="81"/>
        <v/>
      </c>
      <c r="V174" s="18" t="s">
        <v>30</v>
      </c>
      <c r="W174" s="18" t="s">
        <v>31</v>
      </c>
      <c r="BF174" t="str">
        <f t="shared" si="97"/>
        <v>Staff 06</v>
      </c>
      <c r="BG174">
        <f t="shared" si="97"/>
        <v>76</v>
      </c>
      <c r="BH174" t="str">
        <f>T175</f>
        <v>76 days</v>
      </c>
      <c r="BK174">
        <f t="shared" si="82"/>
        <v>43462950</v>
      </c>
      <c r="BL174" t="str">
        <f t="shared" si="83"/>
        <v>43.5M</v>
      </c>
      <c r="BM174" t="str">
        <f t="shared" si="83"/>
        <v>–</v>
      </c>
      <c r="BN174" t="str">
        <f t="shared" si="84"/>
        <v/>
      </c>
      <c r="BO174" t="str">
        <f t="shared" si="84"/>
        <v/>
      </c>
      <c r="BP174" t="e">
        <f t="shared" si="85"/>
        <v>#N/A</v>
      </c>
      <c r="BQ174" t="e">
        <f t="shared" si="86"/>
        <v>#N/A</v>
      </c>
      <c r="BS174">
        <f t="shared" si="87"/>
        <v>324663</v>
      </c>
      <c r="BT174" t="str">
        <f t="shared" si="88"/>
        <v>325K</v>
      </c>
      <c r="BU174" t="str">
        <f t="shared" si="88"/>
        <v>–</v>
      </c>
      <c r="BV174" t="str">
        <f t="shared" si="89"/>
        <v/>
      </c>
      <c r="BW174" t="str">
        <f t="shared" si="89"/>
        <v/>
      </c>
      <c r="BX174" t="e">
        <f t="shared" si="90"/>
        <v>#N/A</v>
      </c>
      <c r="BY174" t="e">
        <f t="shared" si="91"/>
        <v>#N/A</v>
      </c>
      <c r="CA174" t="s">
        <v>32</v>
      </c>
      <c r="CC174" t="str">
        <f t="shared" si="92"/>
        <v/>
      </c>
      <c r="CD174" t="str">
        <f t="shared" si="92"/>
        <v/>
      </c>
      <c r="CE174" t="str">
        <f t="shared" si="93"/>
        <v>43.46M</v>
      </c>
      <c r="CF174" t="str">
        <f t="shared" si="93"/>
        <v/>
      </c>
      <c r="CG174">
        <f t="shared" si="94"/>
        <v>1215077460</v>
      </c>
      <c r="CH174">
        <f t="shared" si="95"/>
        <v>0</v>
      </c>
      <c r="CI174" t="str">
        <f t="shared" si="96"/>
        <v>76 days</v>
      </c>
    </row>
    <row r="175" spans="1:87">
      <c r="A175" s="19" t="s">
        <v>34</v>
      </c>
      <c r="B175" s="19">
        <f>SUMIFS('Current AR'!$V$6:$V$160,'Current AR'!$A$6:$A$160,A175)</f>
        <v>324663</v>
      </c>
      <c r="C175" s="19">
        <f>SUMIFS('Prior AR'!$V$6:$V$160,'Prior AR'!$A$6:$A$160,A175)</f>
        <v>333943</v>
      </c>
      <c r="D175" s="19">
        <f>SUMIFS('Current AR'!$V$6:$V$160,'Current AR'!$A$6:$A$160,A175,'Current AR'!$Q$6:$Q$160,"&lt;=0")</f>
        <v>324663</v>
      </c>
      <c r="E175" s="19">
        <f>SUMIFS('Current AR'!$V$6:$V$160,'Current AR'!$A$6:$A$160,A175,'Current AR'!$Q$6:$Q$160,"&gt;0")</f>
        <v>0</v>
      </c>
      <c r="G175" s="19" t="s">
        <v>35</v>
      </c>
      <c r="H175" s="19">
        <f>SUMIFS('Current AR'!$V$6:$V$160,'Current AR'!$J$6:$J$160,G175)</f>
        <v>4021632000</v>
      </c>
      <c r="I175" s="19">
        <f>SUMIFS('Prior AR'!$V$6:$V$160,'Prior AR'!$J$6:$J$160,G175)</f>
        <v>4099303796</v>
      </c>
      <c r="J175" s="19">
        <f t="shared" si="77"/>
        <v>0</v>
      </c>
      <c r="K175" s="19">
        <f>SUMIFS('Current AR'!$V$6:$V$160,'Current AR'!$J$6:$J$160,G175,'Current AR'!$Q$6:$Q$160,"&gt;0")</f>
        <v>4021632000</v>
      </c>
      <c r="L175" s="19" t="str">
        <f t="shared" si="78"/>
        <v>Staff 06</v>
      </c>
      <c r="M175" s="26">
        <f>IF(K175=0,0,SUMIFS('Current AR'!$W$6:$W$160,'Current AR'!$J$6:$J$160,G175,'Current AR'!$U$6:$U$160,1)/K175)</f>
        <v>76</v>
      </c>
      <c r="P175" t="str">
        <f t="shared" si="79"/>
        <v>324.66k</v>
      </c>
      <c r="Q175" t="str">
        <f t="shared" si="79"/>
        <v/>
      </c>
      <c r="R175" t="str">
        <f t="shared" si="80"/>
        <v/>
      </c>
      <c r="S175" t="str">
        <f t="shared" si="80"/>
        <v>4.02 B VND</v>
      </c>
      <c r="T175" t="str">
        <f t="shared" si="81"/>
        <v>76 days</v>
      </c>
      <c r="V175" s="18" t="s">
        <v>32</v>
      </c>
      <c r="W175" s="18" t="s">
        <v>29</v>
      </c>
      <c r="BF175" t="str">
        <f t="shared" si="97"/>
        <v>Staff 06</v>
      </c>
      <c r="BG175">
        <f t="shared" si="97"/>
        <v>76</v>
      </c>
      <c r="BH175" t="str">
        <f>T176</f>
        <v>76 days</v>
      </c>
      <c r="BK175">
        <f t="shared" si="82"/>
        <v>324663</v>
      </c>
      <c r="BL175" t="str">
        <f t="shared" si="83"/>
        <v>325K</v>
      </c>
      <c r="BM175" t="str">
        <f t="shared" si="83"/>
        <v>–</v>
      </c>
      <c r="BN175" t="str">
        <f t="shared" si="84"/>
        <v/>
      </c>
      <c r="BO175" t="str">
        <f t="shared" si="84"/>
        <v/>
      </c>
      <c r="BP175" t="e">
        <f t="shared" si="85"/>
        <v>#N/A</v>
      </c>
      <c r="BQ175" t="e">
        <f t="shared" si="86"/>
        <v>#N/A</v>
      </c>
      <c r="BS175">
        <f t="shared" si="87"/>
        <v>4021632000</v>
      </c>
      <c r="BT175" t="str">
        <f t="shared" si="88"/>
        <v>–</v>
      </c>
      <c r="BU175" t="str">
        <f t="shared" si="88"/>
        <v>4.02B</v>
      </c>
      <c r="BV175" t="str">
        <f t="shared" si="89"/>
        <v/>
      </c>
      <c r="BW175" t="str">
        <f t="shared" si="89"/>
        <v/>
      </c>
      <c r="BX175" t="e">
        <f t="shared" si="90"/>
        <v>#N/A</v>
      </c>
      <c r="BY175" t="e">
        <f t="shared" si="91"/>
        <v>#N/A</v>
      </c>
      <c r="CA175" t="s">
        <v>34</v>
      </c>
      <c r="CC175" t="str">
        <f t="shared" si="92"/>
        <v/>
      </c>
      <c r="CD175" t="str">
        <f t="shared" si="92"/>
        <v/>
      </c>
      <c r="CE175" t="str">
        <f t="shared" si="93"/>
        <v>324.66K</v>
      </c>
      <c r="CF175" t="str">
        <f t="shared" si="93"/>
        <v/>
      </c>
      <c r="CG175">
        <f t="shared" si="94"/>
        <v>1171939173</v>
      </c>
      <c r="CH175">
        <f t="shared" si="95"/>
        <v>0</v>
      </c>
      <c r="CI175" t="str">
        <f t="shared" si="96"/>
        <v>76 days</v>
      </c>
    </row>
    <row r="176" spans="1:87">
      <c r="A176" s="19" t="s">
        <v>36</v>
      </c>
      <c r="B176" s="19">
        <f>SUMIFS('Current AR'!$V$6:$V$160,'Current AR'!$A$6:$A$160,A176)</f>
        <v>4021632000</v>
      </c>
      <c r="C176" s="19">
        <f>SUMIFS('Prior AR'!$V$6:$V$160,'Prior AR'!$A$6:$A$160,A176)</f>
        <v>4099303796</v>
      </c>
      <c r="D176" s="19">
        <f>SUMIFS('Current AR'!$V$6:$V$160,'Current AR'!$A$6:$A$160,A176,'Current AR'!$Q$6:$Q$160,"&lt;=0")</f>
        <v>0</v>
      </c>
      <c r="E176" s="19">
        <f>SUMIFS('Current AR'!$V$6:$V$160,'Current AR'!$A$6:$A$160,A176,'Current AR'!$Q$6:$Q$160,"&gt;0")</f>
        <v>4021632000</v>
      </c>
      <c r="L176" s="19" t="s">
        <v>35</v>
      </c>
      <c r="M176" s="26">
        <f>IFERROR(SUMIFS('Current AR'!$W$6:$W$103,'Current AR'!$J$6:$J$103,L176)/SUMIFS('Current AR'!$T$6:$T$103,'Current AR'!$J$6:$J$103,L176),0)</f>
        <v>76</v>
      </c>
      <c r="P176" t="str">
        <f t="shared" si="79"/>
        <v/>
      </c>
      <c r="Q176" t="str">
        <f t="shared" si="79"/>
        <v>4.02 B VND</v>
      </c>
      <c r="T176" t="str">
        <f t="shared" si="81"/>
        <v>76 days</v>
      </c>
      <c r="V176" s="18" t="s">
        <v>34</v>
      </c>
      <c r="W176" s="18" t="s">
        <v>35</v>
      </c>
      <c r="BK176">
        <f t="shared" si="82"/>
        <v>4021632000</v>
      </c>
      <c r="BL176" t="str">
        <f t="shared" si="83"/>
        <v>–</v>
      </c>
      <c r="BM176" t="str">
        <f t="shared" si="83"/>
        <v>4.02B</v>
      </c>
      <c r="BN176" t="str">
        <f t="shared" si="84"/>
        <v/>
      </c>
      <c r="BO176" t="str">
        <f t="shared" si="84"/>
        <v/>
      </c>
      <c r="BP176" t="e">
        <f t="shared" si="85"/>
        <v>#N/A</v>
      </c>
      <c r="BQ176" t="e">
        <f t="shared" si="86"/>
        <v>#N/A</v>
      </c>
      <c r="CA176" t="s">
        <v>36</v>
      </c>
      <c r="CC176" t="str">
        <f t="shared" si="92"/>
        <v/>
      </c>
      <c r="CD176" t="str">
        <f t="shared" si="92"/>
        <v/>
      </c>
      <c r="CE176" t="str">
        <f t="shared" si="93"/>
        <v/>
      </c>
      <c r="CF176" t="str">
        <f t="shared" si="93"/>
        <v>4.02B</v>
      </c>
      <c r="CG176">
        <f t="shared" si="94"/>
        <v>0</v>
      </c>
      <c r="CH176">
        <f t="shared" si="95"/>
        <v>5193246510</v>
      </c>
    </row>
    <row r="177" spans="22:22">
      <c r="V177" s="18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O160"/>
  <sheetViews>
    <sheetView showGridLines="0" workbookViewId="0">
      <pane ySplit="5" topLeftCell="A6" activePane="bottomLeft" state="frozen"/>
      <selection pane="bottomLeft" activeCell="E17" sqref="E17"/>
    </sheetView>
  </sheetViews>
  <sheetFormatPr defaultRowHeight="14"/>
  <cols>
    <col min="1" max="9" width="18" customWidth="1"/>
    <col min="10" max="10" width="42" customWidth="1"/>
  </cols>
  <sheetData>
    <row r="1" spans="1:41">
      <c r="A1" s="1" t="s">
        <v>388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30" customHeight="1">
      <c r="A5" s="2" t="s">
        <v>389</v>
      </c>
      <c r="B5" s="2" t="s">
        <v>390</v>
      </c>
      <c r="C5" s="2" t="s">
        <v>391</v>
      </c>
      <c r="D5" s="2" t="s">
        <v>43</v>
      </c>
      <c r="E5" s="2" t="s">
        <v>46</v>
      </c>
      <c r="F5" s="2" t="s">
        <v>53</v>
      </c>
      <c r="G5" s="2" t="s">
        <v>392</v>
      </c>
      <c r="H5" s="2" t="s">
        <v>50</v>
      </c>
      <c r="I5" s="2" t="s">
        <v>51</v>
      </c>
      <c r="J5" s="2" t="s">
        <v>52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 t="str">
        <f>IFERROR(INDEX('Current AR'!A$6:A$103,MATCH(1,'Current AR'!X$6:X$103,0)),"")</f>
        <v>Customer 01</v>
      </c>
      <c r="B6" s="1" t="str">
        <f>IFERROR(INDEX('Current AR'!D$6:D$103,MATCH(1,'Current AR'!X$6:X$103,0)),"")</f>
        <v>000001</v>
      </c>
      <c r="C6" s="1" t="str">
        <f>IFERROR(INDEX('Current AR'!C$6:C$103,MATCH(1,'Current AR'!X$6:X$103,0)),"")</f>
        <v>CAL-current-001</v>
      </c>
      <c r="D6" s="4">
        <f>IFERROR(INDEX('Current AR'!F$6:F$103,MATCH(1,'Current AR'!X$6:X$103,0)),"")</f>
        <v>45769</v>
      </c>
      <c r="E6" s="5">
        <f>IFERROR(INDEX('Current AR'!I$6:I$103,MATCH(1,'Current AR'!X$6:X$103,0)),"")</f>
        <v>634392780.19000006</v>
      </c>
      <c r="F6" s="1">
        <f>IFERROR(INDEX('Current AR'!Q$6:Q$103,MATCH(1,'Current AR'!X$6:X$103,0)),"")</f>
        <v>8</v>
      </c>
      <c r="G6" s="1" t="str">
        <f>IFERROR(INDEX('Current AR'!J$6:J$103,MATCH(1,'Current AR'!X$6:X$103,0)),"")</f>
        <v>Staff 01</v>
      </c>
      <c r="H6" s="4">
        <f>IFERROR(INDEX('Current AR'!N$6:N$103,MATCH(1,'Current AR'!X$6:X$103,0)),"")</f>
        <v>0</v>
      </c>
      <c r="I6" s="4">
        <f>IFERROR(INDEX('Current AR'!O$6:O$103,MATCH(1,'Current AR'!X$6:X$103,0)),"")</f>
        <v>0</v>
      </c>
      <c r="J6" s="1" t="str">
        <f>IFERROR(INDEX('Current AR'!P$6:P$103,MATCH(1,'Current AR'!X$6:X$103,0)),"")</f>
        <v>Review assigned fictional balance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 t="str">
        <f>IFERROR(INDEX('Current AR'!A$6:A$103,MATCH(2,'Current AR'!X$6:X$103,0)),"")</f>
        <v>Customer 01</v>
      </c>
      <c r="B7" s="1" t="str">
        <f>IFERROR(INDEX('Current AR'!D$6:D$103,MATCH(2,'Current AR'!X$6:X$103,0)),"")</f>
        <v>000002</v>
      </c>
      <c r="C7" s="1" t="str">
        <f>IFERROR(INDEX('Current AR'!C$6:C$103,MATCH(2,'Current AR'!X$6:X$103,0)),"")</f>
        <v>CAL-current-002</v>
      </c>
      <c r="D7" s="4">
        <f>IFERROR(INDEX('Current AR'!F$6:F$103,MATCH(2,'Current AR'!X$6:X$103,0)),"")</f>
        <v>45769</v>
      </c>
      <c r="E7" s="5">
        <f>IFERROR(INDEX('Current AR'!I$6:I$103,MATCH(2,'Current AR'!X$6:X$103,0)),"")</f>
        <v>349681048.64999998</v>
      </c>
      <c r="F7" s="1">
        <f>IFERROR(INDEX('Current AR'!Q$6:Q$103,MATCH(2,'Current AR'!X$6:X$103,0)),"")</f>
        <v>8</v>
      </c>
      <c r="G7" s="1" t="str">
        <f>IFERROR(INDEX('Current AR'!J$6:J$103,MATCH(2,'Current AR'!X$6:X$103,0)),"")</f>
        <v>Staff 01</v>
      </c>
      <c r="H7" s="4">
        <f>IFERROR(INDEX('Current AR'!N$6:N$103,MATCH(2,'Current AR'!X$6:X$103,0)),"")</f>
        <v>0</v>
      </c>
      <c r="I7" s="4">
        <f>IFERROR(INDEX('Current AR'!O$6:O$103,MATCH(2,'Current AR'!X$6:X$103,0)),"")</f>
        <v>0</v>
      </c>
      <c r="J7" s="1" t="str">
        <f>IFERROR(INDEX('Current AR'!P$6:P$103,MATCH(2,'Current AR'!X$6:X$103,0)),"")</f>
        <v>Review assigned fictional balance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 t="str">
        <f>IFERROR(INDEX('Current AR'!A$6:A$103,MATCH(3,'Current AR'!X$6:X$103,0)),"")</f>
        <v>Customer 01</v>
      </c>
      <c r="B8" s="1" t="str">
        <f>IFERROR(INDEX('Current AR'!D$6:D$103,MATCH(3,'Current AR'!X$6:X$103,0)),"")</f>
        <v>000003</v>
      </c>
      <c r="C8" s="1" t="str">
        <f>IFERROR(INDEX('Current AR'!C$6:C$103,MATCH(3,'Current AR'!X$6:X$103,0)),"")</f>
        <v>CAL-current-003</v>
      </c>
      <c r="D8" s="4">
        <f>IFERROR(INDEX('Current AR'!F$6:F$103,MATCH(3,'Current AR'!X$6:X$103,0)),"")</f>
        <v>45769</v>
      </c>
      <c r="E8" s="5">
        <f>IFERROR(INDEX('Current AR'!I$6:I$103,MATCH(3,'Current AR'!X$6:X$103,0)),"")</f>
        <v>565930172.15999997</v>
      </c>
      <c r="F8" s="1">
        <f>IFERROR(INDEX('Current AR'!Q$6:Q$103,MATCH(3,'Current AR'!X$6:X$103,0)),"")</f>
        <v>8</v>
      </c>
      <c r="G8" s="1" t="str">
        <f>IFERROR(INDEX('Current AR'!J$6:J$103,MATCH(3,'Current AR'!X$6:X$103,0)),"")</f>
        <v>Staff 01</v>
      </c>
      <c r="H8" s="4">
        <f>IFERROR(INDEX('Current AR'!N$6:N$103,MATCH(3,'Current AR'!X$6:X$103,0)),"")</f>
        <v>0</v>
      </c>
      <c r="I8" s="4">
        <f>IFERROR(INDEX('Current AR'!O$6:O$103,MATCH(3,'Current AR'!X$6:X$103,0)),"")</f>
        <v>0</v>
      </c>
      <c r="J8" s="1" t="str">
        <f>IFERROR(INDEX('Current AR'!P$6:P$103,MATCH(3,'Current AR'!X$6:X$103,0)),"")</f>
        <v>Review assigned fictional balance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 t="str">
        <f>IFERROR(INDEX('Current AR'!A$6:A$103,MATCH(4,'Current AR'!X$6:X$103,0)),"")</f>
        <v>Customer 01</v>
      </c>
      <c r="B9" s="1" t="str">
        <f>IFERROR(INDEX('Current AR'!D$6:D$103,MATCH(4,'Current AR'!X$6:X$103,0)),"")</f>
        <v>000004</v>
      </c>
      <c r="C9" s="1" t="str">
        <f>IFERROR(INDEX('Current AR'!C$6:C$103,MATCH(4,'Current AR'!X$6:X$103,0)),"")</f>
        <v>CAL-current-004</v>
      </c>
      <c r="D9" s="4">
        <f>IFERROR(INDEX('Current AR'!F$6:F$103,MATCH(4,'Current AR'!X$6:X$103,0)),"")</f>
        <v>45801</v>
      </c>
      <c r="E9" s="5">
        <f>IFERROR(INDEX('Current AR'!I$6:I$103,MATCH(4,'Current AR'!X$6:X$103,0)),"")</f>
        <v>450339000</v>
      </c>
      <c r="F9" s="1">
        <f>IFERROR(INDEX('Current AR'!Q$6:Q$103,MATCH(4,'Current AR'!X$6:X$103,0)),"")</f>
        <v>-24</v>
      </c>
      <c r="G9" s="1" t="str">
        <f>IFERROR(INDEX('Current AR'!J$6:J$103,MATCH(4,'Current AR'!X$6:X$103,0)),"")</f>
        <v>Staff 01</v>
      </c>
      <c r="H9" s="4">
        <f>IFERROR(INDEX('Current AR'!N$6:N$103,MATCH(4,'Current AR'!X$6:X$103,0)),"")</f>
        <v>0</v>
      </c>
      <c r="I9" s="4">
        <f>IFERROR(INDEX('Current AR'!O$6:O$103,MATCH(4,'Current AR'!X$6:X$103,0)),"")</f>
        <v>0</v>
      </c>
      <c r="J9" s="1" t="str">
        <f>IFERROR(INDEX('Current AR'!P$6:P$103,MATCH(4,'Current AR'!X$6:X$103,0)),"")</f>
        <v>Review assigned fictional balance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 t="str">
        <f>IFERROR(INDEX('Current AR'!A$6:A$103,MATCH(5,'Current AR'!X$6:X$103,0)),"")</f>
        <v>Customer 02</v>
      </c>
      <c r="B10" s="1" t="str">
        <f>IFERROR(INDEX('Current AR'!D$6:D$103,MATCH(5,'Current AR'!X$6:X$103,0)),"")</f>
        <v>000005</v>
      </c>
      <c r="C10" s="1" t="str">
        <f>IFERROR(INDEX('Current AR'!C$6:C$103,MATCH(5,'Current AR'!X$6:X$103,0)),"")</f>
        <v>CAL-current-005</v>
      </c>
      <c r="D10" s="4">
        <f>IFERROR(INDEX('Current AR'!F$6:F$103,MATCH(5,'Current AR'!X$6:X$103,0)),"")</f>
        <v>45828</v>
      </c>
      <c r="E10" s="5">
        <f>IFERROR(INDEX('Current AR'!I$6:I$103,MATCH(5,'Current AR'!X$6:X$103,0)),"")</f>
        <v>766225987.65999997</v>
      </c>
      <c r="F10" s="1">
        <f>IFERROR(INDEX('Current AR'!Q$6:Q$103,MATCH(5,'Current AR'!X$6:X$103,0)),"")</f>
        <v>-51</v>
      </c>
      <c r="G10" s="1" t="str">
        <f>IFERROR(INDEX('Current AR'!J$6:J$103,MATCH(5,'Current AR'!X$6:X$103,0)),"")</f>
        <v>Staff 03</v>
      </c>
      <c r="H10" s="4">
        <f>IFERROR(INDEX('Current AR'!N$6:N$103,MATCH(5,'Current AR'!X$6:X$103,0)),"")</f>
        <v>0</v>
      </c>
      <c r="I10" s="4">
        <f>IFERROR(INDEX('Current AR'!O$6:O$103,MATCH(5,'Current AR'!X$6:X$103,0)),"")</f>
        <v>0</v>
      </c>
      <c r="J10" s="1" t="str">
        <f>IFERROR(INDEX('Current AR'!P$6:P$103,MATCH(5,'Current AR'!X$6:X$103,0)),"")</f>
        <v>Review assigned fictional balance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 t="str">
        <f>IFERROR(INDEX('Current AR'!A$6:A$103,MATCH(6,'Current AR'!X$6:X$103,0)),"")</f>
        <v>Customer 02</v>
      </c>
      <c r="B11" s="1" t="str">
        <f>IFERROR(INDEX('Current AR'!D$6:D$103,MATCH(6,'Current AR'!X$6:X$103,0)),"")</f>
        <v>000006</v>
      </c>
      <c r="C11" s="1" t="str">
        <f>IFERROR(INDEX('Current AR'!C$6:C$103,MATCH(6,'Current AR'!X$6:X$103,0)),"")</f>
        <v>CAL-current-006</v>
      </c>
      <c r="D11" s="4">
        <f>IFERROR(INDEX('Current AR'!F$6:F$103,MATCH(6,'Current AR'!X$6:X$103,0)),"")</f>
        <v>45828</v>
      </c>
      <c r="E11" s="5">
        <f>IFERROR(INDEX('Current AR'!I$6:I$103,MATCH(6,'Current AR'!X$6:X$103,0)),"")</f>
        <v>396812141.33999997</v>
      </c>
      <c r="F11" s="1">
        <f>IFERROR(INDEX('Current AR'!Q$6:Q$103,MATCH(6,'Current AR'!X$6:X$103,0)),"")</f>
        <v>-51</v>
      </c>
      <c r="G11" s="1" t="str">
        <f>IFERROR(INDEX('Current AR'!J$6:J$103,MATCH(6,'Current AR'!X$6:X$103,0)),"")</f>
        <v>Staff 03</v>
      </c>
      <c r="H11" s="4">
        <f>IFERROR(INDEX('Current AR'!N$6:N$103,MATCH(6,'Current AR'!X$6:X$103,0)),"")</f>
        <v>0</v>
      </c>
      <c r="I11" s="4">
        <f>IFERROR(INDEX('Current AR'!O$6:O$103,MATCH(6,'Current AR'!X$6:X$103,0)),"")</f>
        <v>0</v>
      </c>
      <c r="J11" s="1" t="str">
        <f>IFERROR(INDEX('Current AR'!P$6:P$103,MATCH(6,'Current AR'!X$6:X$103,0)),"")</f>
        <v>Review assigned fictional balance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 t="str">
        <f>IFERROR(INDEX('Current AR'!A$6:A$103,MATCH(7,'Current AR'!X$6:X$103,0)),"")</f>
        <v>Customer 02</v>
      </c>
      <c r="B12" s="1" t="str">
        <f>IFERROR(INDEX('Current AR'!D$6:D$103,MATCH(7,'Current AR'!X$6:X$103,0)),"")</f>
        <v>000007</v>
      </c>
      <c r="C12" s="1" t="str">
        <f>IFERROR(INDEX('Current AR'!C$6:C$103,MATCH(7,'Current AR'!X$6:X$103,0)),"")</f>
        <v>CAL-current-007</v>
      </c>
      <c r="D12" s="4">
        <f>IFERROR(INDEX('Current AR'!F$6:F$103,MATCH(7,'Current AR'!X$6:X$103,0)),"")</f>
        <v>45827</v>
      </c>
      <c r="E12" s="5">
        <f>IFERROR(INDEX('Current AR'!I$6:I$103,MATCH(7,'Current AR'!X$6:X$103,0)),"")</f>
        <v>380603788.13999999</v>
      </c>
      <c r="F12" s="1">
        <f>IFERROR(INDEX('Current AR'!Q$6:Q$103,MATCH(7,'Current AR'!X$6:X$103,0)),"")</f>
        <v>-50</v>
      </c>
      <c r="G12" s="1" t="str">
        <f>IFERROR(INDEX('Current AR'!J$6:J$103,MATCH(7,'Current AR'!X$6:X$103,0)),"")</f>
        <v>Staff 03</v>
      </c>
      <c r="H12" s="4">
        <f>IFERROR(INDEX('Current AR'!N$6:N$103,MATCH(7,'Current AR'!X$6:X$103,0)),"")</f>
        <v>0</v>
      </c>
      <c r="I12" s="4">
        <f>IFERROR(INDEX('Current AR'!O$6:O$103,MATCH(7,'Current AR'!X$6:X$103,0)),"")</f>
        <v>0</v>
      </c>
      <c r="J12" s="1" t="str">
        <f>IFERROR(INDEX('Current AR'!P$6:P$103,MATCH(7,'Current AR'!X$6:X$103,0)),"")</f>
        <v>Review assigned fictional balance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 t="str">
        <f>IFERROR(INDEX('Current AR'!A$6:A$103,MATCH(8,'Current AR'!X$6:X$103,0)),"")</f>
        <v>Customer 02</v>
      </c>
      <c r="B13" s="1" t="str">
        <f>IFERROR(INDEX('Current AR'!D$6:D$103,MATCH(8,'Current AR'!X$6:X$103,0)),"")</f>
        <v>000008</v>
      </c>
      <c r="C13" s="1" t="str">
        <f>IFERROR(INDEX('Current AR'!C$6:C$103,MATCH(8,'Current AR'!X$6:X$103,0)),"")</f>
        <v>CAL-current-008</v>
      </c>
      <c r="D13" s="4">
        <f>IFERROR(INDEX('Current AR'!F$6:F$103,MATCH(8,'Current AR'!X$6:X$103,0)),"")</f>
        <v>45827</v>
      </c>
      <c r="E13" s="5">
        <f>IFERROR(INDEX('Current AR'!I$6:I$103,MATCH(8,'Current AR'!X$6:X$103,0)),"")</f>
        <v>739472081.86000001</v>
      </c>
      <c r="F13" s="1">
        <f>IFERROR(INDEX('Current AR'!Q$6:Q$103,MATCH(8,'Current AR'!X$6:X$103,0)),"")</f>
        <v>-50</v>
      </c>
      <c r="G13" s="1" t="str">
        <f>IFERROR(INDEX('Current AR'!J$6:J$103,MATCH(8,'Current AR'!X$6:X$103,0)),"")</f>
        <v>Staff 03</v>
      </c>
      <c r="H13" s="4">
        <f>IFERROR(INDEX('Current AR'!N$6:N$103,MATCH(8,'Current AR'!X$6:X$103,0)),"")</f>
        <v>0</v>
      </c>
      <c r="I13" s="4">
        <f>IFERROR(INDEX('Current AR'!O$6:O$103,MATCH(8,'Current AR'!X$6:X$103,0)),"")</f>
        <v>0</v>
      </c>
      <c r="J13" s="1" t="str">
        <f>IFERROR(INDEX('Current AR'!P$6:P$103,MATCH(8,'Current AR'!X$6:X$103,0)),"")</f>
        <v>Review assigned fictional balance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 t="str">
        <f>IFERROR(INDEX('Current AR'!A$6:A$103,MATCH(9,'Current AR'!X$6:X$103,0)),"")</f>
        <v>Customer 03</v>
      </c>
      <c r="B14" s="1" t="str">
        <f>IFERROR(INDEX('Current AR'!D$6:D$103,MATCH(9,'Current AR'!X$6:X$103,0)),"")</f>
        <v>000009</v>
      </c>
      <c r="C14" s="1" t="str">
        <f>IFERROR(INDEX('Current AR'!C$6:C$103,MATCH(9,'Current AR'!X$6:X$103,0)),"")</f>
        <v>CAL-current-009</v>
      </c>
      <c r="D14" s="4">
        <f>IFERROR(INDEX('Current AR'!F$6:F$103,MATCH(9,'Current AR'!X$6:X$103,0)),"")</f>
        <v>45743</v>
      </c>
      <c r="E14" s="5">
        <f>IFERROR(INDEX('Current AR'!I$6:I$103,MATCH(9,'Current AR'!X$6:X$103,0)),"")</f>
        <v>362717789</v>
      </c>
      <c r="F14" s="1">
        <f>IFERROR(INDEX('Current AR'!Q$6:Q$103,MATCH(9,'Current AR'!X$6:X$103,0)),"")</f>
        <v>34</v>
      </c>
      <c r="G14" s="1" t="str">
        <f>IFERROR(INDEX('Current AR'!J$6:J$103,MATCH(9,'Current AR'!X$6:X$103,0)),"")</f>
        <v>Staff 01</v>
      </c>
      <c r="H14" s="4">
        <f>IFERROR(INDEX('Current AR'!N$6:N$103,MATCH(9,'Current AR'!X$6:X$103,0)),"")</f>
        <v>0</v>
      </c>
      <c r="I14" s="4">
        <f>IFERROR(INDEX('Current AR'!O$6:O$103,MATCH(9,'Current AR'!X$6:X$103,0)),"")</f>
        <v>0</v>
      </c>
      <c r="J14" s="1" t="str">
        <f>IFERROR(INDEX('Current AR'!P$6:P$103,MATCH(9,'Current AR'!X$6:X$103,0)),"")</f>
        <v>Review assigned fictional balance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 t="str">
        <f>IFERROR(INDEX('Current AR'!A$6:A$103,MATCH(10,'Current AR'!X$6:X$103,0)),"")</f>
        <v>Customer 03</v>
      </c>
      <c r="B15" s="1" t="str">
        <f>IFERROR(INDEX('Current AR'!D$6:D$103,MATCH(10,'Current AR'!X$6:X$103,0)),"")</f>
        <v>000010</v>
      </c>
      <c r="C15" s="1" t="str">
        <f>IFERROR(INDEX('Current AR'!C$6:C$103,MATCH(10,'Current AR'!X$6:X$103,0)),"")</f>
        <v>CAL-current-010</v>
      </c>
      <c r="D15" s="4">
        <f>IFERROR(INDEX('Current AR'!F$6:F$103,MATCH(10,'Current AR'!X$6:X$103,0)),"")</f>
        <v>45742</v>
      </c>
      <c r="E15" s="5">
        <f>IFERROR(INDEX('Current AR'!I$6:I$103,MATCH(10,'Current AR'!X$6:X$103,0)),"")</f>
        <v>182966804</v>
      </c>
      <c r="F15" s="1">
        <f>IFERROR(INDEX('Current AR'!Q$6:Q$103,MATCH(10,'Current AR'!X$6:X$103,0)),"")</f>
        <v>35</v>
      </c>
      <c r="G15" s="1" t="str">
        <f>IFERROR(INDEX('Current AR'!J$6:J$103,MATCH(10,'Current AR'!X$6:X$103,0)),"")</f>
        <v>Staff 01</v>
      </c>
      <c r="H15" s="4">
        <f>IFERROR(INDEX('Current AR'!N$6:N$103,MATCH(10,'Current AR'!X$6:X$103,0)),"")</f>
        <v>0</v>
      </c>
      <c r="I15" s="4">
        <f>IFERROR(INDEX('Current AR'!O$6:O$103,MATCH(10,'Current AR'!X$6:X$103,0)),"")</f>
        <v>0</v>
      </c>
      <c r="J15" s="1" t="str">
        <f>IFERROR(INDEX('Current AR'!P$6:P$103,MATCH(10,'Current AR'!X$6:X$103,0)),"")</f>
        <v>Review assigned fictional balance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 t="str">
        <f>IFERROR(INDEX('Current AR'!A$6:A$103,MATCH(11,'Current AR'!X$6:X$103,0)),"")</f>
        <v>Customer 03</v>
      </c>
      <c r="B16" s="1" t="str">
        <f>IFERROR(INDEX('Current AR'!D$6:D$103,MATCH(11,'Current AR'!X$6:X$103,0)),"")</f>
        <v>000011</v>
      </c>
      <c r="C16" s="1" t="str">
        <f>IFERROR(INDEX('Current AR'!C$6:C$103,MATCH(11,'Current AR'!X$6:X$103,0)),"")</f>
        <v>CAL-current-011</v>
      </c>
      <c r="D16" s="4">
        <f>IFERROR(INDEX('Current AR'!F$6:F$103,MATCH(11,'Current AR'!X$6:X$103,0)),"")</f>
        <v>45766</v>
      </c>
      <c r="E16" s="5">
        <f>IFERROR(INDEX('Current AR'!I$6:I$103,MATCH(11,'Current AR'!X$6:X$103,0)),"")</f>
        <v>429605630.87</v>
      </c>
      <c r="F16" s="1">
        <f>IFERROR(INDEX('Current AR'!Q$6:Q$103,MATCH(11,'Current AR'!X$6:X$103,0)),"")</f>
        <v>11</v>
      </c>
      <c r="G16" s="1" t="str">
        <f>IFERROR(INDEX('Current AR'!J$6:J$103,MATCH(11,'Current AR'!X$6:X$103,0)),"")</f>
        <v>Staff 01</v>
      </c>
      <c r="H16" s="4">
        <f>IFERROR(INDEX('Current AR'!N$6:N$103,MATCH(11,'Current AR'!X$6:X$103,0)),"")</f>
        <v>0</v>
      </c>
      <c r="I16" s="4">
        <f>IFERROR(INDEX('Current AR'!O$6:O$103,MATCH(11,'Current AR'!X$6:X$103,0)),"")</f>
        <v>0</v>
      </c>
      <c r="J16" s="1" t="str">
        <f>IFERROR(INDEX('Current AR'!P$6:P$103,MATCH(11,'Current AR'!X$6:X$103,0)),"")</f>
        <v>Review assigned fictional balance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 s="1" t="str">
        <f>IFERROR(INDEX('Current AR'!A$6:A$103,MATCH(12,'Current AR'!X$6:X$103,0)),"")</f>
        <v>Customer 03</v>
      </c>
      <c r="B17" s="1" t="str">
        <f>IFERROR(INDEX('Current AR'!D$6:D$103,MATCH(12,'Current AR'!X$6:X$103,0)),"")</f>
        <v>000012</v>
      </c>
      <c r="C17" s="1" t="str">
        <f>IFERROR(INDEX('Current AR'!C$6:C$103,MATCH(12,'Current AR'!X$6:X$103,0)),"")</f>
        <v>CAL-current-012</v>
      </c>
      <c r="D17" s="4">
        <f>IFERROR(INDEX('Current AR'!F$6:F$103,MATCH(12,'Current AR'!X$6:X$103,0)),"")</f>
        <v>45766</v>
      </c>
      <c r="E17" s="5">
        <f>IFERROR(INDEX('Current AR'!I$6:I$103,MATCH(12,'Current AR'!X$6:X$103,0)),"")</f>
        <v>461808975.04000002</v>
      </c>
      <c r="F17" s="1">
        <f>IFERROR(INDEX('Current AR'!Q$6:Q$103,MATCH(12,'Current AR'!X$6:X$103,0)),"")</f>
        <v>11</v>
      </c>
      <c r="G17" s="1" t="str">
        <f>IFERROR(INDEX('Current AR'!J$6:J$103,MATCH(12,'Current AR'!X$6:X$103,0)),"")</f>
        <v>Staff 01</v>
      </c>
      <c r="H17" s="4">
        <f>IFERROR(INDEX('Current AR'!N$6:N$103,MATCH(12,'Current AR'!X$6:X$103,0)),"")</f>
        <v>0</v>
      </c>
      <c r="I17" s="4">
        <f>IFERROR(INDEX('Current AR'!O$6:O$103,MATCH(12,'Current AR'!X$6:X$103,0)),"")</f>
        <v>0</v>
      </c>
      <c r="J17" s="1" t="str">
        <f>IFERROR(INDEX('Current AR'!P$6:P$103,MATCH(12,'Current AR'!X$6:X$103,0)),"")</f>
        <v>Review assigned fictional balance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 t="str">
        <f>IFERROR(INDEX('Current AR'!A$6:A$103,MATCH(13,'Current AR'!X$6:X$103,0)),"")</f>
        <v>Customer 03</v>
      </c>
      <c r="B18" s="1" t="str">
        <f>IFERROR(INDEX('Current AR'!D$6:D$103,MATCH(13,'Current AR'!X$6:X$103,0)),"")</f>
        <v>000013</v>
      </c>
      <c r="C18" s="1" t="str">
        <f>IFERROR(INDEX('Current AR'!C$6:C$103,MATCH(13,'Current AR'!X$6:X$103,0)),"")</f>
        <v>CAL-current-013</v>
      </c>
      <c r="D18" s="4">
        <f>IFERROR(INDEX('Current AR'!F$6:F$103,MATCH(13,'Current AR'!X$6:X$103,0)),"")</f>
        <v>45766</v>
      </c>
      <c r="E18" s="5">
        <f>IFERROR(INDEX('Current AR'!I$6:I$103,MATCH(13,'Current AR'!X$6:X$103,0)),"")</f>
        <v>531293041.81999999</v>
      </c>
      <c r="F18" s="1">
        <f>IFERROR(INDEX('Current AR'!Q$6:Q$103,MATCH(13,'Current AR'!X$6:X$103,0)),"")</f>
        <v>11</v>
      </c>
      <c r="G18" s="1" t="str">
        <f>IFERROR(INDEX('Current AR'!J$6:J$103,MATCH(13,'Current AR'!X$6:X$103,0)),"")</f>
        <v>Staff 01</v>
      </c>
      <c r="H18" s="4">
        <f>IFERROR(INDEX('Current AR'!N$6:N$103,MATCH(13,'Current AR'!X$6:X$103,0)),"")</f>
        <v>0</v>
      </c>
      <c r="I18" s="4">
        <f>IFERROR(INDEX('Current AR'!O$6:O$103,MATCH(13,'Current AR'!X$6:X$103,0)),"")</f>
        <v>0</v>
      </c>
      <c r="J18" s="1" t="str">
        <f>IFERROR(INDEX('Current AR'!P$6:P$103,MATCH(13,'Current AR'!X$6:X$103,0)),"")</f>
        <v>Review assigned fictional balance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 t="str">
        <f>IFERROR(INDEX('Current AR'!A$6:A$103,MATCH(14,'Current AR'!X$6:X$103,0)),"")</f>
        <v>Customer 03</v>
      </c>
      <c r="B19" s="1" t="str">
        <f>IFERROR(INDEX('Current AR'!D$6:D$103,MATCH(14,'Current AR'!X$6:X$103,0)),"")</f>
        <v>000014</v>
      </c>
      <c r="C19" s="1" t="str">
        <f>IFERROR(INDEX('Current AR'!C$6:C$103,MATCH(14,'Current AR'!X$6:X$103,0)),"")</f>
        <v>CAL-current-014</v>
      </c>
      <c r="D19" s="4">
        <f>IFERROR(INDEX('Current AR'!F$6:F$103,MATCH(14,'Current AR'!X$6:X$103,0)),"")</f>
        <v>45766</v>
      </c>
      <c r="E19" s="5">
        <f>IFERROR(INDEX('Current AR'!I$6:I$103,MATCH(14,'Current AR'!X$6:X$103,0)),"")</f>
        <v>285273299.26999998</v>
      </c>
      <c r="F19" s="1">
        <f>IFERROR(INDEX('Current AR'!Q$6:Q$103,MATCH(14,'Current AR'!X$6:X$103,0)),"")</f>
        <v>11</v>
      </c>
      <c r="G19" s="1" t="str">
        <f>IFERROR(INDEX('Current AR'!J$6:J$103,MATCH(14,'Current AR'!X$6:X$103,0)),"")</f>
        <v>Staff 01</v>
      </c>
      <c r="H19" s="4">
        <f>IFERROR(INDEX('Current AR'!N$6:N$103,MATCH(14,'Current AR'!X$6:X$103,0)),"")</f>
        <v>0</v>
      </c>
      <c r="I19" s="4">
        <f>IFERROR(INDEX('Current AR'!O$6:O$103,MATCH(14,'Current AR'!X$6:X$103,0)),"")</f>
        <v>0</v>
      </c>
      <c r="J19" s="1" t="str">
        <f>IFERROR(INDEX('Current AR'!P$6:P$103,MATCH(14,'Current AR'!X$6:X$103,0)),"")</f>
        <v>Review assigned fictional balance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 t="str">
        <f>IFERROR(INDEX('Current AR'!A$6:A$103,MATCH(15,'Current AR'!X$6:X$103,0)),"")</f>
        <v>Customer 03</v>
      </c>
      <c r="B20" s="1" t="str">
        <f>IFERROR(INDEX('Current AR'!D$6:D$103,MATCH(15,'Current AR'!X$6:X$103,0)),"")</f>
        <v>000015</v>
      </c>
      <c r="C20" s="1" t="str">
        <f>IFERROR(INDEX('Current AR'!C$6:C$103,MATCH(15,'Current AR'!X$6:X$103,0)),"")</f>
        <v>CAL-current-015</v>
      </c>
      <c r="D20" s="4">
        <f>IFERROR(INDEX('Current AR'!F$6:F$103,MATCH(15,'Current AR'!X$6:X$103,0)),"")</f>
        <v>45765</v>
      </c>
      <c r="E20" s="5">
        <f>IFERROR(INDEX('Current AR'!I$6:I$103,MATCH(15,'Current AR'!X$6:X$103,0)),"")</f>
        <v>62500137.729999997</v>
      </c>
      <c r="F20" s="1">
        <f>IFERROR(INDEX('Current AR'!Q$6:Q$103,MATCH(15,'Current AR'!X$6:X$103,0)),"")</f>
        <v>12</v>
      </c>
      <c r="G20" s="1" t="str">
        <f>IFERROR(INDEX('Current AR'!J$6:J$103,MATCH(15,'Current AR'!X$6:X$103,0)),"")</f>
        <v>Staff 01</v>
      </c>
      <c r="H20" s="4">
        <f>IFERROR(INDEX('Current AR'!N$6:N$103,MATCH(15,'Current AR'!X$6:X$103,0)),"")</f>
        <v>0</v>
      </c>
      <c r="I20" s="4">
        <f>IFERROR(INDEX('Current AR'!O$6:O$103,MATCH(15,'Current AR'!X$6:X$103,0)),"")</f>
        <v>0</v>
      </c>
      <c r="J20" s="1" t="str">
        <f>IFERROR(INDEX('Current AR'!P$6:P$103,MATCH(15,'Current AR'!X$6:X$103,0)),"")</f>
        <v>Review assigned fictional balance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 t="str">
        <f>IFERROR(INDEX('Current AR'!A$6:A$103,MATCH(16,'Current AR'!X$6:X$103,0)),"")</f>
        <v>Customer 03</v>
      </c>
      <c r="B21" s="1" t="str">
        <f>IFERROR(INDEX('Current AR'!D$6:D$103,MATCH(16,'Current AR'!X$6:X$103,0)),"")</f>
        <v>000016</v>
      </c>
      <c r="C21" s="1" t="str">
        <f>IFERROR(INDEX('Current AR'!C$6:C$103,MATCH(16,'Current AR'!X$6:X$103,0)),"")</f>
        <v>CAL-current-016</v>
      </c>
      <c r="D21" s="4">
        <f>IFERROR(INDEX('Current AR'!F$6:F$103,MATCH(16,'Current AR'!X$6:X$103,0)),"")</f>
        <v>45765</v>
      </c>
      <c r="E21" s="5">
        <f>IFERROR(INDEX('Current AR'!I$6:I$103,MATCH(16,'Current AR'!X$6:X$103,0)),"")</f>
        <v>52110700.450000003</v>
      </c>
      <c r="F21" s="1">
        <f>IFERROR(INDEX('Current AR'!Q$6:Q$103,MATCH(16,'Current AR'!X$6:X$103,0)),"")</f>
        <v>12</v>
      </c>
      <c r="G21" s="1" t="str">
        <f>IFERROR(INDEX('Current AR'!J$6:J$103,MATCH(16,'Current AR'!X$6:X$103,0)),"")</f>
        <v>Staff 01</v>
      </c>
      <c r="H21" s="4">
        <f>IFERROR(INDEX('Current AR'!N$6:N$103,MATCH(16,'Current AR'!X$6:X$103,0)),"")</f>
        <v>0</v>
      </c>
      <c r="I21" s="4">
        <f>IFERROR(INDEX('Current AR'!O$6:O$103,MATCH(16,'Current AR'!X$6:X$103,0)),"")</f>
        <v>0</v>
      </c>
      <c r="J21" s="1" t="str">
        <f>IFERROR(INDEX('Current AR'!P$6:P$103,MATCH(16,'Current AR'!X$6:X$103,0)),"")</f>
        <v>Review assigned fictional balance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 t="str">
        <f>IFERROR(INDEX('Current AR'!A$6:A$103,MATCH(17,'Current AR'!X$6:X$103,0)),"")</f>
        <v>Customer 03</v>
      </c>
      <c r="B22" s="1" t="str">
        <f>IFERROR(INDEX('Current AR'!D$6:D$103,MATCH(17,'Current AR'!X$6:X$103,0)),"")</f>
        <v>000017</v>
      </c>
      <c r="C22" s="1" t="str">
        <f>IFERROR(INDEX('Current AR'!C$6:C$103,MATCH(17,'Current AR'!X$6:X$103,0)),"")</f>
        <v>CAL-current-017</v>
      </c>
      <c r="D22" s="4">
        <f>IFERROR(INDEX('Current AR'!F$6:F$103,MATCH(17,'Current AR'!X$6:X$103,0)),"")</f>
        <v>45765</v>
      </c>
      <c r="E22" s="5">
        <f>IFERROR(INDEX('Current AR'!I$6:I$103,MATCH(17,'Current AR'!X$6:X$103,0)),"")</f>
        <v>92584409.5</v>
      </c>
      <c r="F22" s="1">
        <f>IFERROR(INDEX('Current AR'!Q$6:Q$103,MATCH(17,'Current AR'!X$6:X$103,0)),"")</f>
        <v>12</v>
      </c>
      <c r="G22" s="1" t="str">
        <f>IFERROR(INDEX('Current AR'!J$6:J$103,MATCH(17,'Current AR'!X$6:X$103,0)),"")</f>
        <v>Staff 01</v>
      </c>
      <c r="H22" s="4">
        <f>IFERROR(INDEX('Current AR'!N$6:N$103,MATCH(17,'Current AR'!X$6:X$103,0)),"")</f>
        <v>0</v>
      </c>
      <c r="I22" s="4">
        <f>IFERROR(INDEX('Current AR'!O$6:O$103,MATCH(17,'Current AR'!X$6:X$103,0)),"")</f>
        <v>0</v>
      </c>
      <c r="J22" s="1" t="str">
        <f>IFERROR(INDEX('Current AR'!P$6:P$103,MATCH(17,'Current AR'!X$6:X$103,0)),"")</f>
        <v>Review assigned fictional balance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 t="str">
        <f>IFERROR(INDEX('Current AR'!A$6:A$103,MATCH(18,'Current AR'!X$6:X$103,0)),"")</f>
        <v>Customer 03</v>
      </c>
      <c r="B23" s="1" t="str">
        <f>IFERROR(INDEX('Current AR'!D$6:D$103,MATCH(18,'Current AR'!X$6:X$103,0)),"")</f>
        <v>000018</v>
      </c>
      <c r="C23" s="1" t="str">
        <f>IFERROR(INDEX('Current AR'!C$6:C$103,MATCH(18,'Current AR'!X$6:X$103,0)),"")</f>
        <v>CAL-current-018</v>
      </c>
      <c r="D23" s="4">
        <f>IFERROR(INDEX('Current AR'!F$6:F$103,MATCH(18,'Current AR'!X$6:X$103,0)),"")</f>
        <v>45765</v>
      </c>
      <c r="E23" s="5">
        <f>IFERROR(INDEX('Current AR'!I$6:I$103,MATCH(18,'Current AR'!X$6:X$103,0)),"")</f>
        <v>94551211.319999993</v>
      </c>
      <c r="F23" s="1">
        <f>IFERROR(INDEX('Current AR'!Q$6:Q$103,MATCH(18,'Current AR'!X$6:X$103,0)),"")</f>
        <v>12</v>
      </c>
      <c r="G23" s="1" t="str">
        <f>IFERROR(INDEX('Current AR'!J$6:J$103,MATCH(18,'Current AR'!X$6:X$103,0)),"")</f>
        <v>Staff 01</v>
      </c>
      <c r="H23" s="4">
        <f>IFERROR(INDEX('Current AR'!N$6:N$103,MATCH(18,'Current AR'!X$6:X$103,0)),"")</f>
        <v>0</v>
      </c>
      <c r="I23" s="4">
        <f>IFERROR(INDEX('Current AR'!O$6:O$103,MATCH(18,'Current AR'!X$6:X$103,0)),"")</f>
        <v>0</v>
      </c>
      <c r="J23" s="1" t="str">
        <f>IFERROR(INDEX('Current AR'!P$6:P$103,MATCH(18,'Current AR'!X$6:X$103,0)),"")</f>
        <v>Review assigned fictional balance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 t="str">
        <f>IFERROR(INDEX('Current AR'!A$6:A$103,MATCH(19,'Current AR'!X$6:X$103,0)),"")</f>
        <v>Customer 03</v>
      </c>
      <c r="B24" s="1" t="str">
        <f>IFERROR(INDEX('Current AR'!D$6:D$103,MATCH(19,'Current AR'!X$6:X$103,0)),"")</f>
        <v>000019</v>
      </c>
      <c r="C24" s="1" t="str">
        <f>IFERROR(INDEX('Current AR'!C$6:C$103,MATCH(19,'Current AR'!X$6:X$103,0)),"")</f>
        <v>CAL-current-019</v>
      </c>
      <c r="D24" s="4">
        <f>IFERROR(INDEX('Current AR'!F$6:F$103,MATCH(19,'Current AR'!X$6:X$103,0)),"")</f>
        <v>45777</v>
      </c>
      <c r="E24" s="5">
        <f>IFERROR(INDEX('Current AR'!I$6:I$103,MATCH(19,'Current AR'!X$6:X$103,0)),"")</f>
        <v>36887245</v>
      </c>
      <c r="F24" s="1">
        <f>IFERROR(INDEX('Current AR'!Q$6:Q$103,MATCH(19,'Current AR'!X$6:X$103,0)),"")</f>
        <v>0</v>
      </c>
      <c r="G24" s="1" t="str">
        <f>IFERROR(INDEX('Current AR'!J$6:J$103,MATCH(19,'Current AR'!X$6:X$103,0)),"")</f>
        <v>Staff 01</v>
      </c>
      <c r="H24" s="4">
        <f>IFERROR(INDEX('Current AR'!N$6:N$103,MATCH(19,'Current AR'!X$6:X$103,0)),"")</f>
        <v>0</v>
      </c>
      <c r="I24" s="4">
        <f>IFERROR(INDEX('Current AR'!O$6:O$103,MATCH(19,'Current AR'!X$6:X$103,0)),"")</f>
        <v>0</v>
      </c>
      <c r="J24" s="1" t="str">
        <f>IFERROR(INDEX('Current AR'!P$6:P$103,MATCH(19,'Current AR'!X$6:X$103,0)),"")</f>
        <v>Review assigned fictional balance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 t="str">
        <f>IFERROR(INDEX('Current AR'!A$6:A$103,MATCH(20,'Current AR'!X$6:X$103,0)),"")</f>
        <v>Customer 03</v>
      </c>
      <c r="B25" s="1" t="str">
        <f>IFERROR(INDEX('Current AR'!D$6:D$103,MATCH(20,'Current AR'!X$6:X$103,0)),"")</f>
        <v>000020</v>
      </c>
      <c r="C25" s="1" t="str">
        <f>IFERROR(INDEX('Current AR'!C$6:C$103,MATCH(20,'Current AR'!X$6:X$103,0)),"")</f>
        <v>CAL-current-020</v>
      </c>
      <c r="D25" s="4">
        <f>IFERROR(INDEX('Current AR'!F$6:F$103,MATCH(20,'Current AR'!X$6:X$103,0)),"")</f>
        <v>45784</v>
      </c>
      <c r="E25" s="5">
        <f>IFERROR(INDEX('Current AR'!I$6:I$103,MATCH(20,'Current AR'!X$6:X$103,0)),"")</f>
        <v>657084257.27999997</v>
      </c>
      <c r="F25" s="1">
        <f>IFERROR(INDEX('Current AR'!Q$6:Q$103,MATCH(20,'Current AR'!X$6:X$103,0)),"")</f>
        <v>-7</v>
      </c>
      <c r="G25" s="1" t="str">
        <f>IFERROR(INDEX('Current AR'!J$6:J$103,MATCH(20,'Current AR'!X$6:X$103,0)),"")</f>
        <v>Staff 01</v>
      </c>
      <c r="H25" s="4">
        <f>IFERROR(INDEX('Current AR'!N$6:N$103,MATCH(20,'Current AR'!X$6:X$103,0)),"")</f>
        <v>0</v>
      </c>
      <c r="I25" s="4">
        <f>IFERROR(INDEX('Current AR'!O$6:O$103,MATCH(20,'Current AR'!X$6:X$103,0)),"")</f>
        <v>0</v>
      </c>
      <c r="J25" s="1" t="str">
        <f>IFERROR(INDEX('Current AR'!P$6:P$103,MATCH(20,'Current AR'!X$6:X$103,0)),"")</f>
        <v>Review assigned fictional balance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 t="str">
        <f>IFERROR(INDEX('Current AR'!A$6:A$103,MATCH(21,'Current AR'!X$6:X$103,0)),"")</f>
        <v>Customer 03</v>
      </c>
      <c r="B26" s="1" t="str">
        <f>IFERROR(INDEX('Current AR'!D$6:D$103,MATCH(21,'Current AR'!X$6:X$103,0)),"")</f>
        <v>000021</v>
      </c>
      <c r="C26" s="1" t="str">
        <f>IFERROR(INDEX('Current AR'!C$6:C$103,MATCH(21,'Current AR'!X$6:X$103,0)),"")</f>
        <v>CAL-current-021</v>
      </c>
      <c r="D26" s="4">
        <f>IFERROR(INDEX('Current AR'!F$6:F$103,MATCH(21,'Current AR'!X$6:X$103,0)),"")</f>
        <v>45784</v>
      </c>
      <c r="E26" s="5">
        <f>IFERROR(INDEX('Current AR'!I$6:I$103,MATCH(21,'Current AR'!X$6:X$103,0)),"")</f>
        <v>433178391.31</v>
      </c>
      <c r="F26" s="1">
        <f>IFERROR(INDEX('Current AR'!Q$6:Q$103,MATCH(21,'Current AR'!X$6:X$103,0)),"")</f>
        <v>-7</v>
      </c>
      <c r="G26" s="1" t="str">
        <f>IFERROR(INDEX('Current AR'!J$6:J$103,MATCH(21,'Current AR'!X$6:X$103,0)),"")</f>
        <v>Staff 01</v>
      </c>
      <c r="H26" s="4">
        <f>IFERROR(INDEX('Current AR'!N$6:N$103,MATCH(21,'Current AR'!X$6:X$103,0)),"")</f>
        <v>0</v>
      </c>
      <c r="I26" s="4">
        <f>IFERROR(INDEX('Current AR'!O$6:O$103,MATCH(21,'Current AR'!X$6:X$103,0)),"")</f>
        <v>0</v>
      </c>
      <c r="J26" s="1" t="str">
        <f>IFERROR(INDEX('Current AR'!P$6:P$103,MATCH(21,'Current AR'!X$6:X$103,0)),"")</f>
        <v>Review assigned fictional balance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 t="str">
        <f>IFERROR(INDEX('Current AR'!A$6:A$103,MATCH(22,'Current AR'!X$6:X$103,0)),"")</f>
        <v>Customer 03</v>
      </c>
      <c r="B27" s="1" t="str">
        <f>IFERROR(INDEX('Current AR'!D$6:D$103,MATCH(22,'Current AR'!X$6:X$103,0)),"")</f>
        <v>000022</v>
      </c>
      <c r="C27" s="1" t="str">
        <f>IFERROR(INDEX('Current AR'!C$6:C$103,MATCH(22,'Current AR'!X$6:X$103,0)),"")</f>
        <v>CAL-current-022</v>
      </c>
      <c r="D27" s="4">
        <f>IFERROR(INDEX('Current AR'!F$6:F$103,MATCH(22,'Current AR'!X$6:X$103,0)),"")</f>
        <v>45784</v>
      </c>
      <c r="E27" s="5">
        <f>IFERROR(INDEX('Current AR'!I$6:I$103,MATCH(22,'Current AR'!X$6:X$103,0)),"")</f>
        <v>709063822.67999995</v>
      </c>
      <c r="F27" s="1">
        <f>IFERROR(INDEX('Current AR'!Q$6:Q$103,MATCH(22,'Current AR'!X$6:X$103,0)),"")</f>
        <v>-7</v>
      </c>
      <c r="G27" s="1" t="str">
        <f>IFERROR(INDEX('Current AR'!J$6:J$103,MATCH(22,'Current AR'!X$6:X$103,0)),"")</f>
        <v>Staff 01</v>
      </c>
      <c r="H27" s="4">
        <f>IFERROR(INDEX('Current AR'!N$6:N$103,MATCH(22,'Current AR'!X$6:X$103,0)),"")</f>
        <v>0</v>
      </c>
      <c r="I27" s="4">
        <f>IFERROR(INDEX('Current AR'!O$6:O$103,MATCH(22,'Current AR'!X$6:X$103,0)),"")</f>
        <v>0</v>
      </c>
      <c r="J27" s="1" t="str">
        <f>IFERROR(INDEX('Current AR'!P$6:P$103,MATCH(22,'Current AR'!X$6:X$103,0)),"")</f>
        <v>Review assigned fictional balance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 t="str">
        <f>IFERROR(INDEX('Current AR'!A$6:A$103,MATCH(23,'Current AR'!X$6:X$103,0)),"")</f>
        <v>Customer 03</v>
      </c>
      <c r="B28" s="1" t="str">
        <f>IFERROR(INDEX('Current AR'!D$6:D$103,MATCH(23,'Current AR'!X$6:X$103,0)),"")</f>
        <v>000023</v>
      </c>
      <c r="C28" s="1" t="str">
        <f>IFERROR(INDEX('Current AR'!C$6:C$103,MATCH(23,'Current AR'!X$6:X$103,0)),"")</f>
        <v>CAL-current-023</v>
      </c>
      <c r="D28" s="4">
        <f>IFERROR(INDEX('Current AR'!F$6:F$103,MATCH(23,'Current AR'!X$6:X$103,0)),"")</f>
        <v>45784</v>
      </c>
      <c r="E28" s="5">
        <f>IFERROR(INDEX('Current AR'!I$6:I$103,MATCH(23,'Current AR'!X$6:X$103,0)),"")</f>
        <v>458134758.73000002</v>
      </c>
      <c r="F28" s="1">
        <f>IFERROR(INDEX('Current AR'!Q$6:Q$103,MATCH(23,'Current AR'!X$6:X$103,0)),"")</f>
        <v>-7</v>
      </c>
      <c r="G28" s="1" t="str">
        <f>IFERROR(INDEX('Current AR'!J$6:J$103,MATCH(23,'Current AR'!X$6:X$103,0)),"")</f>
        <v>Staff 01</v>
      </c>
      <c r="H28" s="4">
        <f>IFERROR(INDEX('Current AR'!N$6:N$103,MATCH(23,'Current AR'!X$6:X$103,0)),"")</f>
        <v>0</v>
      </c>
      <c r="I28" s="4">
        <f>IFERROR(INDEX('Current AR'!O$6:O$103,MATCH(23,'Current AR'!X$6:X$103,0)),"")</f>
        <v>0</v>
      </c>
      <c r="J28" s="1" t="str">
        <f>IFERROR(INDEX('Current AR'!P$6:P$103,MATCH(23,'Current AR'!X$6:X$103,0)),"")</f>
        <v>Review assigned fictional balance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 t="str">
        <f>IFERROR(INDEX('Current AR'!A$6:A$103,MATCH(24,'Current AR'!X$6:X$103,0)),"")</f>
        <v>Customer 03</v>
      </c>
      <c r="B29" s="1" t="str">
        <f>IFERROR(INDEX('Current AR'!D$6:D$103,MATCH(24,'Current AR'!X$6:X$103,0)),"")</f>
        <v>000024</v>
      </c>
      <c r="C29" s="1" t="str">
        <f>IFERROR(INDEX('Current AR'!C$6:C$103,MATCH(24,'Current AR'!X$6:X$103,0)),"")</f>
        <v>CAL-current-024</v>
      </c>
      <c r="D29" s="4">
        <f>IFERROR(INDEX('Current AR'!F$6:F$103,MATCH(24,'Current AR'!X$6:X$103,0)),"")</f>
        <v>45783</v>
      </c>
      <c r="E29" s="5">
        <f>IFERROR(INDEX('Current AR'!I$6:I$103,MATCH(24,'Current AR'!X$6:X$103,0)),"")</f>
        <v>119558968.67</v>
      </c>
      <c r="F29" s="1">
        <f>IFERROR(INDEX('Current AR'!Q$6:Q$103,MATCH(24,'Current AR'!X$6:X$103,0)),"")</f>
        <v>-6</v>
      </c>
      <c r="G29" s="1" t="str">
        <f>IFERROR(INDEX('Current AR'!J$6:J$103,MATCH(24,'Current AR'!X$6:X$103,0)),"")</f>
        <v>Staff 01</v>
      </c>
      <c r="H29" s="4">
        <f>IFERROR(INDEX('Current AR'!N$6:N$103,MATCH(24,'Current AR'!X$6:X$103,0)),"")</f>
        <v>0</v>
      </c>
      <c r="I29" s="4">
        <f>IFERROR(INDEX('Current AR'!O$6:O$103,MATCH(24,'Current AR'!X$6:X$103,0)),"")</f>
        <v>0</v>
      </c>
      <c r="J29" s="1" t="str">
        <f>IFERROR(INDEX('Current AR'!P$6:P$103,MATCH(24,'Current AR'!X$6:X$103,0)),"")</f>
        <v>Review assigned fictional balance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 t="str">
        <f>IFERROR(INDEX('Current AR'!A$6:A$103,MATCH(25,'Current AR'!X$6:X$103,0)),"")</f>
        <v>Customer 03</v>
      </c>
      <c r="B30" s="1" t="str">
        <f>IFERROR(INDEX('Current AR'!D$6:D$103,MATCH(25,'Current AR'!X$6:X$103,0)),"")</f>
        <v>000025</v>
      </c>
      <c r="C30" s="1" t="str">
        <f>IFERROR(INDEX('Current AR'!C$6:C$103,MATCH(25,'Current AR'!X$6:X$103,0)),"")</f>
        <v>CAL-current-025</v>
      </c>
      <c r="D30" s="4">
        <f>IFERROR(INDEX('Current AR'!F$6:F$103,MATCH(25,'Current AR'!X$6:X$103,0)),"")</f>
        <v>45783</v>
      </c>
      <c r="E30" s="5">
        <f>IFERROR(INDEX('Current AR'!I$6:I$103,MATCH(25,'Current AR'!X$6:X$103,0)),"")</f>
        <v>58920259.57</v>
      </c>
      <c r="F30" s="1">
        <f>IFERROR(INDEX('Current AR'!Q$6:Q$103,MATCH(25,'Current AR'!X$6:X$103,0)),"")</f>
        <v>-6</v>
      </c>
      <c r="G30" s="1" t="str">
        <f>IFERROR(INDEX('Current AR'!J$6:J$103,MATCH(25,'Current AR'!X$6:X$103,0)),"")</f>
        <v>Staff 01</v>
      </c>
      <c r="H30" s="4">
        <f>IFERROR(INDEX('Current AR'!N$6:N$103,MATCH(25,'Current AR'!X$6:X$103,0)),"")</f>
        <v>0</v>
      </c>
      <c r="I30" s="4">
        <f>IFERROR(INDEX('Current AR'!O$6:O$103,MATCH(25,'Current AR'!X$6:X$103,0)),"")</f>
        <v>0</v>
      </c>
      <c r="J30" s="1" t="str">
        <f>IFERROR(INDEX('Current AR'!P$6:P$103,MATCH(25,'Current AR'!X$6:X$103,0)),"")</f>
        <v>Review assigned fictional balance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 t="str">
        <f>IFERROR(INDEX('Current AR'!A$6:A$103,MATCH(26,'Current AR'!X$6:X$103,0)),"")</f>
        <v>Customer 03</v>
      </c>
      <c r="B31" s="1" t="str">
        <f>IFERROR(INDEX('Current AR'!D$6:D$103,MATCH(26,'Current AR'!X$6:X$103,0)),"")</f>
        <v>000026</v>
      </c>
      <c r="C31" s="1" t="str">
        <f>IFERROR(INDEX('Current AR'!C$6:C$103,MATCH(26,'Current AR'!X$6:X$103,0)),"")</f>
        <v>CAL-current-026</v>
      </c>
      <c r="D31" s="4">
        <f>IFERROR(INDEX('Current AR'!F$6:F$103,MATCH(26,'Current AR'!X$6:X$103,0)),"")</f>
        <v>45783</v>
      </c>
      <c r="E31" s="5">
        <f>IFERROR(INDEX('Current AR'!I$6:I$103,MATCH(26,'Current AR'!X$6:X$103,0)),"")</f>
        <v>132084752.69</v>
      </c>
      <c r="F31" s="1">
        <f>IFERROR(INDEX('Current AR'!Q$6:Q$103,MATCH(26,'Current AR'!X$6:X$103,0)),"")</f>
        <v>-6</v>
      </c>
      <c r="G31" s="1" t="str">
        <f>IFERROR(INDEX('Current AR'!J$6:J$103,MATCH(26,'Current AR'!X$6:X$103,0)),"")</f>
        <v>Staff 01</v>
      </c>
      <c r="H31" s="4">
        <f>IFERROR(INDEX('Current AR'!N$6:N$103,MATCH(26,'Current AR'!X$6:X$103,0)),"")</f>
        <v>0</v>
      </c>
      <c r="I31" s="4">
        <f>IFERROR(INDEX('Current AR'!O$6:O$103,MATCH(26,'Current AR'!X$6:X$103,0)),"")</f>
        <v>0</v>
      </c>
      <c r="J31" s="1" t="str">
        <f>IFERROR(INDEX('Current AR'!P$6:P$103,MATCH(26,'Current AR'!X$6:X$103,0)),"")</f>
        <v>Review assigned fictional balance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 t="str">
        <f>IFERROR(INDEX('Current AR'!A$6:A$103,MATCH(27,'Current AR'!X$6:X$103,0)),"")</f>
        <v>Customer 03</v>
      </c>
      <c r="B32" s="1" t="str">
        <f>IFERROR(INDEX('Current AR'!D$6:D$103,MATCH(27,'Current AR'!X$6:X$103,0)),"")</f>
        <v>000027</v>
      </c>
      <c r="C32" s="1" t="str">
        <f>IFERROR(INDEX('Current AR'!C$6:C$103,MATCH(27,'Current AR'!X$6:X$103,0)),"")</f>
        <v>CAL-current-027</v>
      </c>
      <c r="D32" s="4">
        <f>IFERROR(INDEX('Current AR'!F$6:F$103,MATCH(27,'Current AR'!X$6:X$103,0)),"")</f>
        <v>45783</v>
      </c>
      <c r="E32" s="5">
        <f>IFERROR(INDEX('Current AR'!I$6:I$103,MATCH(27,'Current AR'!X$6:X$103,0)),"")</f>
        <v>138081612.46000001</v>
      </c>
      <c r="F32" s="1">
        <f>IFERROR(INDEX('Current AR'!Q$6:Q$103,MATCH(27,'Current AR'!X$6:X$103,0)),"")</f>
        <v>-6</v>
      </c>
      <c r="G32" s="1" t="str">
        <f>IFERROR(INDEX('Current AR'!J$6:J$103,MATCH(27,'Current AR'!X$6:X$103,0)),"")</f>
        <v>Staff 01</v>
      </c>
      <c r="H32" s="4">
        <f>IFERROR(INDEX('Current AR'!N$6:N$103,MATCH(27,'Current AR'!X$6:X$103,0)),"")</f>
        <v>0</v>
      </c>
      <c r="I32" s="4">
        <f>IFERROR(INDEX('Current AR'!O$6:O$103,MATCH(27,'Current AR'!X$6:X$103,0)),"")</f>
        <v>0</v>
      </c>
      <c r="J32" s="1" t="str">
        <f>IFERROR(INDEX('Current AR'!P$6:P$103,MATCH(27,'Current AR'!X$6:X$103,0)),"")</f>
        <v>Review assigned fictional balance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 t="str">
        <f>IFERROR(INDEX('Current AR'!A$6:A$103,MATCH(28,'Current AR'!X$6:X$103,0)),"")</f>
        <v>Customer 03</v>
      </c>
      <c r="B33" s="1" t="str">
        <f>IFERROR(INDEX('Current AR'!D$6:D$103,MATCH(28,'Current AR'!X$6:X$103,0)),"")</f>
        <v>000028</v>
      </c>
      <c r="C33" s="1" t="str">
        <f>IFERROR(INDEX('Current AR'!C$6:C$103,MATCH(28,'Current AR'!X$6:X$103,0)),"")</f>
        <v>CAL-current-028</v>
      </c>
      <c r="D33" s="4">
        <f>IFERROR(INDEX('Current AR'!F$6:F$103,MATCH(28,'Current AR'!X$6:X$103,0)),"")</f>
        <v>45783</v>
      </c>
      <c r="E33" s="5">
        <f>IFERROR(INDEX('Current AR'!I$6:I$103,MATCH(28,'Current AR'!X$6:X$103,0)),"")</f>
        <v>110461198.61</v>
      </c>
      <c r="F33" s="1">
        <f>IFERROR(INDEX('Current AR'!Q$6:Q$103,MATCH(28,'Current AR'!X$6:X$103,0)),"")</f>
        <v>-6</v>
      </c>
      <c r="G33" s="1" t="str">
        <f>IFERROR(INDEX('Current AR'!J$6:J$103,MATCH(28,'Current AR'!X$6:X$103,0)),"")</f>
        <v>Staff 01</v>
      </c>
      <c r="H33" s="4">
        <f>IFERROR(INDEX('Current AR'!N$6:N$103,MATCH(28,'Current AR'!X$6:X$103,0)),"")</f>
        <v>0</v>
      </c>
      <c r="I33" s="4">
        <f>IFERROR(INDEX('Current AR'!O$6:O$103,MATCH(28,'Current AR'!X$6:X$103,0)),"")</f>
        <v>0</v>
      </c>
      <c r="J33" s="1" t="str">
        <f>IFERROR(INDEX('Current AR'!P$6:P$103,MATCH(28,'Current AR'!X$6:X$103,0)),"")</f>
        <v>Review assigned fictional balance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 t="str">
        <f>IFERROR(INDEX('Current AR'!A$6:A$103,MATCH(29,'Current AR'!X$6:X$103,0)),"")</f>
        <v>Customer 03</v>
      </c>
      <c r="B34" s="1" t="str">
        <f>IFERROR(INDEX('Current AR'!D$6:D$103,MATCH(29,'Current AR'!X$6:X$103,0)),"")</f>
        <v>000029</v>
      </c>
      <c r="C34" s="1" t="str">
        <f>IFERROR(INDEX('Current AR'!C$6:C$103,MATCH(29,'Current AR'!X$6:X$103,0)),"")</f>
        <v>CAL-current-029</v>
      </c>
      <c r="D34" s="4">
        <f>IFERROR(INDEX('Current AR'!F$6:F$103,MATCH(29,'Current AR'!X$6:X$103,0)),"")</f>
        <v>45785</v>
      </c>
      <c r="E34" s="5">
        <f>IFERROR(INDEX('Current AR'!I$6:I$103,MATCH(29,'Current AR'!X$6:X$103,0)),"")</f>
        <v>61980937</v>
      </c>
      <c r="F34" s="1">
        <f>IFERROR(INDEX('Current AR'!Q$6:Q$103,MATCH(29,'Current AR'!X$6:X$103,0)),"")</f>
        <v>-8</v>
      </c>
      <c r="G34" s="1" t="str">
        <f>IFERROR(INDEX('Current AR'!J$6:J$103,MATCH(29,'Current AR'!X$6:X$103,0)),"")</f>
        <v>Staff 02</v>
      </c>
      <c r="H34" s="4">
        <f>IFERROR(INDEX('Current AR'!N$6:N$103,MATCH(29,'Current AR'!X$6:X$103,0)),"")</f>
        <v>0</v>
      </c>
      <c r="I34" s="4">
        <f>IFERROR(INDEX('Current AR'!O$6:O$103,MATCH(29,'Current AR'!X$6:X$103,0)),"")</f>
        <v>0</v>
      </c>
      <c r="J34" s="1" t="str">
        <f>IFERROR(INDEX('Current AR'!P$6:P$103,MATCH(29,'Current AR'!X$6:X$103,0)),"")</f>
        <v>Review assigned fictional balance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 t="str">
        <f>IFERROR(INDEX('Current AR'!A$6:A$103,MATCH(30,'Current AR'!X$6:X$103,0)),"")</f>
        <v>Customer 03</v>
      </c>
      <c r="B35" s="1" t="str">
        <f>IFERROR(INDEX('Current AR'!D$6:D$103,MATCH(30,'Current AR'!X$6:X$103,0)),"")</f>
        <v>000030</v>
      </c>
      <c r="C35" s="1" t="str">
        <f>IFERROR(INDEX('Current AR'!C$6:C$103,MATCH(30,'Current AR'!X$6:X$103,0)),"")</f>
        <v>CAL-current-030</v>
      </c>
      <c r="D35" s="4">
        <f>IFERROR(INDEX('Current AR'!F$6:F$103,MATCH(30,'Current AR'!X$6:X$103,0)),"")</f>
        <v>45805</v>
      </c>
      <c r="E35" s="5">
        <f>IFERROR(INDEX('Current AR'!I$6:I$103,MATCH(30,'Current AR'!X$6:X$103,0)),"")</f>
        <v>272473190.80000001</v>
      </c>
      <c r="F35" s="1">
        <f>IFERROR(INDEX('Current AR'!Q$6:Q$103,MATCH(30,'Current AR'!X$6:X$103,0)),"")</f>
        <v>-28</v>
      </c>
      <c r="G35" s="1" t="str">
        <f>IFERROR(INDEX('Current AR'!J$6:J$103,MATCH(30,'Current AR'!X$6:X$103,0)),"")</f>
        <v>Staff 01</v>
      </c>
      <c r="H35" s="4">
        <f>IFERROR(INDEX('Current AR'!N$6:N$103,MATCH(30,'Current AR'!X$6:X$103,0)),"")</f>
        <v>0</v>
      </c>
      <c r="I35" s="4">
        <f>IFERROR(INDEX('Current AR'!O$6:O$103,MATCH(30,'Current AR'!X$6:X$103,0)),"")</f>
        <v>0</v>
      </c>
      <c r="J35" s="1" t="str">
        <f>IFERROR(INDEX('Current AR'!P$6:P$103,MATCH(30,'Current AR'!X$6:X$103,0)),"")</f>
        <v>Review assigned fictional balance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 t="str">
        <f>IFERROR(INDEX('Current AR'!A$6:A$103,MATCH(31,'Current AR'!X$6:X$103,0)),"")</f>
        <v>Customer 03</v>
      </c>
      <c r="B36" s="1" t="str">
        <f>IFERROR(INDEX('Current AR'!D$6:D$103,MATCH(31,'Current AR'!X$6:X$103,0)),"")</f>
        <v>000031</v>
      </c>
      <c r="C36" s="1" t="str">
        <f>IFERROR(INDEX('Current AR'!C$6:C$103,MATCH(31,'Current AR'!X$6:X$103,0)),"")</f>
        <v>CAL-current-031</v>
      </c>
      <c r="D36" s="4">
        <f>IFERROR(INDEX('Current AR'!F$6:F$103,MATCH(31,'Current AR'!X$6:X$103,0)),"")</f>
        <v>45805</v>
      </c>
      <c r="E36" s="5">
        <f>IFERROR(INDEX('Current AR'!I$6:I$103,MATCH(31,'Current AR'!X$6:X$103,0)),"")</f>
        <v>107903021.34999999</v>
      </c>
      <c r="F36" s="1">
        <f>IFERROR(INDEX('Current AR'!Q$6:Q$103,MATCH(31,'Current AR'!X$6:X$103,0)),"")</f>
        <v>-28</v>
      </c>
      <c r="G36" s="1" t="str">
        <f>IFERROR(INDEX('Current AR'!J$6:J$103,MATCH(31,'Current AR'!X$6:X$103,0)),"")</f>
        <v>Staff 01</v>
      </c>
      <c r="H36" s="4">
        <f>IFERROR(INDEX('Current AR'!N$6:N$103,MATCH(31,'Current AR'!X$6:X$103,0)),"")</f>
        <v>0</v>
      </c>
      <c r="I36" s="4">
        <f>IFERROR(INDEX('Current AR'!O$6:O$103,MATCH(31,'Current AR'!X$6:X$103,0)),"")</f>
        <v>0</v>
      </c>
      <c r="J36" s="1" t="str">
        <f>IFERROR(INDEX('Current AR'!P$6:P$103,MATCH(31,'Current AR'!X$6:X$103,0)),"")</f>
        <v>Review assigned fictional balance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 t="str">
        <f>IFERROR(INDEX('Current AR'!A$6:A$103,MATCH(32,'Current AR'!X$6:X$103,0)),"")</f>
        <v>Customer 03</v>
      </c>
      <c r="B37" s="1" t="str">
        <f>IFERROR(INDEX('Current AR'!D$6:D$103,MATCH(32,'Current AR'!X$6:X$103,0)),"")</f>
        <v>000032</v>
      </c>
      <c r="C37" s="1" t="str">
        <f>IFERROR(INDEX('Current AR'!C$6:C$103,MATCH(32,'Current AR'!X$6:X$103,0)),"")</f>
        <v>CAL-current-032</v>
      </c>
      <c r="D37" s="4">
        <f>IFERROR(INDEX('Current AR'!F$6:F$103,MATCH(32,'Current AR'!X$6:X$103,0)),"")</f>
        <v>45805</v>
      </c>
      <c r="E37" s="5">
        <f>IFERROR(INDEX('Current AR'!I$6:I$103,MATCH(32,'Current AR'!X$6:X$103,0)),"")</f>
        <v>132784697.84999999</v>
      </c>
      <c r="F37" s="1">
        <f>IFERROR(INDEX('Current AR'!Q$6:Q$103,MATCH(32,'Current AR'!X$6:X$103,0)),"")</f>
        <v>-28</v>
      </c>
      <c r="G37" s="1" t="str">
        <f>IFERROR(INDEX('Current AR'!J$6:J$103,MATCH(32,'Current AR'!X$6:X$103,0)),"")</f>
        <v>Staff 01</v>
      </c>
      <c r="H37" s="4">
        <f>IFERROR(INDEX('Current AR'!N$6:N$103,MATCH(32,'Current AR'!X$6:X$103,0)),"")</f>
        <v>0</v>
      </c>
      <c r="I37" s="4">
        <f>IFERROR(INDEX('Current AR'!O$6:O$103,MATCH(32,'Current AR'!X$6:X$103,0)),"")</f>
        <v>0</v>
      </c>
      <c r="J37" s="1" t="str">
        <f>IFERROR(INDEX('Current AR'!P$6:P$103,MATCH(32,'Current AR'!X$6:X$103,0)),"")</f>
        <v>Review assigned fictional balance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 t="str">
        <f>IFERROR(INDEX('Current AR'!A$6:A$103,MATCH(33,'Current AR'!X$6:X$103,0)),"")</f>
        <v>Customer 03</v>
      </c>
      <c r="B38" s="1" t="str">
        <f>IFERROR(INDEX('Current AR'!D$6:D$103,MATCH(33,'Current AR'!X$6:X$103,0)),"")</f>
        <v>000033</v>
      </c>
      <c r="C38" s="1" t="str">
        <f>IFERROR(INDEX('Current AR'!C$6:C$103,MATCH(33,'Current AR'!X$6:X$103,0)),"")</f>
        <v>CAL-current-033</v>
      </c>
      <c r="D38" s="4">
        <f>IFERROR(INDEX('Current AR'!F$6:F$103,MATCH(33,'Current AR'!X$6:X$103,0)),"")</f>
        <v>45823</v>
      </c>
      <c r="E38" s="5">
        <f>IFERROR(INDEX('Current AR'!I$6:I$103,MATCH(33,'Current AR'!X$6:X$103,0)),"")</f>
        <v>43810372.549999997</v>
      </c>
      <c r="F38" s="1">
        <f>IFERROR(INDEX('Current AR'!Q$6:Q$103,MATCH(33,'Current AR'!X$6:X$103,0)),"")</f>
        <v>-46</v>
      </c>
      <c r="G38" s="1" t="str">
        <f>IFERROR(INDEX('Current AR'!J$6:J$103,MATCH(33,'Current AR'!X$6:X$103,0)),"")</f>
        <v>Staff 01</v>
      </c>
      <c r="H38" s="4">
        <f>IFERROR(INDEX('Current AR'!N$6:N$103,MATCH(33,'Current AR'!X$6:X$103,0)),"")</f>
        <v>0</v>
      </c>
      <c r="I38" s="4">
        <f>IFERROR(INDEX('Current AR'!O$6:O$103,MATCH(33,'Current AR'!X$6:X$103,0)),"")</f>
        <v>0</v>
      </c>
      <c r="J38" s="1" t="str">
        <f>IFERROR(INDEX('Current AR'!P$6:P$103,MATCH(33,'Current AR'!X$6:X$103,0)),"")</f>
        <v>Review assigned fictional balance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 t="str">
        <f>IFERROR(INDEX('Current AR'!A$6:A$103,MATCH(34,'Current AR'!X$6:X$103,0)),"")</f>
        <v>Customer 03</v>
      </c>
      <c r="B39" s="1" t="str">
        <f>IFERROR(INDEX('Current AR'!D$6:D$103,MATCH(34,'Current AR'!X$6:X$103,0)),"")</f>
        <v>000034</v>
      </c>
      <c r="C39" s="1" t="str">
        <f>IFERROR(INDEX('Current AR'!C$6:C$103,MATCH(34,'Current AR'!X$6:X$103,0)),"")</f>
        <v>CAL-current-034</v>
      </c>
      <c r="D39" s="4">
        <f>IFERROR(INDEX('Current AR'!F$6:F$103,MATCH(34,'Current AR'!X$6:X$103,0)),"")</f>
        <v>45823</v>
      </c>
      <c r="E39" s="5">
        <f>IFERROR(INDEX('Current AR'!I$6:I$103,MATCH(34,'Current AR'!X$6:X$103,0)),"")</f>
        <v>81078005.5</v>
      </c>
      <c r="F39" s="1">
        <f>IFERROR(INDEX('Current AR'!Q$6:Q$103,MATCH(34,'Current AR'!X$6:X$103,0)),"")</f>
        <v>-46</v>
      </c>
      <c r="G39" s="1" t="str">
        <f>IFERROR(INDEX('Current AR'!J$6:J$103,MATCH(34,'Current AR'!X$6:X$103,0)),"")</f>
        <v>Staff 01</v>
      </c>
      <c r="H39" s="4">
        <f>IFERROR(INDEX('Current AR'!N$6:N$103,MATCH(34,'Current AR'!X$6:X$103,0)),"")</f>
        <v>0</v>
      </c>
      <c r="I39" s="4">
        <f>IFERROR(INDEX('Current AR'!O$6:O$103,MATCH(34,'Current AR'!X$6:X$103,0)),"")</f>
        <v>0</v>
      </c>
      <c r="J39" s="1" t="str">
        <f>IFERROR(INDEX('Current AR'!P$6:P$103,MATCH(34,'Current AR'!X$6:X$103,0)),"")</f>
        <v>Review assigned fictional balance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 t="str">
        <f>IFERROR(INDEX('Current AR'!A$6:A$103,MATCH(35,'Current AR'!X$6:X$103,0)),"")</f>
        <v>Customer 03</v>
      </c>
      <c r="B40" s="1" t="str">
        <f>IFERROR(INDEX('Current AR'!D$6:D$103,MATCH(35,'Current AR'!X$6:X$103,0)),"")</f>
        <v>000035</v>
      </c>
      <c r="C40" s="1" t="str">
        <f>IFERROR(INDEX('Current AR'!C$6:C$103,MATCH(35,'Current AR'!X$6:X$103,0)),"")</f>
        <v>CAL-current-035</v>
      </c>
      <c r="D40" s="4">
        <f>IFERROR(INDEX('Current AR'!F$6:F$103,MATCH(35,'Current AR'!X$6:X$103,0)),"")</f>
        <v>45823</v>
      </c>
      <c r="E40" s="5">
        <f>IFERROR(INDEX('Current AR'!I$6:I$103,MATCH(35,'Current AR'!X$6:X$103,0)),"")</f>
        <v>79271487.840000004</v>
      </c>
      <c r="F40" s="1">
        <f>IFERROR(INDEX('Current AR'!Q$6:Q$103,MATCH(35,'Current AR'!X$6:X$103,0)),"")</f>
        <v>-46</v>
      </c>
      <c r="G40" s="1" t="str">
        <f>IFERROR(INDEX('Current AR'!J$6:J$103,MATCH(35,'Current AR'!X$6:X$103,0)),"")</f>
        <v>Staff 01</v>
      </c>
      <c r="H40" s="4">
        <f>IFERROR(INDEX('Current AR'!N$6:N$103,MATCH(35,'Current AR'!X$6:X$103,0)),"")</f>
        <v>0</v>
      </c>
      <c r="I40" s="4">
        <f>IFERROR(INDEX('Current AR'!O$6:O$103,MATCH(35,'Current AR'!X$6:X$103,0)),"")</f>
        <v>0</v>
      </c>
      <c r="J40" s="1" t="str">
        <f>IFERROR(INDEX('Current AR'!P$6:P$103,MATCH(35,'Current AR'!X$6:X$103,0)),"")</f>
        <v>Review assigned fictional balance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 t="str">
        <f>IFERROR(INDEX('Current AR'!A$6:A$103,MATCH(36,'Current AR'!X$6:X$103,0)),"")</f>
        <v>Customer 03</v>
      </c>
      <c r="B41" s="1" t="str">
        <f>IFERROR(INDEX('Current AR'!D$6:D$103,MATCH(36,'Current AR'!X$6:X$103,0)),"")</f>
        <v>000036</v>
      </c>
      <c r="C41" s="1" t="str">
        <f>IFERROR(INDEX('Current AR'!C$6:C$103,MATCH(36,'Current AR'!X$6:X$103,0)),"")</f>
        <v>CAL-current-036</v>
      </c>
      <c r="D41" s="4">
        <f>IFERROR(INDEX('Current AR'!F$6:F$103,MATCH(36,'Current AR'!X$6:X$103,0)),"")</f>
        <v>45823</v>
      </c>
      <c r="E41" s="5">
        <f>IFERROR(INDEX('Current AR'!I$6:I$103,MATCH(36,'Current AR'!X$6:X$103,0)),"")</f>
        <v>78135224.090000004</v>
      </c>
      <c r="F41" s="1">
        <f>IFERROR(INDEX('Current AR'!Q$6:Q$103,MATCH(36,'Current AR'!X$6:X$103,0)),"")</f>
        <v>-46</v>
      </c>
      <c r="G41" s="1" t="str">
        <f>IFERROR(INDEX('Current AR'!J$6:J$103,MATCH(36,'Current AR'!X$6:X$103,0)),"")</f>
        <v>Staff 01</v>
      </c>
      <c r="H41" s="4">
        <f>IFERROR(INDEX('Current AR'!N$6:N$103,MATCH(36,'Current AR'!X$6:X$103,0)),"")</f>
        <v>0</v>
      </c>
      <c r="I41" s="4">
        <f>IFERROR(INDEX('Current AR'!O$6:O$103,MATCH(36,'Current AR'!X$6:X$103,0)),"")</f>
        <v>0</v>
      </c>
      <c r="J41" s="1" t="str">
        <f>IFERROR(INDEX('Current AR'!P$6:P$103,MATCH(36,'Current AR'!X$6:X$103,0)),"")</f>
        <v>Review assigned fictional balance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 t="str">
        <f>IFERROR(INDEX('Current AR'!A$6:A$103,MATCH(37,'Current AR'!X$6:X$103,0)),"")</f>
        <v>Customer 03</v>
      </c>
      <c r="B42" s="1" t="str">
        <f>IFERROR(INDEX('Current AR'!D$6:D$103,MATCH(37,'Current AR'!X$6:X$103,0)),"")</f>
        <v>000037</v>
      </c>
      <c r="C42" s="1" t="str">
        <f>IFERROR(INDEX('Current AR'!C$6:C$103,MATCH(37,'Current AR'!X$6:X$103,0)),"")</f>
        <v>CAL-current-037</v>
      </c>
      <c r="D42" s="4">
        <f>IFERROR(INDEX('Current AR'!F$6:F$103,MATCH(37,'Current AR'!X$6:X$103,0)),"")</f>
        <v>45823</v>
      </c>
      <c r="E42" s="5">
        <f>IFERROR(INDEX('Current AR'!I$6:I$103,MATCH(37,'Current AR'!X$6:X$103,0)),"")</f>
        <v>77948842.790000007</v>
      </c>
      <c r="F42" s="1">
        <f>IFERROR(INDEX('Current AR'!Q$6:Q$103,MATCH(37,'Current AR'!X$6:X$103,0)),"")</f>
        <v>-46</v>
      </c>
      <c r="G42" s="1" t="str">
        <f>IFERROR(INDEX('Current AR'!J$6:J$103,MATCH(37,'Current AR'!X$6:X$103,0)),"")</f>
        <v>Staff 01</v>
      </c>
      <c r="H42" s="4">
        <f>IFERROR(INDEX('Current AR'!N$6:N$103,MATCH(37,'Current AR'!X$6:X$103,0)),"")</f>
        <v>0</v>
      </c>
      <c r="I42" s="4">
        <f>IFERROR(INDEX('Current AR'!O$6:O$103,MATCH(37,'Current AR'!X$6:X$103,0)),"")</f>
        <v>0</v>
      </c>
      <c r="J42" s="1" t="str">
        <f>IFERROR(INDEX('Current AR'!P$6:P$103,MATCH(37,'Current AR'!X$6:X$103,0)),"")</f>
        <v>Review assigned fictional balance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 t="str">
        <f>IFERROR(INDEX('Current AR'!A$6:A$103,MATCH(38,'Current AR'!X$6:X$103,0)),"")</f>
        <v>Customer 03</v>
      </c>
      <c r="B43" s="1" t="str">
        <f>IFERROR(INDEX('Current AR'!D$6:D$103,MATCH(38,'Current AR'!X$6:X$103,0)),"")</f>
        <v>000038</v>
      </c>
      <c r="C43" s="1" t="str">
        <f>IFERROR(INDEX('Current AR'!C$6:C$103,MATCH(38,'Current AR'!X$6:X$103,0)),"")</f>
        <v>CAL-current-038</v>
      </c>
      <c r="D43" s="4">
        <f>IFERROR(INDEX('Current AR'!F$6:F$103,MATCH(38,'Current AR'!X$6:X$103,0)),"")</f>
        <v>45823</v>
      </c>
      <c r="E43" s="5">
        <f>IFERROR(INDEX('Current AR'!I$6:I$103,MATCH(38,'Current AR'!X$6:X$103,0)),"")</f>
        <v>37835164.100000001</v>
      </c>
      <c r="F43" s="1">
        <f>IFERROR(INDEX('Current AR'!Q$6:Q$103,MATCH(38,'Current AR'!X$6:X$103,0)),"")</f>
        <v>-46</v>
      </c>
      <c r="G43" s="1" t="str">
        <f>IFERROR(INDEX('Current AR'!J$6:J$103,MATCH(38,'Current AR'!X$6:X$103,0)),"")</f>
        <v>Staff 01</v>
      </c>
      <c r="H43" s="4">
        <f>IFERROR(INDEX('Current AR'!N$6:N$103,MATCH(38,'Current AR'!X$6:X$103,0)),"")</f>
        <v>0</v>
      </c>
      <c r="I43" s="4">
        <f>IFERROR(INDEX('Current AR'!O$6:O$103,MATCH(38,'Current AR'!X$6:X$103,0)),"")</f>
        <v>0</v>
      </c>
      <c r="J43" s="1" t="str">
        <f>IFERROR(INDEX('Current AR'!P$6:P$103,MATCH(38,'Current AR'!X$6:X$103,0)),"")</f>
        <v>Review assigned fictional balance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 t="str">
        <f>IFERROR(INDEX('Current AR'!A$6:A$103,MATCH(39,'Current AR'!X$6:X$103,0)),"")</f>
        <v>Customer 03</v>
      </c>
      <c r="B44" s="1" t="str">
        <f>IFERROR(INDEX('Current AR'!D$6:D$103,MATCH(39,'Current AR'!X$6:X$103,0)),"")</f>
        <v>000039</v>
      </c>
      <c r="C44" s="1" t="str">
        <f>IFERROR(INDEX('Current AR'!C$6:C$103,MATCH(39,'Current AR'!X$6:X$103,0)),"")</f>
        <v>CAL-current-039</v>
      </c>
      <c r="D44" s="4">
        <f>IFERROR(INDEX('Current AR'!F$6:F$103,MATCH(39,'Current AR'!X$6:X$103,0)),"")</f>
        <v>45823</v>
      </c>
      <c r="E44" s="5">
        <f>IFERROR(INDEX('Current AR'!I$6:I$103,MATCH(39,'Current AR'!X$6:X$103,0)),"")</f>
        <v>44212984.090000004</v>
      </c>
      <c r="F44" s="1">
        <f>IFERROR(INDEX('Current AR'!Q$6:Q$103,MATCH(39,'Current AR'!X$6:X$103,0)),"")</f>
        <v>-46</v>
      </c>
      <c r="G44" s="1" t="str">
        <f>IFERROR(INDEX('Current AR'!J$6:J$103,MATCH(39,'Current AR'!X$6:X$103,0)),"")</f>
        <v>Staff 01</v>
      </c>
      <c r="H44" s="4">
        <f>IFERROR(INDEX('Current AR'!N$6:N$103,MATCH(39,'Current AR'!X$6:X$103,0)),"")</f>
        <v>0</v>
      </c>
      <c r="I44" s="4">
        <f>IFERROR(INDEX('Current AR'!O$6:O$103,MATCH(39,'Current AR'!X$6:X$103,0)),"")</f>
        <v>0</v>
      </c>
      <c r="J44" s="1" t="str">
        <f>IFERROR(INDEX('Current AR'!P$6:P$103,MATCH(39,'Current AR'!X$6:X$103,0)),"")</f>
        <v>Review assigned fictional balance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 t="str">
        <f>IFERROR(INDEX('Current AR'!A$6:A$103,MATCH(40,'Current AR'!X$6:X$103,0)),"")</f>
        <v>Customer 03</v>
      </c>
      <c r="B45" s="1" t="str">
        <f>IFERROR(INDEX('Current AR'!D$6:D$103,MATCH(40,'Current AR'!X$6:X$103,0)),"")</f>
        <v>000040</v>
      </c>
      <c r="C45" s="1" t="str">
        <f>IFERROR(INDEX('Current AR'!C$6:C$103,MATCH(40,'Current AR'!X$6:X$103,0)),"")</f>
        <v>CAL-current-040</v>
      </c>
      <c r="D45" s="4">
        <f>IFERROR(INDEX('Current AR'!F$6:F$103,MATCH(40,'Current AR'!X$6:X$103,0)),"")</f>
        <v>45823</v>
      </c>
      <c r="E45" s="5">
        <f>IFERROR(INDEX('Current AR'!I$6:I$103,MATCH(40,'Current AR'!X$6:X$103,0)),"")</f>
        <v>53818100.590000004</v>
      </c>
      <c r="F45" s="1">
        <f>IFERROR(INDEX('Current AR'!Q$6:Q$103,MATCH(40,'Current AR'!X$6:X$103,0)),"")</f>
        <v>-46</v>
      </c>
      <c r="G45" s="1" t="str">
        <f>IFERROR(INDEX('Current AR'!J$6:J$103,MATCH(40,'Current AR'!X$6:X$103,0)),"")</f>
        <v>Staff 01</v>
      </c>
      <c r="H45" s="4">
        <f>IFERROR(INDEX('Current AR'!N$6:N$103,MATCH(40,'Current AR'!X$6:X$103,0)),"")</f>
        <v>0</v>
      </c>
      <c r="I45" s="4">
        <f>IFERROR(INDEX('Current AR'!O$6:O$103,MATCH(40,'Current AR'!X$6:X$103,0)),"")</f>
        <v>0</v>
      </c>
      <c r="J45" s="1" t="str">
        <f>IFERROR(INDEX('Current AR'!P$6:P$103,MATCH(40,'Current AR'!X$6:X$103,0)),"")</f>
        <v>Review assigned fictional balance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 t="str">
        <f>IFERROR(INDEX('Current AR'!A$6:A$103,MATCH(41,'Current AR'!X$6:X$103,0)),"")</f>
        <v>Customer 03</v>
      </c>
      <c r="B46" s="1" t="str">
        <f>IFERROR(INDEX('Current AR'!D$6:D$103,MATCH(41,'Current AR'!X$6:X$103,0)),"")</f>
        <v>000041</v>
      </c>
      <c r="C46" s="1" t="str">
        <f>IFERROR(INDEX('Current AR'!C$6:C$103,MATCH(41,'Current AR'!X$6:X$103,0)),"")</f>
        <v>CAL-current-041</v>
      </c>
      <c r="D46" s="4">
        <f>IFERROR(INDEX('Current AR'!F$6:F$103,MATCH(41,'Current AR'!X$6:X$103,0)),"")</f>
        <v>45823</v>
      </c>
      <c r="E46" s="5">
        <f>IFERROR(INDEX('Current AR'!I$6:I$103,MATCH(41,'Current AR'!X$6:X$103,0)),"")</f>
        <v>35037912.689999998</v>
      </c>
      <c r="F46" s="1">
        <f>IFERROR(INDEX('Current AR'!Q$6:Q$103,MATCH(41,'Current AR'!X$6:X$103,0)),"")</f>
        <v>-46</v>
      </c>
      <c r="G46" s="1" t="str">
        <f>IFERROR(INDEX('Current AR'!J$6:J$103,MATCH(41,'Current AR'!X$6:X$103,0)),"")</f>
        <v>Staff 01</v>
      </c>
      <c r="H46" s="4">
        <f>IFERROR(INDEX('Current AR'!N$6:N$103,MATCH(41,'Current AR'!X$6:X$103,0)),"")</f>
        <v>0</v>
      </c>
      <c r="I46" s="4">
        <f>IFERROR(INDEX('Current AR'!O$6:O$103,MATCH(41,'Current AR'!X$6:X$103,0)),"")</f>
        <v>0</v>
      </c>
      <c r="J46" s="1" t="str">
        <f>IFERROR(INDEX('Current AR'!P$6:P$103,MATCH(41,'Current AR'!X$6:X$103,0)),"")</f>
        <v>Review assigned fictional balance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 t="str">
        <f>IFERROR(INDEX('Current AR'!A$6:A$103,MATCH(42,'Current AR'!X$6:X$103,0)),"")</f>
        <v>Customer 03</v>
      </c>
      <c r="B47" s="1" t="str">
        <f>IFERROR(INDEX('Current AR'!D$6:D$103,MATCH(42,'Current AR'!X$6:X$103,0)),"")</f>
        <v>000042</v>
      </c>
      <c r="C47" s="1" t="str">
        <f>IFERROR(INDEX('Current AR'!C$6:C$103,MATCH(42,'Current AR'!X$6:X$103,0)),"")</f>
        <v>CAL-current-042</v>
      </c>
      <c r="D47" s="4">
        <f>IFERROR(INDEX('Current AR'!F$6:F$103,MATCH(42,'Current AR'!X$6:X$103,0)),"")</f>
        <v>45823</v>
      </c>
      <c r="E47" s="5">
        <f>IFERROR(INDEX('Current AR'!I$6:I$103,MATCH(42,'Current AR'!X$6:X$103,0)),"")</f>
        <v>44081677.109999999</v>
      </c>
      <c r="F47" s="1">
        <f>IFERROR(INDEX('Current AR'!Q$6:Q$103,MATCH(42,'Current AR'!X$6:X$103,0)),"")</f>
        <v>-46</v>
      </c>
      <c r="G47" s="1" t="str">
        <f>IFERROR(INDEX('Current AR'!J$6:J$103,MATCH(42,'Current AR'!X$6:X$103,0)),"")</f>
        <v>Staff 01</v>
      </c>
      <c r="H47" s="4">
        <f>IFERROR(INDEX('Current AR'!N$6:N$103,MATCH(42,'Current AR'!X$6:X$103,0)),"")</f>
        <v>0</v>
      </c>
      <c r="I47" s="4">
        <f>IFERROR(INDEX('Current AR'!O$6:O$103,MATCH(42,'Current AR'!X$6:X$103,0)),"")</f>
        <v>0</v>
      </c>
      <c r="J47" s="1" t="str">
        <f>IFERROR(INDEX('Current AR'!P$6:P$103,MATCH(42,'Current AR'!X$6:X$103,0)),"")</f>
        <v>Review assigned fictional balance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 t="str">
        <f>IFERROR(INDEX('Current AR'!A$6:A$103,MATCH(43,'Current AR'!X$6:X$103,0)),"")</f>
        <v>Customer 03</v>
      </c>
      <c r="B48" s="1" t="str">
        <f>IFERROR(INDEX('Current AR'!D$6:D$103,MATCH(43,'Current AR'!X$6:X$103,0)),"")</f>
        <v>000043</v>
      </c>
      <c r="C48" s="1" t="str">
        <f>IFERROR(INDEX('Current AR'!C$6:C$103,MATCH(43,'Current AR'!X$6:X$103,0)),"")</f>
        <v>CAL-current-043</v>
      </c>
      <c r="D48" s="4">
        <f>IFERROR(INDEX('Current AR'!F$6:F$103,MATCH(43,'Current AR'!X$6:X$103,0)),"")</f>
        <v>45823</v>
      </c>
      <c r="E48" s="5">
        <f>IFERROR(INDEX('Current AR'!I$6:I$103,MATCH(43,'Current AR'!X$6:X$103,0)),"")</f>
        <v>78481211.480000004</v>
      </c>
      <c r="F48" s="1">
        <f>IFERROR(INDEX('Current AR'!Q$6:Q$103,MATCH(43,'Current AR'!X$6:X$103,0)),"")</f>
        <v>-46</v>
      </c>
      <c r="G48" s="1" t="str">
        <f>IFERROR(INDEX('Current AR'!J$6:J$103,MATCH(43,'Current AR'!X$6:X$103,0)),"")</f>
        <v>Staff 01</v>
      </c>
      <c r="H48" s="4">
        <f>IFERROR(INDEX('Current AR'!N$6:N$103,MATCH(43,'Current AR'!X$6:X$103,0)),"")</f>
        <v>0</v>
      </c>
      <c r="I48" s="4">
        <f>IFERROR(INDEX('Current AR'!O$6:O$103,MATCH(43,'Current AR'!X$6:X$103,0)),"")</f>
        <v>0</v>
      </c>
      <c r="J48" s="1" t="str">
        <f>IFERROR(INDEX('Current AR'!P$6:P$103,MATCH(43,'Current AR'!X$6:X$103,0)),"")</f>
        <v>Review assigned fictional balance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 t="str">
        <f>IFERROR(INDEX('Current AR'!A$6:A$103,MATCH(44,'Current AR'!X$6:X$103,0)),"")</f>
        <v>Customer 03</v>
      </c>
      <c r="B49" s="1" t="str">
        <f>IFERROR(INDEX('Current AR'!D$6:D$103,MATCH(44,'Current AR'!X$6:X$103,0)),"")</f>
        <v>000044</v>
      </c>
      <c r="C49" s="1" t="str">
        <f>IFERROR(INDEX('Current AR'!C$6:C$103,MATCH(44,'Current AR'!X$6:X$103,0)),"")</f>
        <v>CAL-current-044</v>
      </c>
      <c r="D49" s="4">
        <f>IFERROR(INDEX('Current AR'!F$6:F$103,MATCH(44,'Current AR'!X$6:X$103,0)),"")</f>
        <v>45823</v>
      </c>
      <c r="E49" s="5">
        <f>IFERROR(INDEX('Current AR'!I$6:I$103,MATCH(44,'Current AR'!X$6:X$103,0)),"")</f>
        <v>75443265.769999996</v>
      </c>
      <c r="F49" s="1">
        <f>IFERROR(INDEX('Current AR'!Q$6:Q$103,MATCH(44,'Current AR'!X$6:X$103,0)),"")</f>
        <v>-46</v>
      </c>
      <c r="G49" s="1" t="str">
        <f>IFERROR(INDEX('Current AR'!J$6:J$103,MATCH(44,'Current AR'!X$6:X$103,0)),"")</f>
        <v>Staff 01</v>
      </c>
      <c r="H49" s="4">
        <f>IFERROR(INDEX('Current AR'!N$6:N$103,MATCH(44,'Current AR'!X$6:X$103,0)),"")</f>
        <v>0</v>
      </c>
      <c r="I49" s="4">
        <f>IFERROR(INDEX('Current AR'!O$6:O$103,MATCH(44,'Current AR'!X$6:X$103,0)),"")</f>
        <v>0</v>
      </c>
      <c r="J49" s="1" t="str">
        <f>IFERROR(INDEX('Current AR'!P$6:P$103,MATCH(44,'Current AR'!X$6:X$103,0)),"")</f>
        <v>Review assigned fictional balance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 t="str">
        <f>IFERROR(INDEX('Current AR'!A$6:A$103,MATCH(45,'Current AR'!X$6:X$103,0)),"")</f>
        <v>Customer 03</v>
      </c>
      <c r="B50" s="1" t="str">
        <f>IFERROR(INDEX('Current AR'!D$6:D$103,MATCH(45,'Current AR'!X$6:X$103,0)),"")</f>
        <v>000045</v>
      </c>
      <c r="C50" s="1" t="str">
        <f>IFERROR(INDEX('Current AR'!C$6:C$103,MATCH(45,'Current AR'!X$6:X$103,0)),"")</f>
        <v>CAL-current-045</v>
      </c>
      <c r="D50" s="4">
        <f>IFERROR(INDEX('Current AR'!F$6:F$103,MATCH(45,'Current AR'!X$6:X$103,0)),"")</f>
        <v>45823</v>
      </c>
      <c r="E50" s="5">
        <f>IFERROR(INDEX('Current AR'!I$6:I$103,MATCH(45,'Current AR'!X$6:X$103,0)),"")</f>
        <v>52212704.479999997</v>
      </c>
      <c r="F50" s="1">
        <f>IFERROR(INDEX('Current AR'!Q$6:Q$103,MATCH(45,'Current AR'!X$6:X$103,0)),"")</f>
        <v>-46</v>
      </c>
      <c r="G50" s="1" t="str">
        <f>IFERROR(INDEX('Current AR'!J$6:J$103,MATCH(45,'Current AR'!X$6:X$103,0)),"")</f>
        <v>Staff 01</v>
      </c>
      <c r="H50" s="4">
        <f>IFERROR(INDEX('Current AR'!N$6:N$103,MATCH(45,'Current AR'!X$6:X$103,0)),"")</f>
        <v>0</v>
      </c>
      <c r="I50" s="4">
        <f>IFERROR(INDEX('Current AR'!O$6:O$103,MATCH(45,'Current AR'!X$6:X$103,0)),"")</f>
        <v>0</v>
      </c>
      <c r="J50" s="1" t="str">
        <f>IFERROR(INDEX('Current AR'!P$6:P$103,MATCH(45,'Current AR'!X$6:X$103,0)),"")</f>
        <v>Review assigned fictional balance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 t="str">
        <f>IFERROR(INDEX('Current AR'!A$6:A$103,MATCH(46,'Current AR'!X$6:X$103,0)),"")</f>
        <v>Customer 03</v>
      </c>
      <c r="B51" s="1" t="str">
        <f>IFERROR(INDEX('Current AR'!D$6:D$103,MATCH(46,'Current AR'!X$6:X$103,0)),"")</f>
        <v>000046</v>
      </c>
      <c r="C51" s="1" t="str">
        <f>IFERROR(INDEX('Current AR'!C$6:C$103,MATCH(46,'Current AR'!X$6:X$103,0)),"")</f>
        <v>CAL-current-046</v>
      </c>
      <c r="D51" s="4">
        <f>IFERROR(INDEX('Current AR'!F$6:F$103,MATCH(46,'Current AR'!X$6:X$103,0)),"")</f>
        <v>45823</v>
      </c>
      <c r="E51" s="5">
        <f>IFERROR(INDEX('Current AR'!I$6:I$103,MATCH(46,'Current AR'!X$6:X$103,0)),"")</f>
        <v>44312390.43</v>
      </c>
      <c r="F51" s="1">
        <f>IFERROR(INDEX('Current AR'!Q$6:Q$103,MATCH(46,'Current AR'!X$6:X$103,0)),"")</f>
        <v>-46</v>
      </c>
      <c r="G51" s="1" t="str">
        <f>IFERROR(INDEX('Current AR'!J$6:J$103,MATCH(46,'Current AR'!X$6:X$103,0)),"")</f>
        <v>Staff 01</v>
      </c>
      <c r="H51" s="4">
        <f>IFERROR(INDEX('Current AR'!N$6:N$103,MATCH(46,'Current AR'!X$6:X$103,0)),"")</f>
        <v>0</v>
      </c>
      <c r="I51" s="4">
        <f>IFERROR(INDEX('Current AR'!O$6:O$103,MATCH(46,'Current AR'!X$6:X$103,0)),"")</f>
        <v>0</v>
      </c>
      <c r="J51" s="1" t="str">
        <f>IFERROR(INDEX('Current AR'!P$6:P$103,MATCH(46,'Current AR'!X$6:X$103,0)),"")</f>
        <v>Review assigned fictional balance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 t="str">
        <f>IFERROR(INDEX('Current AR'!A$6:A$103,MATCH(47,'Current AR'!X$6:X$103,0)),"")</f>
        <v>Customer 03</v>
      </c>
      <c r="B52" s="1" t="str">
        <f>IFERROR(INDEX('Current AR'!D$6:D$103,MATCH(47,'Current AR'!X$6:X$103,0)),"")</f>
        <v>000047</v>
      </c>
      <c r="C52" s="1" t="str">
        <f>IFERROR(INDEX('Current AR'!C$6:C$103,MATCH(47,'Current AR'!X$6:X$103,0)),"")</f>
        <v>CAL-current-047</v>
      </c>
      <c r="D52" s="4">
        <f>IFERROR(INDEX('Current AR'!F$6:F$103,MATCH(47,'Current AR'!X$6:X$103,0)),"")</f>
        <v>45823</v>
      </c>
      <c r="E52" s="5">
        <f>IFERROR(INDEX('Current AR'!I$6:I$103,MATCH(47,'Current AR'!X$6:X$103,0)),"")</f>
        <v>46143151.350000001</v>
      </c>
      <c r="F52" s="1">
        <f>IFERROR(INDEX('Current AR'!Q$6:Q$103,MATCH(47,'Current AR'!X$6:X$103,0)),"")</f>
        <v>-46</v>
      </c>
      <c r="G52" s="1" t="str">
        <f>IFERROR(INDEX('Current AR'!J$6:J$103,MATCH(47,'Current AR'!X$6:X$103,0)),"")</f>
        <v>Staff 01</v>
      </c>
      <c r="H52" s="4">
        <f>IFERROR(INDEX('Current AR'!N$6:N$103,MATCH(47,'Current AR'!X$6:X$103,0)),"")</f>
        <v>0</v>
      </c>
      <c r="I52" s="4">
        <f>IFERROR(INDEX('Current AR'!O$6:O$103,MATCH(47,'Current AR'!X$6:X$103,0)),"")</f>
        <v>0</v>
      </c>
      <c r="J52" s="1" t="str">
        <f>IFERROR(INDEX('Current AR'!P$6:P$103,MATCH(47,'Current AR'!X$6:X$103,0)),"")</f>
        <v>Review assigned fictional balance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 t="str">
        <f>IFERROR(INDEX('Current AR'!A$6:A$103,MATCH(48,'Current AR'!X$6:X$103,0)),"")</f>
        <v>Customer 03</v>
      </c>
      <c r="B53" s="1" t="str">
        <f>IFERROR(INDEX('Current AR'!D$6:D$103,MATCH(48,'Current AR'!X$6:X$103,0)),"")</f>
        <v>000048</v>
      </c>
      <c r="C53" s="1" t="str">
        <f>IFERROR(INDEX('Current AR'!C$6:C$103,MATCH(48,'Current AR'!X$6:X$103,0)),"")</f>
        <v>CAL-current-048</v>
      </c>
      <c r="D53" s="4">
        <f>IFERROR(INDEX('Current AR'!F$6:F$103,MATCH(48,'Current AR'!X$6:X$103,0)),"")</f>
        <v>45823</v>
      </c>
      <c r="E53" s="5">
        <f>IFERROR(INDEX('Current AR'!I$6:I$103,MATCH(48,'Current AR'!X$6:X$103,0)),"")</f>
        <v>59018133.130000003</v>
      </c>
      <c r="F53" s="1">
        <f>IFERROR(INDEX('Current AR'!Q$6:Q$103,MATCH(48,'Current AR'!X$6:X$103,0)),"")</f>
        <v>-46</v>
      </c>
      <c r="G53" s="1" t="str">
        <f>IFERROR(INDEX('Current AR'!J$6:J$103,MATCH(48,'Current AR'!X$6:X$103,0)),"")</f>
        <v>Staff 01</v>
      </c>
      <c r="H53" s="4">
        <f>IFERROR(INDEX('Current AR'!N$6:N$103,MATCH(48,'Current AR'!X$6:X$103,0)),"")</f>
        <v>0</v>
      </c>
      <c r="I53" s="4">
        <f>IFERROR(INDEX('Current AR'!O$6:O$103,MATCH(48,'Current AR'!X$6:X$103,0)),"")</f>
        <v>0</v>
      </c>
      <c r="J53" s="1" t="str">
        <f>IFERROR(INDEX('Current AR'!P$6:P$103,MATCH(48,'Current AR'!X$6:X$103,0)),"")</f>
        <v>Review assigned fictional balance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 t="str">
        <f>IFERROR(INDEX('Current AR'!A$6:A$103,MATCH(49,'Current AR'!X$6:X$103,0)),"")</f>
        <v>Customer 03</v>
      </c>
      <c r="B54" s="1" t="str">
        <f>IFERROR(INDEX('Current AR'!D$6:D$103,MATCH(49,'Current AR'!X$6:X$103,0)),"")</f>
        <v>000049</v>
      </c>
      <c r="C54" s="1" t="str">
        <f>IFERROR(INDEX('Current AR'!C$6:C$103,MATCH(49,'Current AR'!X$6:X$103,0)),"")</f>
        <v>CAL-current-049</v>
      </c>
      <c r="D54" s="4">
        <f>IFERROR(INDEX('Current AR'!F$6:F$103,MATCH(49,'Current AR'!X$6:X$103,0)),"")</f>
        <v>45823</v>
      </c>
      <c r="E54" s="5">
        <f>IFERROR(INDEX('Current AR'!I$6:I$103,MATCH(49,'Current AR'!X$6:X$103,0)),"")</f>
        <v>69095556.709999993</v>
      </c>
      <c r="F54" s="1">
        <f>IFERROR(INDEX('Current AR'!Q$6:Q$103,MATCH(49,'Current AR'!X$6:X$103,0)),"")</f>
        <v>-46</v>
      </c>
      <c r="G54" s="1" t="str">
        <f>IFERROR(INDEX('Current AR'!J$6:J$103,MATCH(49,'Current AR'!X$6:X$103,0)),"")</f>
        <v>Staff 01</v>
      </c>
      <c r="H54" s="4">
        <f>IFERROR(INDEX('Current AR'!N$6:N$103,MATCH(49,'Current AR'!X$6:X$103,0)),"")</f>
        <v>0</v>
      </c>
      <c r="I54" s="4">
        <f>IFERROR(INDEX('Current AR'!O$6:O$103,MATCH(49,'Current AR'!X$6:X$103,0)),"")</f>
        <v>0</v>
      </c>
      <c r="J54" s="1" t="str">
        <f>IFERROR(INDEX('Current AR'!P$6:P$103,MATCH(49,'Current AR'!X$6:X$103,0)),"")</f>
        <v>Review assigned fictional balance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 t="str">
        <f>IFERROR(INDEX('Current AR'!A$6:A$103,MATCH(50,'Current AR'!X$6:X$103,0)),"")</f>
        <v>Customer 03</v>
      </c>
      <c r="B55" s="1" t="str">
        <f>IFERROR(INDEX('Current AR'!D$6:D$103,MATCH(50,'Current AR'!X$6:X$103,0)),"")</f>
        <v>000050</v>
      </c>
      <c r="C55" s="1" t="str">
        <f>IFERROR(INDEX('Current AR'!C$6:C$103,MATCH(50,'Current AR'!X$6:X$103,0)),"")</f>
        <v>CAL-current-050</v>
      </c>
      <c r="D55" s="4">
        <f>IFERROR(INDEX('Current AR'!F$6:F$103,MATCH(50,'Current AR'!X$6:X$103,0)),"")</f>
        <v>45823</v>
      </c>
      <c r="E55" s="5">
        <f>IFERROR(INDEX('Current AR'!I$6:I$103,MATCH(50,'Current AR'!X$6:X$103,0)),"")</f>
        <v>58839083.640000001</v>
      </c>
      <c r="F55" s="1">
        <f>IFERROR(INDEX('Current AR'!Q$6:Q$103,MATCH(50,'Current AR'!X$6:X$103,0)),"")</f>
        <v>-46</v>
      </c>
      <c r="G55" s="1" t="str">
        <f>IFERROR(INDEX('Current AR'!J$6:J$103,MATCH(50,'Current AR'!X$6:X$103,0)),"")</f>
        <v>Staff 01</v>
      </c>
      <c r="H55" s="4">
        <f>IFERROR(INDEX('Current AR'!N$6:N$103,MATCH(50,'Current AR'!X$6:X$103,0)),"")</f>
        <v>0</v>
      </c>
      <c r="I55" s="4">
        <f>IFERROR(INDEX('Current AR'!O$6:O$103,MATCH(50,'Current AR'!X$6:X$103,0)),"")</f>
        <v>0</v>
      </c>
      <c r="J55" s="1" t="str">
        <f>IFERROR(INDEX('Current AR'!P$6:P$103,MATCH(50,'Current AR'!X$6:X$103,0)),"")</f>
        <v>Review assigned fictional balance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 t="str">
        <f>IFERROR(INDEX('Current AR'!A$6:A$103,MATCH(51,'Current AR'!X$6:X$103,0)),"")</f>
        <v>Customer 03</v>
      </c>
      <c r="B56" s="1" t="str">
        <f>IFERROR(INDEX('Current AR'!D$6:D$103,MATCH(51,'Current AR'!X$6:X$103,0)),"")</f>
        <v>000051</v>
      </c>
      <c r="C56" s="1" t="str">
        <f>IFERROR(INDEX('Current AR'!C$6:C$103,MATCH(51,'Current AR'!X$6:X$103,0)),"")</f>
        <v>CAL-current-051</v>
      </c>
      <c r="D56" s="4">
        <f>IFERROR(INDEX('Current AR'!F$6:F$103,MATCH(51,'Current AR'!X$6:X$103,0)),"")</f>
        <v>45823</v>
      </c>
      <c r="E56" s="5">
        <f>IFERROR(INDEX('Current AR'!I$6:I$103,MATCH(51,'Current AR'!X$6:X$103,0)),"")</f>
        <v>30205574.66</v>
      </c>
      <c r="F56" s="1">
        <f>IFERROR(INDEX('Current AR'!Q$6:Q$103,MATCH(51,'Current AR'!X$6:X$103,0)),"")</f>
        <v>-46</v>
      </c>
      <c r="G56" s="1" t="str">
        <f>IFERROR(INDEX('Current AR'!J$6:J$103,MATCH(51,'Current AR'!X$6:X$103,0)),"")</f>
        <v>Staff 01</v>
      </c>
      <c r="H56" s="4">
        <f>IFERROR(INDEX('Current AR'!N$6:N$103,MATCH(51,'Current AR'!X$6:X$103,0)),"")</f>
        <v>0</v>
      </c>
      <c r="I56" s="4">
        <f>IFERROR(INDEX('Current AR'!O$6:O$103,MATCH(51,'Current AR'!X$6:X$103,0)),"")</f>
        <v>0</v>
      </c>
      <c r="J56" s="1" t="str">
        <f>IFERROR(INDEX('Current AR'!P$6:P$103,MATCH(51,'Current AR'!X$6:X$103,0)),"")</f>
        <v>Review assigned fictional balance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 t="str">
        <f>IFERROR(INDEX('Current AR'!A$6:A$103,MATCH(52,'Current AR'!X$6:X$103,0)),"")</f>
        <v>Customer 03</v>
      </c>
      <c r="B57" s="1" t="str">
        <f>IFERROR(INDEX('Current AR'!D$6:D$103,MATCH(52,'Current AR'!X$6:X$103,0)),"")</f>
        <v>000052</v>
      </c>
      <c r="C57" s="1" t="str">
        <f>IFERROR(INDEX('Current AR'!C$6:C$103,MATCH(52,'Current AR'!X$6:X$103,0)),"")</f>
        <v>CAL-current-052</v>
      </c>
      <c r="D57" s="4">
        <f>IFERROR(INDEX('Current AR'!F$6:F$103,MATCH(52,'Current AR'!X$6:X$103,0)),"")</f>
        <v>45822</v>
      </c>
      <c r="E57" s="5">
        <f>IFERROR(INDEX('Current AR'!I$6:I$103,MATCH(52,'Current AR'!X$6:X$103,0)),"")</f>
        <v>398499004.81</v>
      </c>
      <c r="F57" s="1">
        <f>IFERROR(INDEX('Current AR'!Q$6:Q$103,MATCH(52,'Current AR'!X$6:X$103,0)),"")</f>
        <v>-45</v>
      </c>
      <c r="G57" s="1" t="str">
        <f>IFERROR(INDEX('Current AR'!J$6:J$103,MATCH(52,'Current AR'!X$6:X$103,0)),"")</f>
        <v>Staff 01</v>
      </c>
      <c r="H57" s="4">
        <f>IFERROR(INDEX('Current AR'!N$6:N$103,MATCH(52,'Current AR'!X$6:X$103,0)),"")</f>
        <v>0</v>
      </c>
      <c r="I57" s="4">
        <f>IFERROR(INDEX('Current AR'!O$6:O$103,MATCH(52,'Current AR'!X$6:X$103,0)),"")</f>
        <v>0</v>
      </c>
      <c r="J57" s="1" t="str">
        <f>IFERROR(INDEX('Current AR'!P$6:P$103,MATCH(52,'Current AR'!X$6:X$103,0)),"")</f>
        <v>Review assigned fictional balance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 t="str">
        <f>IFERROR(INDEX('Current AR'!A$6:A$103,MATCH(53,'Current AR'!X$6:X$103,0)),"")</f>
        <v>Customer 03</v>
      </c>
      <c r="B58" s="1" t="str">
        <f>IFERROR(INDEX('Current AR'!D$6:D$103,MATCH(53,'Current AR'!X$6:X$103,0)),"")</f>
        <v>000053</v>
      </c>
      <c r="C58" s="1" t="str">
        <f>IFERROR(INDEX('Current AR'!C$6:C$103,MATCH(53,'Current AR'!X$6:X$103,0)),"")</f>
        <v>CAL-current-053</v>
      </c>
      <c r="D58" s="4">
        <f>IFERROR(INDEX('Current AR'!F$6:F$103,MATCH(53,'Current AR'!X$6:X$103,0)),"")</f>
        <v>45822</v>
      </c>
      <c r="E58" s="5">
        <f>IFERROR(INDEX('Current AR'!I$6:I$103,MATCH(53,'Current AR'!X$6:X$103,0)),"")</f>
        <v>220824222.69999999</v>
      </c>
      <c r="F58" s="1">
        <f>IFERROR(INDEX('Current AR'!Q$6:Q$103,MATCH(53,'Current AR'!X$6:X$103,0)),"")</f>
        <v>-45</v>
      </c>
      <c r="G58" s="1" t="str">
        <f>IFERROR(INDEX('Current AR'!J$6:J$103,MATCH(53,'Current AR'!X$6:X$103,0)),"")</f>
        <v>Staff 01</v>
      </c>
      <c r="H58" s="4">
        <f>IFERROR(INDEX('Current AR'!N$6:N$103,MATCH(53,'Current AR'!X$6:X$103,0)),"")</f>
        <v>0</v>
      </c>
      <c r="I58" s="4">
        <f>IFERROR(INDEX('Current AR'!O$6:O$103,MATCH(53,'Current AR'!X$6:X$103,0)),"")</f>
        <v>0</v>
      </c>
      <c r="J58" s="1" t="str">
        <f>IFERROR(INDEX('Current AR'!P$6:P$103,MATCH(53,'Current AR'!X$6:X$103,0)),"")</f>
        <v>Review assigned fictional balance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 t="str">
        <f>IFERROR(INDEX('Current AR'!A$6:A$103,MATCH(54,'Current AR'!X$6:X$103,0)),"")</f>
        <v>Customer 03</v>
      </c>
      <c r="B59" s="1" t="str">
        <f>IFERROR(INDEX('Current AR'!D$6:D$103,MATCH(54,'Current AR'!X$6:X$103,0)),"")</f>
        <v>000054</v>
      </c>
      <c r="C59" s="1" t="str">
        <f>IFERROR(INDEX('Current AR'!C$6:C$103,MATCH(54,'Current AR'!X$6:X$103,0)),"")</f>
        <v>CAL-current-054</v>
      </c>
      <c r="D59" s="4">
        <f>IFERROR(INDEX('Current AR'!F$6:F$103,MATCH(54,'Current AR'!X$6:X$103,0)),"")</f>
        <v>45822</v>
      </c>
      <c r="E59" s="5">
        <f>IFERROR(INDEX('Current AR'!I$6:I$103,MATCH(54,'Current AR'!X$6:X$103,0)),"")</f>
        <v>164794338.53</v>
      </c>
      <c r="F59" s="1">
        <f>IFERROR(INDEX('Current AR'!Q$6:Q$103,MATCH(54,'Current AR'!X$6:X$103,0)),"")</f>
        <v>-45</v>
      </c>
      <c r="G59" s="1" t="str">
        <f>IFERROR(INDEX('Current AR'!J$6:J$103,MATCH(54,'Current AR'!X$6:X$103,0)),"")</f>
        <v>Staff 01</v>
      </c>
      <c r="H59" s="4">
        <f>IFERROR(INDEX('Current AR'!N$6:N$103,MATCH(54,'Current AR'!X$6:X$103,0)),"")</f>
        <v>0</v>
      </c>
      <c r="I59" s="4">
        <f>IFERROR(INDEX('Current AR'!O$6:O$103,MATCH(54,'Current AR'!X$6:X$103,0)),"")</f>
        <v>0</v>
      </c>
      <c r="J59" s="1" t="str">
        <f>IFERROR(INDEX('Current AR'!P$6:P$103,MATCH(54,'Current AR'!X$6:X$103,0)),"")</f>
        <v>Review assigned fictional balance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 t="str">
        <f>IFERROR(INDEX('Current AR'!A$6:A$103,MATCH(55,'Current AR'!X$6:X$103,0)),"")</f>
        <v>Customer 03</v>
      </c>
      <c r="B60" s="1" t="str">
        <f>IFERROR(INDEX('Current AR'!D$6:D$103,MATCH(55,'Current AR'!X$6:X$103,0)),"")</f>
        <v>000055</v>
      </c>
      <c r="C60" s="1" t="str">
        <f>IFERROR(INDEX('Current AR'!C$6:C$103,MATCH(55,'Current AR'!X$6:X$103,0)),"")</f>
        <v>CAL-current-055</v>
      </c>
      <c r="D60" s="4">
        <f>IFERROR(INDEX('Current AR'!F$6:F$103,MATCH(55,'Current AR'!X$6:X$103,0)),"")</f>
        <v>45822</v>
      </c>
      <c r="E60" s="5">
        <f>IFERROR(INDEX('Current AR'!I$6:I$103,MATCH(55,'Current AR'!X$6:X$103,0)),"")</f>
        <v>229434887.68000001</v>
      </c>
      <c r="F60" s="1">
        <f>IFERROR(INDEX('Current AR'!Q$6:Q$103,MATCH(55,'Current AR'!X$6:X$103,0)),"")</f>
        <v>-45</v>
      </c>
      <c r="G60" s="1" t="str">
        <f>IFERROR(INDEX('Current AR'!J$6:J$103,MATCH(55,'Current AR'!X$6:X$103,0)),"")</f>
        <v>Staff 01</v>
      </c>
      <c r="H60" s="4">
        <f>IFERROR(INDEX('Current AR'!N$6:N$103,MATCH(55,'Current AR'!X$6:X$103,0)),"")</f>
        <v>0</v>
      </c>
      <c r="I60" s="4">
        <f>IFERROR(INDEX('Current AR'!O$6:O$103,MATCH(55,'Current AR'!X$6:X$103,0)),"")</f>
        <v>0</v>
      </c>
      <c r="J60" s="1" t="str">
        <f>IFERROR(INDEX('Current AR'!P$6:P$103,MATCH(55,'Current AR'!X$6:X$103,0)),"")</f>
        <v>Review assigned fictional balance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 t="str">
        <f>IFERROR(INDEX('Current AR'!A$6:A$103,MATCH(56,'Current AR'!X$6:X$103,0)),"")</f>
        <v>Customer 03</v>
      </c>
      <c r="B61" s="1" t="str">
        <f>IFERROR(INDEX('Current AR'!D$6:D$103,MATCH(56,'Current AR'!X$6:X$103,0)),"")</f>
        <v>000056</v>
      </c>
      <c r="C61" s="1" t="str">
        <f>IFERROR(INDEX('Current AR'!C$6:C$103,MATCH(56,'Current AR'!X$6:X$103,0)),"")</f>
        <v>CAL-current-056</v>
      </c>
      <c r="D61" s="4">
        <f>IFERROR(INDEX('Current AR'!F$6:F$103,MATCH(56,'Current AR'!X$6:X$103,0)),"")</f>
        <v>45822</v>
      </c>
      <c r="E61" s="5">
        <f>IFERROR(INDEX('Current AR'!I$6:I$103,MATCH(56,'Current AR'!X$6:X$103,0)),"")</f>
        <v>422820646.83999997</v>
      </c>
      <c r="F61" s="1">
        <f>IFERROR(INDEX('Current AR'!Q$6:Q$103,MATCH(56,'Current AR'!X$6:X$103,0)),"")</f>
        <v>-45</v>
      </c>
      <c r="G61" s="1" t="str">
        <f>IFERROR(INDEX('Current AR'!J$6:J$103,MATCH(56,'Current AR'!X$6:X$103,0)),"")</f>
        <v>Staff 01</v>
      </c>
      <c r="H61" s="4">
        <f>IFERROR(INDEX('Current AR'!N$6:N$103,MATCH(56,'Current AR'!X$6:X$103,0)),"")</f>
        <v>0</v>
      </c>
      <c r="I61" s="4">
        <f>IFERROR(INDEX('Current AR'!O$6:O$103,MATCH(56,'Current AR'!X$6:X$103,0)),"")</f>
        <v>0</v>
      </c>
      <c r="J61" s="1" t="str">
        <f>IFERROR(INDEX('Current AR'!P$6:P$103,MATCH(56,'Current AR'!X$6:X$103,0)),"")</f>
        <v>Review assigned fictional balance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 t="str">
        <f>IFERROR(INDEX('Current AR'!A$6:A$103,MATCH(57,'Current AR'!X$6:X$103,0)),"")</f>
        <v>Customer 03</v>
      </c>
      <c r="B62" s="1" t="str">
        <f>IFERROR(INDEX('Current AR'!D$6:D$103,MATCH(57,'Current AR'!X$6:X$103,0)),"")</f>
        <v>000057</v>
      </c>
      <c r="C62" s="1" t="str">
        <f>IFERROR(INDEX('Current AR'!C$6:C$103,MATCH(57,'Current AR'!X$6:X$103,0)),"")</f>
        <v>CAL-current-057</v>
      </c>
      <c r="D62" s="4">
        <f>IFERROR(INDEX('Current AR'!F$6:F$103,MATCH(57,'Current AR'!X$6:X$103,0)),"")</f>
        <v>45822</v>
      </c>
      <c r="E62" s="5">
        <f>IFERROR(INDEX('Current AR'!I$6:I$103,MATCH(57,'Current AR'!X$6:X$103,0)),"")</f>
        <v>166979412.11000001</v>
      </c>
      <c r="F62" s="1">
        <f>IFERROR(INDEX('Current AR'!Q$6:Q$103,MATCH(57,'Current AR'!X$6:X$103,0)),"")</f>
        <v>-45</v>
      </c>
      <c r="G62" s="1" t="str">
        <f>IFERROR(INDEX('Current AR'!J$6:J$103,MATCH(57,'Current AR'!X$6:X$103,0)),"")</f>
        <v>Staff 01</v>
      </c>
      <c r="H62" s="4">
        <f>IFERROR(INDEX('Current AR'!N$6:N$103,MATCH(57,'Current AR'!X$6:X$103,0)),"")</f>
        <v>0</v>
      </c>
      <c r="I62" s="4">
        <f>IFERROR(INDEX('Current AR'!O$6:O$103,MATCH(57,'Current AR'!X$6:X$103,0)),"")</f>
        <v>0</v>
      </c>
      <c r="J62" s="1" t="str">
        <f>IFERROR(INDEX('Current AR'!P$6:P$103,MATCH(57,'Current AR'!X$6:X$103,0)),"")</f>
        <v>Review assigned fictional balance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 t="str">
        <f>IFERROR(INDEX('Current AR'!A$6:A$103,MATCH(58,'Current AR'!X$6:X$103,0)),"")</f>
        <v>Customer 03</v>
      </c>
      <c r="B63" s="1" t="str">
        <f>IFERROR(INDEX('Current AR'!D$6:D$103,MATCH(58,'Current AR'!X$6:X$103,0)),"")</f>
        <v>000058</v>
      </c>
      <c r="C63" s="1" t="str">
        <f>IFERROR(INDEX('Current AR'!C$6:C$103,MATCH(58,'Current AR'!X$6:X$103,0)),"")</f>
        <v>CAL-current-058</v>
      </c>
      <c r="D63" s="4">
        <f>IFERROR(INDEX('Current AR'!F$6:F$103,MATCH(58,'Current AR'!X$6:X$103,0)),"")</f>
        <v>45822</v>
      </c>
      <c r="E63" s="5">
        <f>IFERROR(INDEX('Current AR'!I$6:I$103,MATCH(58,'Current AR'!X$6:X$103,0)),"")</f>
        <v>282396364.45999998</v>
      </c>
      <c r="F63" s="1">
        <f>IFERROR(INDEX('Current AR'!Q$6:Q$103,MATCH(58,'Current AR'!X$6:X$103,0)),"")</f>
        <v>-45</v>
      </c>
      <c r="G63" s="1" t="str">
        <f>IFERROR(INDEX('Current AR'!J$6:J$103,MATCH(58,'Current AR'!X$6:X$103,0)),"")</f>
        <v>Staff 01</v>
      </c>
      <c r="H63" s="4">
        <f>IFERROR(INDEX('Current AR'!N$6:N$103,MATCH(58,'Current AR'!X$6:X$103,0)),"")</f>
        <v>0</v>
      </c>
      <c r="I63" s="4">
        <f>IFERROR(INDEX('Current AR'!O$6:O$103,MATCH(58,'Current AR'!X$6:X$103,0)),"")</f>
        <v>0</v>
      </c>
      <c r="J63" s="1" t="str">
        <f>IFERROR(INDEX('Current AR'!P$6:P$103,MATCH(58,'Current AR'!X$6:X$103,0)),"")</f>
        <v>Review assigned fictional balance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 t="str">
        <f>IFERROR(INDEX('Current AR'!A$6:A$103,MATCH(59,'Current AR'!X$6:X$103,0)),"")</f>
        <v>Customer 03</v>
      </c>
      <c r="B64" s="1" t="str">
        <f>IFERROR(INDEX('Current AR'!D$6:D$103,MATCH(59,'Current AR'!X$6:X$103,0)),"")</f>
        <v>000059</v>
      </c>
      <c r="C64" s="1" t="str">
        <f>IFERROR(INDEX('Current AR'!C$6:C$103,MATCH(59,'Current AR'!X$6:X$103,0)),"")</f>
        <v>CAL-current-059</v>
      </c>
      <c r="D64" s="4">
        <f>IFERROR(INDEX('Current AR'!F$6:F$103,MATCH(59,'Current AR'!X$6:X$103,0)),"")</f>
        <v>45822</v>
      </c>
      <c r="E64" s="5">
        <f>IFERROR(INDEX('Current AR'!I$6:I$103,MATCH(59,'Current AR'!X$6:X$103,0)),"")</f>
        <v>362487099.64999998</v>
      </c>
      <c r="F64" s="1">
        <f>IFERROR(INDEX('Current AR'!Q$6:Q$103,MATCH(59,'Current AR'!X$6:X$103,0)),"")</f>
        <v>-45</v>
      </c>
      <c r="G64" s="1" t="str">
        <f>IFERROR(INDEX('Current AR'!J$6:J$103,MATCH(59,'Current AR'!X$6:X$103,0)),"")</f>
        <v>Staff 01</v>
      </c>
      <c r="H64" s="4">
        <f>IFERROR(INDEX('Current AR'!N$6:N$103,MATCH(59,'Current AR'!X$6:X$103,0)),"")</f>
        <v>0</v>
      </c>
      <c r="I64" s="4">
        <f>IFERROR(INDEX('Current AR'!O$6:O$103,MATCH(59,'Current AR'!X$6:X$103,0)),"")</f>
        <v>0</v>
      </c>
      <c r="J64" s="1" t="str">
        <f>IFERROR(INDEX('Current AR'!P$6:P$103,MATCH(59,'Current AR'!X$6:X$103,0)),"")</f>
        <v>Review assigned fictional balance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 t="str">
        <f>IFERROR(INDEX('Current AR'!A$6:A$103,MATCH(60,'Current AR'!X$6:X$103,0)),"")</f>
        <v>Customer 03</v>
      </c>
      <c r="B65" s="1" t="str">
        <f>IFERROR(INDEX('Current AR'!D$6:D$103,MATCH(60,'Current AR'!X$6:X$103,0)),"")</f>
        <v>000060</v>
      </c>
      <c r="C65" s="1" t="str">
        <f>IFERROR(INDEX('Current AR'!C$6:C$103,MATCH(60,'Current AR'!X$6:X$103,0)),"")</f>
        <v>CAL-current-060</v>
      </c>
      <c r="D65" s="4">
        <f>IFERROR(INDEX('Current AR'!F$6:F$103,MATCH(60,'Current AR'!X$6:X$103,0)),"")</f>
        <v>45822</v>
      </c>
      <c r="E65" s="5">
        <f>IFERROR(INDEX('Current AR'!I$6:I$103,MATCH(60,'Current AR'!X$6:X$103,0)),"")</f>
        <v>290741561.81</v>
      </c>
      <c r="F65" s="1">
        <f>IFERROR(INDEX('Current AR'!Q$6:Q$103,MATCH(60,'Current AR'!X$6:X$103,0)),"")</f>
        <v>-45</v>
      </c>
      <c r="G65" s="1" t="str">
        <f>IFERROR(INDEX('Current AR'!J$6:J$103,MATCH(60,'Current AR'!X$6:X$103,0)),"")</f>
        <v>Staff 01</v>
      </c>
      <c r="H65" s="4">
        <f>IFERROR(INDEX('Current AR'!N$6:N$103,MATCH(60,'Current AR'!X$6:X$103,0)),"")</f>
        <v>0</v>
      </c>
      <c r="I65" s="4">
        <f>IFERROR(INDEX('Current AR'!O$6:O$103,MATCH(60,'Current AR'!X$6:X$103,0)),"")</f>
        <v>0</v>
      </c>
      <c r="J65" s="1" t="str">
        <f>IFERROR(INDEX('Current AR'!P$6:P$103,MATCH(60,'Current AR'!X$6:X$103,0)),"")</f>
        <v>Review assigned fictional balance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 t="str">
        <f>IFERROR(INDEX('Current AR'!A$6:A$103,MATCH(61,'Current AR'!X$6:X$103,0)),"")</f>
        <v>Customer 03</v>
      </c>
      <c r="B66" s="1" t="str">
        <f>IFERROR(INDEX('Current AR'!D$6:D$103,MATCH(61,'Current AR'!X$6:X$103,0)),"")</f>
        <v>000061</v>
      </c>
      <c r="C66" s="1" t="str">
        <f>IFERROR(INDEX('Current AR'!C$6:C$103,MATCH(61,'Current AR'!X$6:X$103,0)),"")</f>
        <v>CAL-current-061</v>
      </c>
      <c r="D66" s="4">
        <f>IFERROR(INDEX('Current AR'!F$6:F$103,MATCH(61,'Current AR'!X$6:X$103,0)),"")</f>
        <v>45822</v>
      </c>
      <c r="E66" s="5">
        <f>IFERROR(INDEX('Current AR'!I$6:I$103,MATCH(61,'Current AR'!X$6:X$103,0)),"")</f>
        <v>315034568.62</v>
      </c>
      <c r="F66" s="1">
        <f>IFERROR(INDEX('Current AR'!Q$6:Q$103,MATCH(61,'Current AR'!X$6:X$103,0)),"")</f>
        <v>-45</v>
      </c>
      <c r="G66" s="1" t="str">
        <f>IFERROR(INDEX('Current AR'!J$6:J$103,MATCH(61,'Current AR'!X$6:X$103,0)),"")</f>
        <v>Staff 01</v>
      </c>
      <c r="H66" s="4">
        <f>IFERROR(INDEX('Current AR'!N$6:N$103,MATCH(61,'Current AR'!X$6:X$103,0)),"")</f>
        <v>0</v>
      </c>
      <c r="I66" s="4">
        <f>IFERROR(INDEX('Current AR'!O$6:O$103,MATCH(61,'Current AR'!X$6:X$103,0)),"")</f>
        <v>0</v>
      </c>
      <c r="J66" s="1" t="str">
        <f>IFERROR(INDEX('Current AR'!P$6:P$103,MATCH(61,'Current AR'!X$6:X$103,0)),"")</f>
        <v>Review assigned fictional balance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 t="str">
        <f>IFERROR(INDEX('Current AR'!A$6:A$103,MATCH(62,'Current AR'!X$6:X$103,0)),"")</f>
        <v>Customer 03</v>
      </c>
      <c r="B67" s="1" t="str">
        <f>IFERROR(INDEX('Current AR'!D$6:D$103,MATCH(62,'Current AR'!X$6:X$103,0)),"")</f>
        <v>000062</v>
      </c>
      <c r="C67" s="1" t="str">
        <f>IFERROR(INDEX('Current AR'!C$6:C$103,MATCH(62,'Current AR'!X$6:X$103,0)),"")</f>
        <v>CAL-current-062</v>
      </c>
      <c r="D67" s="4">
        <f>IFERROR(INDEX('Current AR'!F$6:F$103,MATCH(62,'Current AR'!X$6:X$103,0)),"")</f>
        <v>45822</v>
      </c>
      <c r="E67" s="5">
        <f>IFERROR(INDEX('Current AR'!I$6:I$103,MATCH(62,'Current AR'!X$6:X$103,0)),"")</f>
        <v>415388644.86000001</v>
      </c>
      <c r="F67" s="1">
        <f>IFERROR(INDEX('Current AR'!Q$6:Q$103,MATCH(62,'Current AR'!X$6:X$103,0)),"")</f>
        <v>-45</v>
      </c>
      <c r="G67" s="1" t="str">
        <f>IFERROR(INDEX('Current AR'!J$6:J$103,MATCH(62,'Current AR'!X$6:X$103,0)),"")</f>
        <v>Staff 01</v>
      </c>
      <c r="H67" s="4">
        <f>IFERROR(INDEX('Current AR'!N$6:N$103,MATCH(62,'Current AR'!X$6:X$103,0)),"")</f>
        <v>0</v>
      </c>
      <c r="I67" s="4">
        <f>IFERROR(INDEX('Current AR'!O$6:O$103,MATCH(62,'Current AR'!X$6:X$103,0)),"")</f>
        <v>0</v>
      </c>
      <c r="J67" s="1" t="str">
        <f>IFERROR(INDEX('Current AR'!P$6:P$103,MATCH(62,'Current AR'!X$6:X$103,0)),"")</f>
        <v>Review assigned fictional balance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 t="str">
        <f>IFERROR(INDEX('Current AR'!A$6:A$103,MATCH(63,'Current AR'!X$6:X$103,0)),"")</f>
        <v>Customer 03</v>
      </c>
      <c r="B68" s="1" t="str">
        <f>IFERROR(INDEX('Current AR'!D$6:D$103,MATCH(63,'Current AR'!X$6:X$103,0)),"")</f>
        <v>000063</v>
      </c>
      <c r="C68" s="1" t="str">
        <f>IFERROR(INDEX('Current AR'!C$6:C$103,MATCH(63,'Current AR'!X$6:X$103,0)),"")</f>
        <v>CAL-current-063</v>
      </c>
      <c r="D68" s="4">
        <f>IFERROR(INDEX('Current AR'!F$6:F$103,MATCH(63,'Current AR'!X$6:X$103,0)),"")</f>
        <v>45822</v>
      </c>
      <c r="E68" s="5">
        <f>IFERROR(INDEX('Current AR'!I$6:I$103,MATCH(63,'Current AR'!X$6:X$103,0)),"")</f>
        <v>205716399.09999999</v>
      </c>
      <c r="F68" s="1">
        <f>IFERROR(INDEX('Current AR'!Q$6:Q$103,MATCH(63,'Current AR'!X$6:X$103,0)),"")</f>
        <v>-45</v>
      </c>
      <c r="G68" s="1" t="str">
        <f>IFERROR(INDEX('Current AR'!J$6:J$103,MATCH(63,'Current AR'!X$6:X$103,0)),"")</f>
        <v>Staff 01</v>
      </c>
      <c r="H68" s="4">
        <f>IFERROR(INDEX('Current AR'!N$6:N$103,MATCH(63,'Current AR'!X$6:X$103,0)),"")</f>
        <v>0</v>
      </c>
      <c r="I68" s="4">
        <f>IFERROR(INDEX('Current AR'!O$6:O$103,MATCH(63,'Current AR'!X$6:X$103,0)),"")</f>
        <v>0</v>
      </c>
      <c r="J68" s="1" t="str">
        <f>IFERROR(INDEX('Current AR'!P$6:P$103,MATCH(63,'Current AR'!X$6:X$103,0)),"")</f>
        <v>Review assigned fictional balance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 t="str">
        <f>IFERROR(INDEX('Current AR'!A$6:A$103,MATCH(64,'Current AR'!X$6:X$103,0)),"")</f>
        <v>Customer 03</v>
      </c>
      <c r="B69" s="1" t="str">
        <f>IFERROR(INDEX('Current AR'!D$6:D$103,MATCH(64,'Current AR'!X$6:X$103,0)),"")</f>
        <v>000064</v>
      </c>
      <c r="C69" s="1" t="str">
        <f>IFERROR(INDEX('Current AR'!C$6:C$103,MATCH(64,'Current AR'!X$6:X$103,0)),"")</f>
        <v>CAL-current-064</v>
      </c>
      <c r="D69" s="4">
        <f>IFERROR(INDEX('Current AR'!F$6:F$103,MATCH(64,'Current AR'!X$6:X$103,0)),"")</f>
        <v>45822</v>
      </c>
      <c r="E69" s="5">
        <f>IFERROR(INDEX('Current AR'!I$6:I$103,MATCH(64,'Current AR'!X$6:X$103,0)),"")</f>
        <v>349431035.52999997</v>
      </c>
      <c r="F69" s="1">
        <f>IFERROR(INDEX('Current AR'!Q$6:Q$103,MATCH(64,'Current AR'!X$6:X$103,0)),"")</f>
        <v>-45</v>
      </c>
      <c r="G69" s="1" t="str">
        <f>IFERROR(INDEX('Current AR'!J$6:J$103,MATCH(64,'Current AR'!X$6:X$103,0)),"")</f>
        <v>Staff 01</v>
      </c>
      <c r="H69" s="4">
        <f>IFERROR(INDEX('Current AR'!N$6:N$103,MATCH(64,'Current AR'!X$6:X$103,0)),"")</f>
        <v>0</v>
      </c>
      <c r="I69" s="4">
        <f>IFERROR(INDEX('Current AR'!O$6:O$103,MATCH(64,'Current AR'!X$6:X$103,0)),"")</f>
        <v>0</v>
      </c>
      <c r="J69" s="1" t="str">
        <f>IFERROR(INDEX('Current AR'!P$6:P$103,MATCH(64,'Current AR'!X$6:X$103,0)),"")</f>
        <v>Review assigned fictional balance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 t="str">
        <f>IFERROR(INDEX('Current AR'!A$6:A$103,MATCH(65,'Current AR'!X$6:X$103,0)),"")</f>
        <v>Customer 03</v>
      </c>
      <c r="B70" s="1" t="str">
        <f>IFERROR(INDEX('Current AR'!D$6:D$103,MATCH(65,'Current AR'!X$6:X$103,0)),"")</f>
        <v>000065</v>
      </c>
      <c r="C70" s="1" t="str">
        <f>IFERROR(INDEX('Current AR'!C$6:C$103,MATCH(65,'Current AR'!X$6:X$103,0)),"")</f>
        <v>CAL-current-065</v>
      </c>
      <c r="D70" s="4">
        <f>IFERROR(INDEX('Current AR'!F$6:F$103,MATCH(65,'Current AR'!X$6:X$103,0)),"")</f>
        <v>45822</v>
      </c>
      <c r="E70" s="5">
        <f>IFERROR(INDEX('Current AR'!I$6:I$103,MATCH(65,'Current AR'!X$6:X$103,0)),"")</f>
        <v>278267458.73000002</v>
      </c>
      <c r="F70" s="1">
        <f>IFERROR(INDEX('Current AR'!Q$6:Q$103,MATCH(65,'Current AR'!X$6:X$103,0)),"")</f>
        <v>-45</v>
      </c>
      <c r="G70" s="1" t="str">
        <f>IFERROR(INDEX('Current AR'!J$6:J$103,MATCH(65,'Current AR'!X$6:X$103,0)),"")</f>
        <v>Staff 01</v>
      </c>
      <c r="H70" s="4">
        <f>IFERROR(INDEX('Current AR'!N$6:N$103,MATCH(65,'Current AR'!X$6:X$103,0)),"")</f>
        <v>0</v>
      </c>
      <c r="I70" s="4">
        <f>IFERROR(INDEX('Current AR'!O$6:O$103,MATCH(65,'Current AR'!X$6:X$103,0)),"")</f>
        <v>0</v>
      </c>
      <c r="J70" s="1" t="str">
        <f>IFERROR(INDEX('Current AR'!P$6:P$103,MATCH(65,'Current AR'!X$6:X$103,0)),"")</f>
        <v>Review assigned fictional balance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 t="str">
        <f>IFERROR(INDEX('Current AR'!A$6:A$103,MATCH(66,'Current AR'!X$6:X$103,0)),"")</f>
        <v>Customer 03</v>
      </c>
      <c r="B71" s="1" t="str">
        <f>IFERROR(INDEX('Current AR'!D$6:D$103,MATCH(66,'Current AR'!X$6:X$103,0)),"")</f>
        <v>000066</v>
      </c>
      <c r="C71" s="1" t="str">
        <f>IFERROR(INDEX('Current AR'!C$6:C$103,MATCH(66,'Current AR'!X$6:X$103,0)),"")</f>
        <v>CAL-current-066</v>
      </c>
      <c r="D71" s="4">
        <f>IFERROR(INDEX('Current AR'!F$6:F$103,MATCH(66,'Current AR'!X$6:X$103,0)),"")</f>
        <v>45822</v>
      </c>
      <c r="E71" s="5">
        <f>IFERROR(INDEX('Current AR'!I$6:I$103,MATCH(66,'Current AR'!X$6:X$103,0)),"")</f>
        <v>405961880.33999997</v>
      </c>
      <c r="F71" s="1">
        <f>IFERROR(INDEX('Current AR'!Q$6:Q$103,MATCH(66,'Current AR'!X$6:X$103,0)),"")</f>
        <v>-45</v>
      </c>
      <c r="G71" s="1" t="str">
        <f>IFERROR(INDEX('Current AR'!J$6:J$103,MATCH(66,'Current AR'!X$6:X$103,0)),"")</f>
        <v>Staff 01</v>
      </c>
      <c r="H71" s="4">
        <f>IFERROR(INDEX('Current AR'!N$6:N$103,MATCH(66,'Current AR'!X$6:X$103,0)),"")</f>
        <v>0</v>
      </c>
      <c r="I71" s="4">
        <f>IFERROR(INDEX('Current AR'!O$6:O$103,MATCH(66,'Current AR'!X$6:X$103,0)),"")</f>
        <v>0</v>
      </c>
      <c r="J71" s="1" t="str">
        <f>IFERROR(INDEX('Current AR'!P$6:P$103,MATCH(66,'Current AR'!X$6:X$103,0)),"")</f>
        <v>Review assigned fictional balance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 t="str">
        <f>IFERROR(INDEX('Current AR'!A$6:A$103,MATCH(67,'Current AR'!X$6:X$103,0)),"")</f>
        <v>Customer 03</v>
      </c>
      <c r="B72" s="1" t="str">
        <f>IFERROR(INDEX('Current AR'!D$6:D$103,MATCH(67,'Current AR'!X$6:X$103,0)),"")</f>
        <v>000067</v>
      </c>
      <c r="C72" s="1" t="str">
        <f>IFERROR(INDEX('Current AR'!C$6:C$103,MATCH(67,'Current AR'!X$6:X$103,0)),"")</f>
        <v>CAL-current-067</v>
      </c>
      <c r="D72" s="4">
        <f>IFERROR(INDEX('Current AR'!F$6:F$103,MATCH(67,'Current AR'!X$6:X$103,0)),"")</f>
        <v>45822</v>
      </c>
      <c r="E72" s="5">
        <f>IFERROR(INDEX('Current AR'!I$6:I$103,MATCH(67,'Current AR'!X$6:X$103,0)),"")</f>
        <v>290068684.56999999</v>
      </c>
      <c r="F72" s="1">
        <f>IFERROR(INDEX('Current AR'!Q$6:Q$103,MATCH(67,'Current AR'!X$6:X$103,0)),"")</f>
        <v>-45</v>
      </c>
      <c r="G72" s="1" t="str">
        <f>IFERROR(INDEX('Current AR'!J$6:J$103,MATCH(67,'Current AR'!X$6:X$103,0)),"")</f>
        <v>Staff 01</v>
      </c>
      <c r="H72" s="4">
        <f>IFERROR(INDEX('Current AR'!N$6:N$103,MATCH(67,'Current AR'!X$6:X$103,0)),"")</f>
        <v>0</v>
      </c>
      <c r="I72" s="4">
        <f>IFERROR(INDEX('Current AR'!O$6:O$103,MATCH(67,'Current AR'!X$6:X$103,0)),"")</f>
        <v>0</v>
      </c>
      <c r="J72" s="1" t="str">
        <f>IFERROR(INDEX('Current AR'!P$6:P$103,MATCH(67,'Current AR'!X$6:X$103,0)),"")</f>
        <v>Review assigned fictional balance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 t="str">
        <f>IFERROR(INDEX('Current AR'!A$6:A$103,MATCH(68,'Current AR'!X$6:X$103,0)),"")</f>
        <v>Customer 03</v>
      </c>
      <c r="B73" s="1" t="str">
        <f>IFERROR(INDEX('Current AR'!D$6:D$103,MATCH(68,'Current AR'!X$6:X$103,0)),"")</f>
        <v>000068</v>
      </c>
      <c r="C73" s="1" t="str">
        <f>IFERROR(INDEX('Current AR'!C$6:C$103,MATCH(68,'Current AR'!X$6:X$103,0)),"")</f>
        <v>CAL-current-068</v>
      </c>
      <c r="D73" s="4">
        <f>IFERROR(INDEX('Current AR'!F$6:F$103,MATCH(68,'Current AR'!X$6:X$103,0)),"")</f>
        <v>45822</v>
      </c>
      <c r="E73" s="5">
        <f>IFERROR(INDEX('Current AR'!I$6:I$103,MATCH(68,'Current AR'!X$6:X$103,0)),"")</f>
        <v>154980915.55000001</v>
      </c>
      <c r="F73" s="1">
        <f>IFERROR(INDEX('Current AR'!Q$6:Q$103,MATCH(68,'Current AR'!X$6:X$103,0)),"")</f>
        <v>-45</v>
      </c>
      <c r="G73" s="1" t="str">
        <f>IFERROR(INDEX('Current AR'!J$6:J$103,MATCH(68,'Current AR'!X$6:X$103,0)),"")</f>
        <v>Staff 01</v>
      </c>
      <c r="H73" s="4">
        <f>IFERROR(INDEX('Current AR'!N$6:N$103,MATCH(68,'Current AR'!X$6:X$103,0)),"")</f>
        <v>0</v>
      </c>
      <c r="I73" s="4">
        <f>IFERROR(INDEX('Current AR'!O$6:O$103,MATCH(68,'Current AR'!X$6:X$103,0)),"")</f>
        <v>0</v>
      </c>
      <c r="J73" s="1" t="str">
        <f>IFERROR(INDEX('Current AR'!P$6:P$103,MATCH(68,'Current AR'!X$6:X$103,0)),"")</f>
        <v>Review assigned fictional balance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 t="str">
        <f>IFERROR(INDEX('Current AR'!A$6:A$103,MATCH(69,'Current AR'!X$6:X$103,0)),"")</f>
        <v>Customer 03</v>
      </c>
      <c r="B74" s="1" t="str">
        <f>IFERROR(INDEX('Current AR'!D$6:D$103,MATCH(69,'Current AR'!X$6:X$103,0)),"")</f>
        <v>000069</v>
      </c>
      <c r="C74" s="1" t="str">
        <f>IFERROR(INDEX('Current AR'!C$6:C$103,MATCH(69,'Current AR'!X$6:X$103,0)),"")</f>
        <v>CAL-current-069</v>
      </c>
      <c r="D74" s="4">
        <f>IFERROR(INDEX('Current AR'!F$6:F$103,MATCH(69,'Current AR'!X$6:X$103,0)),"")</f>
        <v>45822</v>
      </c>
      <c r="E74" s="5">
        <f>IFERROR(INDEX('Current AR'!I$6:I$103,MATCH(69,'Current AR'!X$6:X$103,0)),"")</f>
        <v>186787096.50999999</v>
      </c>
      <c r="F74" s="1">
        <f>IFERROR(INDEX('Current AR'!Q$6:Q$103,MATCH(69,'Current AR'!X$6:X$103,0)),"")</f>
        <v>-45</v>
      </c>
      <c r="G74" s="1" t="str">
        <f>IFERROR(INDEX('Current AR'!J$6:J$103,MATCH(69,'Current AR'!X$6:X$103,0)),"")</f>
        <v>Staff 01</v>
      </c>
      <c r="H74" s="4">
        <f>IFERROR(INDEX('Current AR'!N$6:N$103,MATCH(69,'Current AR'!X$6:X$103,0)),"")</f>
        <v>0</v>
      </c>
      <c r="I74" s="4">
        <f>IFERROR(INDEX('Current AR'!O$6:O$103,MATCH(69,'Current AR'!X$6:X$103,0)),"")</f>
        <v>0</v>
      </c>
      <c r="J74" s="1" t="str">
        <f>IFERROR(INDEX('Current AR'!P$6:P$103,MATCH(69,'Current AR'!X$6:X$103,0)),"")</f>
        <v>Review assigned fictional balance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 t="str">
        <f>IFERROR(INDEX('Current AR'!A$6:A$103,MATCH(70,'Current AR'!X$6:X$103,0)),"")</f>
        <v>Customer 03</v>
      </c>
      <c r="B75" s="1" t="str">
        <f>IFERROR(INDEX('Current AR'!D$6:D$103,MATCH(70,'Current AR'!X$6:X$103,0)),"")</f>
        <v>000070</v>
      </c>
      <c r="C75" s="1" t="str">
        <f>IFERROR(INDEX('Current AR'!C$6:C$103,MATCH(70,'Current AR'!X$6:X$103,0)),"")</f>
        <v>CAL-current-070</v>
      </c>
      <c r="D75" s="4">
        <f>IFERROR(INDEX('Current AR'!F$6:F$103,MATCH(70,'Current AR'!X$6:X$103,0)),"")</f>
        <v>45822</v>
      </c>
      <c r="E75" s="5">
        <f>IFERROR(INDEX('Current AR'!I$6:I$103,MATCH(70,'Current AR'!X$6:X$103,0)),"")</f>
        <v>242840512.87</v>
      </c>
      <c r="F75" s="1">
        <f>IFERROR(INDEX('Current AR'!Q$6:Q$103,MATCH(70,'Current AR'!X$6:X$103,0)),"")</f>
        <v>-45</v>
      </c>
      <c r="G75" s="1" t="str">
        <f>IFERROR(INDEX('Current AR'!J$6:J$103,MATCH(70,'Current AR'!X$6:X$103,0)),"")</f>
        <v>Staff 01</v>
      </c>
      <c r="H75" s="4">
        <f>IFERROR(INDEX('Current AR'!N$6:N$103,MATCH(70,'Current AR'!X$6:X$103,0)),"")</f>
        <v>0</v>
      </c>
      <c r="I75" s="4">
        <f>IFERROR(INDEX('Current AR'!O$6:O$103,MATCH(70,'Current AR'!X$6:X$103,0)),"")</f>
        <v>0</v>
      </c>
      <c r="J75" s="1" t="str">
        <f>IFERROR(INDEX('Current AR'!P$6:P$103,MATCH(70,'Current AR'!X$6:X$103,0)),"")</f>
        <v>Review assigned fictional balance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 t="str">
        <f>IFERROR(INDEX('Current AR'!A$6:A$103,MATCH(71,'Current AR'!X$6:X$103,0)),"")</f>
        <v>Customer 03</v>
      </c>
      <c r="B76" s="1" t="str">
        <f>IFERROR(INDEX('Current AR'!D$6:D$103,MATCH(71,'Current AR'!X$6:X$103,0)),"")</f>
        <v>000071</v>
      </c>
      <c r="C76" s="1" t="str">
        <f>IFERROR(INDEX('Current AR'!C$6:C$103,MATCH(71,'Current AR'!X$6:X$103,0)),"")</f>
        <v>CAL-current-071</v>
      </c>
      <c r="D76" s="4">
        <f>IFERROR(INDEX('Current AR'!F$6:F$103,MATCH(71,'Current AR'!X$6:X$103,0)),"")</f>
        <v>45822</v>
      </c>
      <c r="E76" s="5">
        <f>IFERROR(INDEX('Current AR'!I$6:I$103,MATCH(71,'Current AR'!X$6:X$103,0)),"")</f>
        <v>219861623.72999999</v>
      </c>
      <c r="F76" s="1">
        <f>IFERROR(INDEX('Current AR'!Q$6:Q$103,MATCH(71,'Current AR'!X$6:X$103,0)),"")</f>
        <v>-45</v>
      </c>
      <c r="G76" s="1" t="str">
        <f>IFERROR(INDEX('Current AR'!J$6:J$103,MATCH(71,'Current AR'!X$6:X$103,0)),"")</f>
        <v>Staff 01</v>
      </c>
      <c r="H76" s="4">
        <f>IFERROR(INDEX('Current AR'!N$6:N$103,MATCH(71,'Current AR'!X$6:X$103,0)),"")</f>
        <v>0</v>
      </c>
      <c r="I76" s="4">
        <f>IFERROR(INDEX('Current AR'!O$6:O$103,MATCH(71,'Current AR'!X$6:X$103,0)),"")</f>
        <v>0</v>
      </c>
      <c r="J76" s="1" t="str">
        <f>IFERROR(INDEX('Current AR'!P$6:P$103,MATCH(71,'Current AR'!X$6:X$103,0)),"")</f>
        <v>Review assigned fictional balance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 t="str">
        <f>IFERROR(INDEX('Current AR'!A$6:A$103,MATCH(72,'Current AR'!X$6:X$103,0)),"")</f>
        <v>Customer 03</v>
      </c>
      <c r="B77" s="1" t="str">
        <f>IFERROR(INDEX('Current AR'!D$6:D$103,MATCH(72,'Current AR'!X$6:X$103,0)),"")</f>
        <v>000072</v>
      </c>
      <c r="C77" s="1" t="str">
        <f>IFERROR(INDEX('Current AR'!C$6:C$103,MATCH(72,'Current AR'!X$6:X$103,0)),"")</f>
        <v>CAL-current-072</v>
      </c>
      <c r="D77" s="4">
        <f>IFERROR(INDEX('Current AR'!F$6:F$103,MATCH(72,'Current AR'!X$6:X$103,0)),"")</f>
        <v>45833</v>
      </c>
      <c r="E77" s="5">
        <f>IFERROR(INDEX('Current AR'!I$6:I$103,MATCH(72,'Current AR'!X$6:X$103,0)),"")</f>
        <v>348879939.70999998</v>
      </c>
      <c r="F77" s="1">
        <f>IFERROR(INDEX('Current AR'!Q$6:Q$103,MATCH(72,'Current AR'!X$6:X$103,0)),"")</f>
        <v>-56</v>
      </c>
      <c r="G77" s="1" t="str">
        <f>IFERROR(INDEX('Current AR'!J$6:J$103,MATCH(72,'Current AR'!X$6:X$103,0)),"")</f>
        <v>Staff 02</v>
      </c>
      <c r="H77" s="4">
        <f>IFERROR(INDEX('Current AR'!N$6:N$103,MATCH(72,'Current AR'!X$6:X$103,0)),"")</f>
        <v>0</v>
      </c>
      <c r="I77" s="4">
        <f>IFERROR(INDEX('Current AR'!O$6:O$103,MATCH(72,'Current AR'!X$6:X$103,0)),"")</f>
        <v>0</v>
      </c>
      <c r="J77" s="1" t="str">
        <f>IFERROR(INDEX('Current AR'!P$6:P$103,MATCH(72,'Current AR'!X$6:X$103,0)),"")</f>
        <v>Review assigned fictional balance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 t="str">
        <f>IFERROR(INDEX('Current AR'!A$6:A$103,MATCH(73,'Current AR'!X$6:X$103,0)),"")</f>
        <v>Customer 03</v>
      </c>
      <c r="B78" s="1" t="str">
        <f>IFERROR(INDEX('Current AR'!D$6:D$103,MATCH(73,'Current AR'!X$6:X$103,0)),"")</f>
        <v>000073</v>
      </c>
      <c r="C78" s="1" t="str">
        <f>IFERROR(INDEX('Current AR'!C$6:C$103,MATCH(73,'Current AR'!X$6:X$103,0)),"")</f>
        <v>CAL-current-073</v>
      </c>
      <c r="D78" s="4">
        <f>IFERROR(INDEX('Current AR'!F$6:F$103,MATCH(73,'Current AR'!X$6:X$103,0)),"")</f>
        <v>45833</v>
      </c>
      <c r="E78" s="5">
        <f>IFERROR(INDEX('Current AR'!I$6:I$103,MATCH(73,'Current AR'!X$6:X$103,0)),"")</f>
        <v>151951891.59</v>
      </c>
      <c r="F78" s="1">
        <f>IFERROR(INDEX('Current AR'!Q$6:Q$103,MATCH(73,'Current AR'!X$6:X$103,0)),"")</f>
        <v>-56</v>
      </c>
      <c r="G78" s="1" t="str">
        <f>IFERROR(INDEX('Current AR'!J$6:J$103,MATCH(73,'Current AR'!X$6:X$103,0)),"")</f>
        <v>Staff 02</v>
      </c>
      <c r="H78" s="4">
        <f>IFERROR(INDEX('Current AR'!N$6:N$103,MATCH(73,'Current AR'!X$6:X$103,0)),"")</f>
        <v>0</v>
      </c>
      <c r="I78" s="4">
        <f>IFERROR(INDEX('Current AR'!O$6:O$103,MATCH(73,'Current AR'!X$6:X$103,0)),"")</f>
        <v>0</v>
      </c>
      <c r="J78" s="1" t="str">
        <f>IFERROR(INDEX('Current AR'!P$6:P$103,MATCH(73,'Current AR'!X$6:X$103,0)),"")</f>
        <v>Review assigned fictional balance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 t="str">
        <f>IFERROR(INDEX('Current AR'!A$6:A$103,MATCH(74,'Current AR'!X$6:X$103,0)),"")</f>
        <v>Customer 03</v>
      </c>
      <c r="B79" s="1" t="str">
        <f>IFERROR(INDEX('Current AR'!D$6:D$103,MATCH(74,'Current AR'!X$6:X$103,0)),"")</f>
        <v>000074</v>
      </c>
      <c r="C79" s="1" t="str">
        <f>IFERROR(INDEX('Current AR'!C$6:C$103,MATCH(74,'Current AR'!X$6:X$103,0)),"")</f>
        <v>CAL-current-074</v>
      </c>
      <c r="D79" s="4">
        <f>IFERROR(INDEX('Current AR'!F$6:F$103,MATCH(74,'Current AR'!X$6:X$103,0)),"")</f>
        <v>45833</v>
      </c>
      <c r="E79" s="5">
        <f>IFERROR(INDEX('Current AR'!I$6:I$103,MATCH(74,'Current AR'!X$6:X$103,0)),"")</f>
        <v>378483383.17000002</v>
      </c>
      <c r="F79" s="1">
        <f>IFERROR(INDEX('Current AR'!Q$6:Q$103,MATCH(74,'Current AR'!X$6:X$103,0)),"")</f>
        <v>-56</v>
      </c>
      <c r="G79" s="1" t="str">
        <f>IFERROR(INDEX('Current AR'!J$6:J$103,MATCH(74,'Current AR'!X$6:X$103,0)),"")</f>
        <v>Staff 02</v>
      </c>
      <c r="H79" s="4">
        <f>IFERROR(INDEX('Current AR'!N$6:N$103,MATCH(74,'Current AR'!X$6:X$103,0)),"")</f>
        <v>0</v>
      </c>
      <c r="I79" s="4">
        <f>IFERROR(INDEX('Current AR'!O$6:O$103,MATCH(74,'Current AR'!X$6:X$103,0)),"")</f>
        <v>0</v>
      </c>
      <c r="J79" s="1" t="str">
        <f>IFERROR(INDEX('Current AR'!P$6:P$103,MATCH(74,'Current AR'!X$6:X$103,0)),"")</f>
        <v>Review assigned fictional balance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 t="str">
        <f>IFERROR(INDEX('Current AR'!A$6:A$103,MATCH(75,'Current AR'!X$6:X$103,0)),"")</f>
        <v>Customer 03</v>
      </c>
      <c r="B80" s="1" t="str">
        <f>IFERROR(INDEX('Current AR'!D$6:D$103,MATCH(75,'Current AR'!X$6:X$103,0)),"")</f>
        <v>000075</v>
      </c>
      <c r="C80" s="1" t="str">
        <f>IFERROR(INDEX('Current AR'!C$6:C$103,MATCH(75,'Current AR'!X$6:X$103,0)),"")</f>
        <v>CAL-current-075</v>
      </c>
      <c r="D80" s="4">
        <f>IFERROR(INDEX('Current AR'!F$6:F$103,MATCH(75,'Current AR'!X$6:X$103,0)),"")</f>
        <v>45833</v>
      </c>
      <c r="E80" s="5">
        <f>IFERROR(INDEX('Current AR'!I$6:I$103,MATCH(75,'Current AR'!X$6:X$103,0)),"")</f>
        <v>378101727.81</v>
      </c>
      <c r="F80" s="1">
        <f>IFERROR(INDEX('Current AR'!Q$6:Q$103,MATCH(75,'Current AR'!X$6:X$103,0)),"")</f>
        <v>-56</v>
      </c>
      <c r="G80" s="1" t="str">
        <f>IFERROR(INDEX('Current AR'!J$6:J$103,MATCH(75,'Current AR'!X$6:X$103,0)),"")</f>
        <v>Staff 02</v>
      </c>
      <c r="H80" s="4">
        <f>IFERROR(INDEX('Current AR'!N$6:N$103,MATCH(75,'Current AR'!X$6:X$103,0)),"")</f>
        <v>0</v>
      </c>
      <c r="I80" s="4">
        <f>IFERROR(INDEX('Current AR'!O$6:O$103,MATCH(75,'Current AR'!X$6:X$103,0)),"")</f>
        <v>0</v>
      </c>
      <c r="J80" s="1" t="str">
        <f>IFERROR(INDEX('Current AR'!P$6:P$103,MATCH(75,'Current AR'!X$6:X$103,0)),"")</f>
        <v>Review assigned fictional balance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 t="str">
        <f>IFERROR(INDEX('Current AR'!A$6:A$103,MATCH(76,'Current AR'!X$6:X$103,0)),"")</f>
        <v>Customer 03</v>
      </c>
      <c r="B81" s="1" t="str">
        <f>IFERROR(INDEX('Current AR'!D$6:D$103,MATCH(76,'Current AR'!X$6:X$103,0)),"")</f>
        <v>000076</v>
      </c>
      <c r="C81" s="1" t="str">
        <f>IFERROR(INDEX('Current AR'!C$6:C$103,MATCH(76,'Current AR'!X$6:X$103,0)),"")</f>
        <v>CAL-current-076</v>
      </c>
      <c r="D81" s="4">
        <f>IFERROR(INDEX('Current AR'!F$6:F$103,MATCH(76,'Current AR'!X$6:X$103,0)),"")</f>
        <v>45833</v>
      </c>
      <c r="E81" s="5">
        <f>IFERROR(INDEX('Current AR'!I$6:I$103,MATCH(76,'Current AR'!X$6:X$103,0)),"")</f>
        <v>394260420.66000003</v>
      </c>
      <c r="F81" s="1">
        <f>IFERROR(INDEX('Current AR'!Q$6:Q$103,MATCH(76,'Current AR'!X$6:X$103,0)),"")</f>
        <v>-56</v>
      </c>
      <c r="G81" s="1" t="str">
        <f>IFERROR(INDEX('Current AR'!J$6:J$103,MATCH(76,'Current AR'!X$6:X$103,0)),"")</f>
        <v>Staff 02</v>
      </c>
      <c r="H81" s="4">
        <f>IFERROR(INDEX('Current AR'!N$6:N$103,MATCH(76,'Current AR'!X$6:X$103,0)),"")</f>
        <v>0</v>
      </c>
      <c r="I81" s="4">
        <f>IFERROR(INDEX('Current AR'!O$6:O$103,MATCH(76,'Current AR'!X$6:X$103,0)),"")</f>
        <v>0</v>
      </c>
      <c r="J81" s="1" t="str">
        <f>IFERROR(INDEX('Current AR'!P$6:P$103,MATCH(76,'Current AR'!X$6:X$103,0)),"")</f>
        <v>Review assigned fictional balance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 t="str">
        <f>IFERROR(INDEX('Current AR'!A$6:A$103,MATCH(77,'Current AR'!X$6:X$103,0)),"")</f>
        <v>Customer 03</v>
      </c>
      <c r="B82" s="1" t="str">
        <f>IFERROR(INDEX('Current AR'!D$6:D$103,MATCH(77,'Current AR'!X$6:X$103,0)),"")</f>
        <v>000077</v>
      </c>
      <c r="C82" s="1" t="str">
        <f>IFERROR(INDEX('Current AR'!C$6:C$103,MATCH(77,'Current AR'!X$6:X$103,0)),"")</f>
        <v>CAL-current-077</v>
      </c>
      <c r="D82" s="4">
        <f>IFERROR(INDEX('Current AR'!F$6:F$103,MATCH(77,'Current AR'!X$6:X$103,0)),"")</f>
        <v>45833</v>
      </c>
      <c r="E82" s="5">
        <f>IFERROR(INDEX('Current AR'!I$6:I$103,MATCH(77,'Current AR'!X$6:X$103,0)),"")</f>
        <v>246001937.56</v>
      </c>
      <c r="F82" s="1">
        <f>IFERROR(INDEX('Current AR'!Q$6:Q$103,MATCH(77,'Current AR'!X$6:X$103,0)),"")</f>
        <v>-56</v>
      </c>
      <c r="G82" s="1" t="str">
        <f>IFERROR(INDEX('Current AR'!J$6:J$103,MATCH(77,'Current AR'!X$6:X$103,0)),"")</f>
        <v>Staff 02</v>
      </c>
      <c r="H82" s="4">
        <f>IFERROR(INDEX('Current AR'!N$6:N$103,MATCH(77,'Current AR'!X$6:X$103,0)),"")</f>
        <v>0</v>
      </c>
      <c r="I82" s="4">
        <f>IFERROR(INDEX('Current AR'!O$6:O$103,MATCH(77,'Current AR'!X$6:X$103,0)),"")</f>
        <v>0</v>
      </c>
      <c r="J82" s="1" t="str">
        <f>IFERROR(INDEX('Current AR'!P$6:P$103,MATCH(77,'Current AR'!X$6:X$103,0)),"")</f>
        <v>Review assigned fictional balance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 t="str">
        <f>IFERROR(INDEX('Current AR'!A$6:A$103,MATCH(78,'Current AR'!X$6:X$103,0)),"")</f>
        <v>Customer 03</v>
      </c>
      <c r="B83" s="1" t="str">
        <f>IFERROR(INDEX('Current AR'!D$6:D$103,MATCH(78,'Current AR'!X$6:X$103,0)),"")</f>
        <v>000078</v>
      </c>
      <c r="C83" s="1" t="str">
        <f>IFERROR(INDEX('Current AR'!C$6:C$103,MATCH(78,'Current AR'!X$6:X$103,0)),"")</f>
        <v>CAL-current-078</v>
      </c>
      <c r="D83" s="4">
        <f>IFERROR(INDEX('Current AR'!F$6:F$103,MATCH(78,'Current AR'!X$6:X$103,0)),"")</f>
        <v>45833</v>
      </c>
      <c r="E83" s="5">
        <f>IFERROR(INDEX('Current AR'!I$6:I$103,MATCH(78,'Current AR'!X$6:X$103,0)),"")</f>
        <v>274967846.5</v>
      </c>
      <c r="F83" s="1">
        <f>IFERROR(INDEX('Current AR'!Q$6:Q$103,MATCH(78,'Current AR'!X$6:X$103,0)),"")</f>
        <v>-56</v>
      </c>
      <c r="G83" s="1" t="str">
        <f>IFERROR(INDEX('Current AR'!J$6:J$103,MATCH(78,'Current AR'!X$6:X$103,0)),"")</f>
        <v>Staff 02</v>
      </c>
      <c r="H83" s="4">
        <f>IFERROR(INDEX('Current AR'!N$6:N$103,MATCH(78,'Current AR'!X$6:X$103,0)),"")</f>
        <v>0</v>
      </c>
      <c r="I83" s="4">
        <f>IFERROR(INDEX('Current AR'!O$6:O$103,MATCH(78,'Current AR'!X$6:X$103,0)),"")</f>
        <v>0</v>
      </c>
      <c r="J83" s="1" t="str">
        <f>IFERROR(INDEX('Current AR'!P$6:P$103,MATCH(78,'Current AR'!X$6:X$103,0)),"")</f>
        <v>Review assigned fictional balance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 t="str">
        <f>IFERROR(INDEX('Current AR'!A$6:A$103,MATCH(79,'Current AR'!X$6:X$103,0)),"")</f>
        <v>Customer 03</v>
      </c>
      <c r="B84" s="1" t="str">
        <f>IFERROR(INDEX('Current AR'!D$6:D$103,MATCH(79,'Current AR'!X$6:X$103,0)),"")</f>
        <v>000079</v>
      </c>
      <c r="C84" s="1" t="str">
        <f>IFERROR(INDEX('Current AR'!C$6:C$103,MATCH(79,'Current AR'!X$6:X$103,0)),"")</f>
        <v>CAL-current-079</v>
      </c>
      <c r="D84" s="4">
        <f>IFERROR(INDEX('Current AR'!F$6:F$103,MATCH(79,'Current AR'!X$6:X$103,0)),"")</f>
        <v>45832</v>
      </c>
      <c r="E84" s="5">
        <f>IFERROR(INDEX('Current AR'!I$6:I$103,MATCH(79,'Current AR'!X$6:X$103,0)),"")</f>
        <v>3369184420.2800002</v>
      </c>
      <c r="F84" s="1">
        <f>IFERROR(INDEX('Current AR'!Q$6:Q$103,MATCH(79,'Current AR'!X$6:X$103,0)),"")</f>
        <v>-55</v>
      </c>
      <c r="G84" s="1" t="str">
        <f>IFERROR(INDEX('Current AR'!J$6:J$103,MATCH(79,'Current AR'!X$6:X$103,0)),"")</f>
        <v>Staff 02</v>
      </c>
      <c r="H84" s="4">
        <f>IFERROR(INDEX('Current AR'!N$6:N$103,MATCH(79,'Current AR'!X$6:X$103,0)),"")</f>
        <v>0</v>
      </c>
      <c r="I84" s="4">
        <f>IFERROR(INDEX('Current AR'!O$6:O$103,MATCH(79,'Current AR'!X$6:X$103,0)),"")</f>
        <v>0</v>
      </c>
      <c r="J84" s="1" t="str">
        <f>IFERROR(INDEX('Current AR'!P$6:P$103,MATCH(79,'Current AR'!X$6:X$103,0)),"")</f>
        <v>Review assigned fictional balance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 t="str">
        <f>IFERROR(INDEX('Current AR'!A$6:A$103,MATCH(80,'Current AR'!X$6:X$103,0)),"")</f>
        <v>Customer 03</v>
      </c>
      <c r="B85" s="1" t="str">
        <f>IFERROR(INDEX('Current AR'!D$6:D$103,MATCH(80,'Current AR'!X$6:X$103,0)),"")</f>
        <v>000080</v>
      </c>
      <c r="C85" s="1" t="str">
        <f>IFERROR(INDEX('Current AR'!C$6:C$103,MATCH(80,'Current AR'!X$6:X$103,0)),"")</f>
        <v>CAL-current-080</v>
      </c>
      <c r="D85" s="4">
        <f>IFERROR(INDEX('Current AR'!F$6:F$103,MATCH(80,'Current AR'!X$6:X$103,0)),"")</f>
        <v>45832</v>
      </c>
      <c r="E85" s="5">
        <f>IFERROR(INDEX('Current AR'!I$6:I$103,MATCH(80,'Current AR'!X$6:X$103,0)),"")</f>
        <v>2469546922.8000002</v>
      </c>
      <c r="F85" s="1">
        <f>IFERROR(INDEX('Current AR'!Q$6:Q$103,MATCH(80,'Current AR'!X$6:X$103,0)),"")</f>
        <v>-55</v>
      </c>
      <c r="G85" s="1" t="str">
        <f>IFERROR(INDEX('Current AR'!J$6:J$103,MATCH(80,'Current AR'!X$6:X$103,0)),"")</f>
        <v>Staff 02</v>
      </c>
      <c r="H85" s="4">
        <f>IFERROR(INDEX('Current AR'!N$6:N$103,MATCH(80,'Current AR'!X$6:X$103,0)),"")</f>
        <v>0</v>
      </c>
      <c r="I85" s="4">
        <f>IFERROR(INDEX('Current AR'!O$6:O$103,MATCH(80,'Current AR'!X$6:X$103,0)),"")</f>
        <v>0</v>
      </c>
      <c r="J85" s="1" t="str">
        <f>IFERROR(INDEX('Current AR'!P$6:P$103,MATCH(80,'Current AR'!X$6:X$103,0)),"")</f>
        <v>Review assigned fictional balance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 t="str">
        <f>IFERROR(INDEX('Current AR'!A$6:A$103,MATCH(81,'Current AR'!X$6:X$103,0)),"")</f>
        <v>Customer 03</v>
      </c>
      <c r="B86" s="1" t="str">
        <f>IFERROR(INDEX('Current AR'!D$6:D$103,MATCH(81,'Current AR'!X$6:X$103,0)),"")</f>
        <v>000081</v>
      </c>
      <c r="C86" s="1" t="str">
        <f>IFERROR(INDEX('Current AR'!C$6:C$103,MATCH(81,'Current AR'!X$6:X$103,0)),"")</f>
        <v>CAL-current-081</v>
      </c>
      <c r="D86" s="4">
        <f>IFERROR(INDEX('Current AR'!F$6:F$103,MATCH(81,'Current AR'!X$6:X$103,0)),"")</f>
        <v>45832</v>
      </c>
      <c r="E86" s="5">
        <f>IFERROR(INDEX('Current AR'!I$6:I$103,MATCH(81,'Current AR'!X$6:X$103,0)),"")</f>
        <v>2140831945.8199999</v>
      </c>
      <c r="F86" s="1">
        <f>IFERROR(INDEX('Current AR'!Q$6:Q$103,MATCH(81,'Current AR'!X$6:X$103,0)),"")</f>
        <v>-55</v>
      </c>
      <c r="G86" s="1" t="str">
        <f>IFERROR(INDEX('Current AR'!J$6:J$103,MATCH(81,'Current AR'!X$6:X$103,0)),"")</f>
        <v>Staff 02</v>
      </c>
      <c r="H86" s="4">
        <f>IFERROR(INDEX('Current AR'!N$6:N$103,MATCH(81,'Current AR'!X$6:X$103,0)),"")</f>
        <v>0</v>
      </c>
      <c r="I86" s="4">
        <f>IFERROR(INDEX('Current AR'!O$6:O$103,MATCH(81,'Current AR'!X$6:X$103,0)),"")</f>
        <v>0</v>
      </c>
      <c r="J86" s="1" t="str">
        <f>IFERROR(INDEX('Current AR'!P$6:P$103,MATCH(81,'Current AR'!X$6:X$103,0)),"")</f>
        <v>Review assigned fictional balance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 t="str">
        <f>IFERROR(INDEX('Current AR'!A$6:A$103,MATCH(82,'Current AR'!X$6:X$103,0)),"")</f>
        <v>Customer 03</v>
      </c>
      <c r="B87" s="1" t="str">
        <f>IFERROR(INDEX('Current AR'!D$6:D$103,MATCH(82,'Current AR'!X$6:X$103,0)),"")</f>
        <v>000082</v>
      </c>
      <c r="C87" s="1" t="str">
        <f>IFERROR(INDEX('Current AR'!C$6:C$103,MATCH(82,'Current AR'!X$6:X$103,0)),"")</f>
        <v>CAL-current-082</v>
      </c>
      <c r="D87" s="4">
        <f>IFERROR(INDEX('Current AR'!F$6:F$103,MATCH(82,'Current AR'!X$6:X$103,0)),"")</f>
        <v>45832</v>
      </c>
      <c r="E87" s="5">
        <f>IFERROR(INDEX('Current AR'!I$6:I$103,MATCH(82,'Current AR'!X$6:X$103,0)),"")</f>
        <v>3270189647.9899998</v>
      </c>
      <c r="F87" s="1">
        <f>IFERROR(INDEX('Current AR'!Q$6:Q$103,MATCH(82,'Current AR'!X$6:X$103,0)),"")</f>
        <v>-55</v>
      </c>
      <c r="G87" s="1" t="str">
        <f>IFERROR(INDEX('Current AR'!J$6:J$103,MATCH(82,'Current AR'!X$6:X$103,0)),"")</f>
        <v>Staff 02</v>
      </c>
      <c r="H87" s="4">
        <f>IFERROR(INDEX('Current AR'!N$6:N$103,MATCH(82,'Current AR'!X$6:X$103,0)),"")</f>
        <v>0</v>
      </c>
      <c r="I87" s="4">
        <f>IFERROR(INDEX('Current AR'!O$6:O$103,MATCH(82,'Current AR'!X$6:X$103,0)),"")</f>
        <v>0</v>
      </c>
      <c r="J87" s="1" t="str">
        <f>IFERROR(INDEX('Current AR'!P$6:P$103,MATCH(82,'Current AR'!X$6:X$103,0)),"")</f>
        <v>Review assigned fictional balance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 t="str">
        <f>IFERROR(INDEX('Current AR'!A$6:A$103,MATCH(83,'Current AR'!X$6:X$103,0)),"")</f>
        <v>Customer 03</v>
      </c>
      <c r="B88" s="1" t="str">
        <f>IFERROR(INDEX('Current AR'!D$6:D$103,MATCH(83,'Current AR'!X$6:X$103,0)),"")</f>
        <v>000083</v>
      </c>
      <c r="C88" s="1" t="str">
        <f>IFERROR(INDEX('Current AR'!C$6:C$103,MATCH(83,'Current AR'!X$6:X$103,0)),"")</f>
        <v>CAL-current-083</v>
      </c>
      <c r="D88" s="4">
        <f>IFERROR(INDEX('Current AR'!F$6:F$103,MATCH(83,'Current AR'!X$6:X$103,0)),"")</f>
        <v>45832</v>
      </c>
      <c r="E88" s="5">
        <f>IFERROR(INDEX('Current AR'!I$6:I$103,MATCH(83,'Current AR'!X$6:X$103,0)),"")</f>
        <v>4222668328.7199998</v>
      </c>
      <c r="F88" s="1">
        <f>IFERROR(INDEX('Current AR'!Q$6:Q$103,MATCH(83,'Current AR'!X$6:X$103,0)),"")</f>
        <v>-55</v>
      </c>
      <c r="G88" s="1" t="str">
        <f>IFERROR(INDEX('Current AR'!J$6:J$103,MATCH(83,'Current AR'!X$6:X$103,0)),"")</f>
        <v>Staff 02</v>
      </c>
      <c r="H88" s="4">
        <f>IFERROR(INDEX('Current AR'!N$6:N$103,MATCH(83,'Current AR'!X$6:X$103,0)),"")</f>
        <v>0</v>
      </c>
      <c r="I88" s="4">
        <f>IFERROR(INDEX('Current AR'!O$6:O$103,MATCH(83,'Current AR'!X$6:X$103,0)),"")</f>
        <v>0</v>
      </c>
      <c r="J88" s="1" t="str">
        <f>IFERROR(INDEX('Current AR'!P$6:P$103,MATCH(83,'Current AR'!X$6:X$103,0)),"")</f>
        <v>Review assigned fictional balance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 t="str">
        <f>IFERROR(INDEX('Current AR'!A$6:A$103,MATCH(84,'Current AR'!X$6:X$103,0)),"")</f>
        <v>Customer 03</v>
      </c>
      <c r="B89" s="1" t="str">
        <f>IFERROR(INDEX('Current AR'!D$6:D$103,MATCH(84,'Current AR'!X$6:X$103,0)),"")</f>
        <v>000084</v>
      </c>
      <c r="C89" s="1" t="str">
        <f>IFERROR(INDEX('Current AR'!C$6:C$103,MATCH(84,'Current AR'!X$6:X$103,0)),"")</f>
        <v>CAL-current-084</v>
      </c>
      <c r="D89" s="4">
        <f>IFERROR(INDEX('Current AR'!F$6:F$103,MATCH(84,'Current AR'!X$6:X$103,0)),"")</f>
        <v>45832</v>
      </c>
      <c r="E89" s="5">
        <f>IFERROR(INDEX('Current AR'!I$6:I$103,MATCH(84,'Current AR'!X$6:X$103,0)),"")</f>
        <v>4943959117.3900003</v>
      </c>
      <c r="F89" s="1">
        <f>IFERROR(INDEX('Current AR'!Q$6:Q$103,MATCH(84,'Current AR'!X$6:X$103,0)),"")</f>
        <v>-55</v>
      </c>
      <c r="G89" s="1" t="str">
        <f>IFERROR(INDEX('Current AR'!J$6:J$103,MATCH(84,'Current AR'!X$6:X$103,0)),"")</f>
        <v>Staff 02</v>
      </c>
      <c r="H89" s="4">
        <f>IFERROR(INDEX('Current AR'!N$6:N$103,MATCH(84,'Current AR'!X$6:X$103,0)),"")</f>
        <v>0</v>
      </c>
      <c r="I89" s="4">
        <f>IFERROR(INDEX('Current AR'!O$6:O$103,MATCH(84,'Current AR'!X$6:X$103,0)),"")</f>
        <v>0</v>
      </c>
      <c r="J89" s="1" t="str">
        <f>IFERROR(INDEX('Current AR'!P$6:P$103,MATCH(84,'Current AR'!X$6:X$103,0)),"")</f>
        <v>Review assigned fictional balance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 t="str">
        <f>IFERROR(INDEX('Current AR'!A$6:A$103,MATCH(85,'Current AR'!X$6:X$103,0)),"")</f>
        <v>Customer 03</v>
      </c>
      <c r="B90" s="1" t="str">
        <f>IFERROR(INDEX('Current AR'!D$6:D$103,MATCH(85,'Current AR'!X$6:X$103,0)),"")</f>
        <v>000085</v>
      </c>
      <c r="C90" s="1" t="str">
        <f>IFERROR(INDEX('Current AR'!C$6:C$103,MATCH(85,'Current AR'!X$6:X$103,0)),"")</f>
        <v>CAL-current-085</v>
      </c>
      <c r="D90" s="4">
        <f>IFERROR(INDEX('Current AR'!F$6:F$103,MATCH(85,'Current AR'!X$6:X$103,0)),"")</f>
        <v>45832</v>
      </c>
      <c r="E90" s="5">
        <f>IFERROR(INDEX('Current AR'!I$6:I$103,MATCH(85,'Current AR'!X$6:X$103,0)),"")</f>
        <v>2008264420.55</v>
      </c>
      <c r="F90" s="1">
        <f>IFERROR(INDEX('Current AR'!Q$6:Q$103,MATCH(85,'Current AR'!X$6:X$103,0)),"")</f>
        <v>-55</v>
      </c>
      <c r="G90" s="1" t="str">
        <f>IFERROR(INDEX('Current AR'!J$6:J$103,MATCH(85,'Current AR'!X$6:X$103,0)),"")</f>
        <v>Staff 02</v>
      </c>
      <c r="H90" s="4">
        <f>IFERROR(INDEX('Current AR'!N$6:N$103,MATCH(85,'Current AR'!X$6:X$103,0)),"")</f>
        <v>0</v>
      </c>
      <c r="I90" s="4">
        <f>IFERROR(INDEX('Current AR'!O$6:O$103,MATCH(85,'Current AR'!X$6:X$103,0)),"")</f>
        <v>0</v>
      </c>
      <c r="J90" s="1" t="str">
        <f>IFERROR(INDEX('Current AR'!P$6:P$103,MATCH(85,'Current AR'!X$6:X$103,0)),"")</f>
        <v>Review assigned fictional balance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 t="str">
        <f>IFERROR(INDEX('Current AR'!A$6:A$103,MATCH(86,'Current AR'!X$6:X$103,0)),"")</f>
        <v>Customer 03</v>
      </c>
      <c r="B91" s="1" t="str">
        <f>IFERROR(INDEX('Current AR'!D$6:D$103,MATCH(86,'Current AR'!X$6:X$103,0)),"")</f>
        <v>000086</v>
      </c>
      <c r="C91" s="1" t="str">
        <f>IFERROR(INDEX('Current AR'!C$6:C$103,MATCH(86,'Current AR'!X$6:X$103,0)),"")</f>
        <v>CAL-current-086</v>
      </c>
      <c r="D91" s="4">
        <f>IFERROR(INDEX('Current AR'!F$6:F$103,MATCH(86,'Current AR'!X$6:X$103,0)),"")</f>
        <v>45832</v>
      </c>
      <c r="E91" s="5">
        <f>IFERROR(INDEX('Current AR'!I$6:I$103,MATCH(86,'Current AR'!X$6:X$103,0)),"")</f>
        <v>1780218734.45</v>
      </c>
      <c r="F91" s="1">
        <f>IFERROR(INDEX('Current AR'!Q$6:Q$103,MATCH(86,'Current AR'!X$6:X$103,0)),"")</f>
        <v>-55</v>
      </c>
      <c r="G91" s="1" t="str">
        <f>IFERROR(INDEX('Current AR'!J$6:J$103,MATCH(86,'Current AR'!X$6:X$103,0)),"")</f>
        <v>Staff 02</v>
      </c>
      <c r="H91" s="4">
        <f>IFERROR(INDEX('Current AR'!N$6:N$103,MATCH(86,'Current AR'!X$6:X$103,0)),"")</f>
        <v>0</v>
      </c>
      <c r="I91" s="4">
        <f>IFERROR(INDEX('Current AR'!O$6:O$103,MATCH(86,'Current AR'!X$6:X$103,0)),"")</f>
        <v>0</v>
      </c>
      <c r="J91" s="1" t="str">
        <f>IFERROR(INDEX('Current AR'!P$6:P$103,MATCH(86,'Current AR'!X$6:X$103,0)),"")</f>
        <v>Review assigned fictional balance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 t="str">
        <f>IFERROR(INDEX('Current AR'!A$6:A$103,MATCH(87,'Current AR'!X$6:X$103,0)),"")</f>
        <v>Customer 04</v>
      </c>
      <c r="B92" s="1" t="str">
        <f>IFERROR(INDEX('Current AR'!D$6:D$103,MATCH(87,'Current AR'!X$6:X$103,0)),"")</f>
        <v>000087</v>
      </c>
      <c r="C92" s="1" t="str">
        <f>IFERROR(INDEX('Current AR'!C$6:C$103,MATCH(87,'Current AR'!X$6:X$103,0)),"")</f>
        <v>CAL-current-087</v>
      </c>
      <c r="D92" s="4">
        <f>IFERROR(INDEX('Current AR'!F$6:F$103,MATCH(87,'Current AR'!X$6:X$103,0)),"")</f>
        <v>45761</v>
      </c>
      <c r="E92" s="5">
        <f>IFERROR(INDEX('Current AR'!I$6:I$103,MATCH(87,'Current AR'!X$6:X$103,0)),"")</f>
        <v>487317315</v>
      </c>
      <c r="F92" s="1">
        <f>IFERROR(INDEX('Current AR'!Q$6:Q$103,MATCH(87,'Current AR'!X$6:X$103,0)),"")</f>
        <v>16</v>
      </c>
      <c r="G92" s="1" t="str">
        <f>IFERROR(INDEX('Current AR'!J$6:J$103,MATCH(87,'Current AR'!X$6:X$103,0)),"")</f>
        <v>Staff 02</v>
      </c>
      <c r="H92" s="4">
        <f>IFERROR(INDEX('Current AR'!N$6:N$103,MATCH(87,'Current AR'!X$6:X$103,0)),"")</f>
        <v>0</v>
      </c>
      <c r="I92" s="4">
        <f>IFERROR(INDEX('Current AR'!O$6:O$103,MATCH(87,'Current AR'!X$6:X$103,0)),"")</f>
        <v>0</v>
      </c>
      <c r="J92" s="1" t="str">
        <f>IFERROR(INDEX('Current AR'!P$6:P$103,MATCH(87,'Current AR'!X$6:X$103,0)),"")</f>
        <v>Review assigned fictional balance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 t="str">
        <f>IFERROR(INDEX('Current AR'!A$6:A$103,MATCH(88,'Current AR'!X$6:X$103,0)),"")</f>
        <v>Customer 04</v>
      </c>
      <c r="B93" s="1" t="str">
        <f>IFERROR(INDEX('Current AR'!D$6:D$103,MATCH(88,'Current AR'!X$6:X$103,0)),"")</f>
        <v>000088</v>
      </c>
      <c r="C93" s="1" t="str">
        <f>IFERROR(INDEX('Current AR'!C$6:C$103,MATCH(88,'Current AR'!X$6:X$103,0)),"")</f>
        <v>CAL-current-088</v>
      </c>
      <c r="D93" s="4">
        <f>IFERROR(INDEX('Current AR'!F$6:F$103,MATCH(88,'Current AR'!X$6:X$103,0)),"")</f>
        <v>45760</v>
      </c>
      <c r="E93" s="5">
        <f>IFERROR(INDEX('Current AR'!I$6:I$103,MATCH(88,'Current AR'!X$6:X$103,0)),"")</f>
        <v>1188362685</v>
      </c>
      <c r="F93" s="1">
        <f>IFERROR(INDEX('Current AR'!Q$6:Q$103,MATCH(88,'Current AR'!X$6:X$103,0)),"")</f>
        <v>17</v>
      </c>
      <c r="G93" s="1" t="str">
        <f>IFERROR(INDEX('Current AR'!J$6:J$103,MATCH(88,'Current AR'!X$6:X$103,0)),"")</f>
        <v>Staff 02</v>
      </c>
      <c r="H93" s="4">
        <f>IFERROR(INDEX('Current AR'!N$6:N$103,MATCH(88,'Current AR'!X$6:X$103,0)),"")</f>
        <v>0</v>
      </c>
      <c r="I93" s="4">
        <f>IFERROR(INDEX('Current AR'!O$6:O$103,MATCH(88,'Current AR'!X$6:X$103,0)),"")</f>
        <v>0</v>
      </c>
      <c r="J93" s="1" t="str">
        <f>IFERROR(INDEX('Current AR'!P$6:P$103,MATCH(88,'Current AR'!X$6:X$103,0)),"")</f>
        <v>Review assigned fictional balance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 t="str">
        <f>IFERROR(INDEX('Current AR'!A$6:A$103,MATCH(89,'Current AR'!X$6:X$103,0)),"")</f>
        <v>Customer 04</v>
      </c>
      <c r="B94" s="1" t="str">
        <f>IFERROR(INDEX('Current AR'!D$6:D$103,MATCH(89,'Current AR'!X$6:X$103,0)),"")</f>
        <v>000089</v>
      </c>
      <c r="C94" s="1" t="str">
        <f>IFERROR(INDEX('Current AR'!C$6:C$103,MATCH(89,'Current AR'!X$6:X$103,0)),"")</f>
        <v>CAL-current-089</v>
      </c>
      <c r="D94" s="4">
        <f>IFERROR(INDEX('Current AR'!F$6:F$103,MATCH(89,'Current AR'!X$6:X$103,0)),"")</f>
        <v>45786</v>
      </c>
      <c r="E94" s="5">
        <f>IFERROR(INDEX('Current AR'!I$6:I$103,MATCH(89,'Current AR'!X$6:X$103,0)),"")</f>
        <v>547494600.14999998</v>
      </c>
      <c r="F94" s="1">
        <f>IFERROR(INDEX('Current AR'!Q$6:Q$103,MATCH(89,'Current AR'!X$6:X$103,0)),"")</f>
        <v>-9</v>
      </c>
      <c r="G94" s="1" t="str">
        <f>IFERROR(INDEX('Current AR'!J$6:J$103,MATCH(89,'Current AR'!X$6:X$103,0)),"")</f>
        <v>Staff 02</v>
      </c>
      <c r="H94" s="4">
        <f>IFERROR(INDEX('Current AR'!N$6:N$103,MATCH(89,'Current AR'!X$6:X$103,0)),"")</f>
        <v>0</v>
      </c>
      <c r="I94" s="4">
        <f>IFERROR(INDEX('Current AR'!O$6:O$103,MATCH(89,'Current AR'!X$6:X$103,0)),"")</f>
        <v>0</v>
      </c>
      <c r="J94" s="1" t="str">
        <f>IFERROR(INDEX('Current AR'!P$6:P$103,MATCH(89,'Current AR'!X$6:X$103,0)),"")</f>
        <v>Review assigned fictional balance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 t="str">
        <f>IFERROR(INDEX('Current AR'!A$6:A$103,MATCH(90,'Current AR'!X$6:X$103,0)),"")</f>
        <v>Customer 04</v>
      </c>
      <c r="B95" s="1" t="str">
        <f>IFERROR(INDEX('Current AR'!D$6:D$103,MATCH(90,'Current AR'!X$6:X$103,0)),"")</f>
        <v>000090</v>
      </c>
      <c r="C95" s="1" t="str">
        <f>IFERROR(INDEX('Current AR'!C$6:C$103,MATCH(90,'Current AR'!X$6:X$103,0)),"")</f>
        <v>CAL-current-090</v>
      </c>
      <c r="D95" s="4">
        <f>IFERROR(INDEX('Current AR'!F$6:F$103,MATCH(90,'Current AR'!X$6:X$103,0)),"")</f>
        <v>45786</v>
      </c>
      <c r="E95" s="5">
        <f>IFERROR(INDEX('Current AR'!I$6:I$103,MATCH(90,'Current AR'!X$6:X$103,0)),"")</f>
        <v>347865833.85000002</v>
      </c>
      <c r="F95" s="1">
        <f>IFERROR(INDEX('Current AR'!Q$6:Q$103,MATCH(90,'Current AR'!X$6:X$103,0)),"")</f>
        <v>-9</v>
      </c>
      <c r="G95" s="1" t="str">
        <f>IFERROR(INDEX('Current AR'!J$6:J$103,MATCH(90,'Current AR'!X$6:X$103,0)),"")</f>
        <v>Staff 02</v>
      </c>
      <c r="H95" s="4">
        <f>IFERROR(INDEX('Current AR'!N$6:N$103,MATCH(90,'Current AR'!X$6:X$103,0)),"")</f>
        <v>0</v>
      </c>
      <c r="I95" s="4">
        <f>IFERROR(INDEX('Current AR'!O$6:O$103,MATCH(90,'Current AR'!X$6:X$103,0)),"")</f>
        <v>0</v>
      </c>
      <c r="J95" s="1" t="str">
        <f>IFERROR(INDEX('Current AR'!P$6:P$103,MATCH(90,'Current AR'!X$6:X$103,0)),"")</f>
        <v>Review assigned fictional balance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 t="str">
        <f>IFERROR(INDEX('Current AR'!A$6:A$103,MATCH(91,'Current AR'!X$6:X$103,0)),"")</f>
        <v>Customer 04</v>
      </c>
      <c r="B96" s="1" t="str">
        <f>IFERROR(INDEX('Current AR'!D$6:D$103,MATCH(91,'Current AR'!X$6:X$103,0)),"")</f>
        <v>000091</v>
      </c>
      <c r="C96" s="1" t="str">
        <f>IFERROR(INDEX('Current AR'!C$6:C$103,MATCH(91,'Current AR'!X$6:X$103,0)),"")</f>
        <v>CAL-current-091</v>
      </c>
      <c r="D96" s="4">
        <f>IFERROR(INDEX('Current AR'!F$6:F$103,MATCH(91,'Current AR'!X$6:X$103,0)),"")</f>
        <v>45841</v>
      </c>
      <c r="E96" s="5">
        <f>IFERROR(INDEX('Current AR'!I$6:I$103,MATCH(91,'Current AR'!X$6:X$103,0)),"")</f>
        <v>213147327.61000001</v>
      </c>
      <c r="F96" s="1">
        <f>IFERROR(INDEX('Current AR'!Q$6:Q$103,MATCH(91,'Current AR'!X$6:X$103,0)),"")</f>
        <v>-64</v>
      </c>
      <c r="G96" s="1" t="str">
        <f>IFERROR(INDEX('Current AR'!J$6:J$103,MATCH(91,'Current AR'!X$6:X$103,0)),"")</f>
        <v>Staff 02</v>
      </c>
      <c r="H96" s="4">
        <f>IFERROR(INDEX('Current AR'!N$6:N$103,MATCH(91,'Current AR'!X$6:X$103,0)),"")</f>
        <v>0</v>
      </c>
      <c r="I96" s="4">
        <f>IFERROR(INDEX('Current AR'!O$6:O$103,MATCH(91,'Current AR'!X$6:X$103,0)),"")</f>
        <v>0</v>
      </c>
      <c r="J96" s="1" t="str">
        <f>IFERROR(INDEX('Current AR'!P$6:P$103,MATCH(91,'Current AR'!X$6:X$103,0)),"")</f>
        <v>Review assigned fictional balance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 t="str">
        <f>IFERROR(INDEX('Current AR'!A$6:A$103,MATCH(92,'Current AR'!X$6:X$103,0)),"")</f>
        <v>Customer 04</v>
      </c>
      <c r="B97" s="1" t="str">
        <f>IFERROR(INDEX('Current AR'!D$6:D$103,MATCH(92,'Current AR'!X$6:X$103,0)),"")</f>
        <v>000092</v>
      </c>
      <c r="C97" s="1" t="str">
        <f>IFERROR(INDEX('Current AR'!C$6:C$103,MATCH(92,'Current AR'!X$6:X$103,0)),"")</f>
        <v>CAL-current-092</v>
      </c>
      <c r="D97" s="4">
        <f>IFERROR(INDEX('Current AR'!F$6:F$103,MATCH(92,'Current AR'!X$6:X$103,0)),"")</f>
        <v>45841</v>
      </c>
      <c r="E97" s="5">
        <f>IFERROR(INDEX('Current AR'!I$6:I$103,MATCH(92,'Current AR'!X$6:X$103,0)),"")</f>
        <v>420548618.38999999</v>
      </c>
      <c r="F97" s="1">
        <f>IFERROR(INDEX('Current AR'!Q$6:Q$103,MATCH(92,'Current AR'!X$6:X$103,0)),"")</f>
        <v>-64</v>
      </c>
      <c r="G97" s="1" t="str">
        <f>IFERROR(INDEX('Current AR'!J$6:J$103,MATCH(92,'Current AR'!X$6:X$103,0)),"")</f>
        <v>Staff 02</v>
      </c>
      <c r="H97" s="4">
        <f>IFERROR(INDEX('Current AR'!N$6:N$103,MATCH(92,'Current AR'!X$6:X$103,0)),"")</f>
        <v>0</v>
      </c>
      <c r="I97" s="4">
        <f>IFERROR(INDEX('Current AR'!O$6:O$103,MATCH(92,'Current AR'!X$6:X$103,0)),"")</f>
        <v>0</v>
      </c>
      <c r="J97" s="1" t="str">
        <f>IFERROR(INDEX('Current AR'!P$6:P$103,MATCH(92,'Current AR'!X$6:X$103,0)),"")</f>
        <v>Review assigned fictional balance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 t="str">
        <f>IFERROR(INDEX('Current AR'!A$6:A$103,MATCH(93,'Current AR'!X$6:X$103,0)),"")</f>
        <v>Customer 04</v>
      </c>
      <c r="B98" s="1" t="str">
        <f>IFERROR(INDEX('Current AR'!D$6:D$103,MATCH(93,'Current AR'!X$6:X$103,0)),"")</f>
        <v>000093</v>
      </c>
      <c r="C98" s="1" t="str">
        <f>IFERROR(INDEX('Current AR'!C$6:C$103,MATCH(93,'Current AR'!X$6:X$103,0)),"")</f>
        <v>CAL-current-093</v>
      </c>
      <c r="D98" s="4">
        <f>IFERROR(INDEX('Current AR'!F$6:F$103,MATCH(93,'Current AR'!X$6:X$103,0)),"")</f>
        <v>45840</v>
      </c>
      <c r="E98" s="5">
        <f>IFERROR(INDEX('Current AR'!I$6:I$103,MATCH(93,'Current AR'!X$6:X$103,0)),"")</f>
        <v>178581873.91999999</v>
      </c>
      <c r="F98" s="1">
        <f>IFERROR(INDEX('Current AR'!Q$6:Q$103,MATCH(93,'Current AR'!X$6:X$103,0)),"")</f>
        <v>-63</v>
      </c>
      <c r="G98" s="1" t="str">
        <f>IFERROR(INDEX('Current AR'!J$6:J$103,MATCH(93,'Current AR'!X$6:X$103,0)),"")</f>
        <v>Staff 02</v>
      </c>
      <c r="H98" s="4">
        <f>IFERROR(INDEX('Current AR'!N$6:N$103,MATCH(93,'Current AR'!X$6:X$103,0)),"")</f>
        <v>0</v>
      </c>
      <c r="I98" s="4">
        <f>IFERROR(INDEX('Current AR'!O$6:O$103,MATCH(93,'Current AR'!X$6:X$103,0)),"")</f>
        <v>0</v>
      </c>
      <c r="J98" s="1" t="str">
        <f>IFERROR(INDEX('Current AR'!P$6:P$103,MATCH(93,'Current AR'!X$6:X$103,0)),"")</f>
        <v>Review assigned fictional balance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 t="str">
        <f>IFERROR(INDEX('Current AR'!A$6:A$103,MATCH(94,'Current AR'!X$6:X$103,0)),"")</f>
        <v>Customer 04</v>
      </c>
      <c r="B99" s="1" t="str">
        <f>IFERROR(INDEX('Current AR'!D$6:D$103,MATCH(94,'Current AR'!X$6:X$103,0)),"")</f>
        <v>000094</v>
      </c>
      <c r="C99" s="1" t="str">
        <f>IFERROR(INDEX('Current AR'!C$6:C$103,MATCH(94,'Current AR'!X$6:X$103,0)),"")</f>
        <v>CAL-current-094</v>
      </c>
      <c r="D99" s="4">
        <f>IFERROR(INDEX('Current AR'!F$6:F$103,MATCH(94,'Current AR'!X$6:X$103,0)),"")</f>
        <v>45840</v>
      </c>
      <c r="E99" s="5">
        <f>IFERROR(INDEX('Current AR'!I$6:I$103,MATCH(94,'Current AR'!X$6:X$103,0)),"")</f>
        <v>120105269.76000001</v>
      </c>
      <c r="F99" s="1">
        <f>IFERROR(INDEX('Current AR'!Q$6:Q$103,MATCH(94,'Current AR'!X$6:X$103,0)),"")</f>
        <v>-63</v>
      </c>
      <c r="G99" s="1" t="str">
        <f>IFERROR(INDEX('Current AR'!J$6:J$103,MATCH(94,'Current AR'!X$6:X$103,0)),"")</f>
        <v>Staff 02</v>
      </c>
      <c r="H99" s="4">
        <f>IFERROR(INDEX('Current AR'!N$6:N$103,MATCH(94,'Current AR'!X$6:X$103,0)),"")</f>
        <v>0</v>
      </c>
      <c r="I99" s="4">
        <f>IFERROR(INDEX('Current AR'!O$6:O$103,MATCH(94,'Current AR'!X$6:X$103,0)),"")</f>
        <v>0</v>
      </c>
      <c r="J99" s="1" t="str">
        <f>IFERROR(INDEX('Current AR'!P$6:P$103,MATCH(94,'Current AR'!X$6:X$103,0)),"")</f>
        <v>Review assigned fictional balance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 t="str">
        <f>IFERROR(INDEX('Current AR'!A$6:A$103,MATCH(95,'Current AR'!X$6:X$103,0)),"")</f>
        <v>Customer 04</v>
      </c>
      <c r="B100" s="1" t="str">
        <f>IFERROR(INDEX('Current AR'!D$6:D$103,MATCH(95,'Current AR'!X$6:X$103,0)),"")</f>
        <v>000095</v>
      </c>
      <c r="C100" s="1" t="str">
        <f>IFERROR(INDEX('Current AR'!C$6:C$103,MATCH(95,'Current AR'!X$6:X$103,0)),"")</f>
        <v>CAL-current-095</v>
      </c>
      <c r="D100" s="4">
        <f>IFERROR(INDEX('Current AR'!F$6:F$103,MATCH(95,'Current AR'!X$6:X$103,0)),"")</f>
        <v>45840</v>
      </c>
      <c r="E100" s="5">
        <f>IFERROR(INDEX('Current AR'!I$6:I$103,MATCH(95,'Current AR'!X$6:X$103,0)),"")</f>
        <v>149757863.31999999</v>
      </c>
      <c r="F100" s="1">
        <f>IFERROR(INDEX('Current AR'!Q$6:Q$103,MATCH(95,'Current AR'!X$6:X$103,0)),"")</f>
        <v>-63</v>
      </c>
      <c r="G100" s="1" t="str">
        <f>IFERROR(INDEX('Current AR'!J$6:J$103,MATCH(95,'Current AR'!X$6:X$103,0)),"")</f>
        <v>Staff 02</v>
      </c>
      <c r="H100" s="4">
        <f>IFERROR(INDEX('Current AR'!N$6:N$103,MATCH(95,'Current AR'!X$6:X$103,0)),"")</f>
        <v>0</v>
      </c>
      <c r="I100" s="4">
        <f>IFERROR(INDEX('Current AR'!O$6:O$103,MATCH(95,'Current AR'!X$6:X$103,0)),"")</f>
        <v>0</v>
      </c>
      <c r="J100" s="1" t="str">
        <f>IFERROR(INDEX('Current AR'!P$6:P$103,MATCH(95,'Current AR'!X$6:X$103,0)),"")</f>
        <v>Review assigned fictional balance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 t="str">
        <f>IFERROR(INDEX('Current AR'!A$6:A$103,MATCH(96,'Current AR'!X$6:X$103,0)),"")</f>
        <v>Customer 05</v>
      </c>
      <c r="B101" s="1" t="str">
        <f>IFERROR(INDEX('Current AR'!D$6:D$103,MATCH(96,'Current AR'!X$6:X$103,0)),"")</f>
        <v>000096</v>
      </c>
      <c r="C101" s="1" t="str">
        <f>IFERROR(INDEX('Current AR'!C$6:C$103,MATCH(96,'Current AR'!X$6:X$103,0)),"")</f>
        <v>CAL-current-096</v>
      </c>
      <c r="D101" s="4">
        <f>IFERROR(INDEX('Current AR'!F$6:F$103,MATCH(96,'Current AR'!X$6:X$103,0)),"")</f>
        <v>45801</v>
      </c>
      <c r="E101" s="5">
        <f>IFERROR(INDEX('Current AR'!I$6:I$103,MATCH(96,'Current AR'!X$6:X$103,0)),"")</f>
        <v>43462950</v>
      </c>
      <c r="F101" s="1">
        <f>IFERROR(INDEX('Current AR'!Q$6:Q$103,MATCH(96,'Current AR'!X$6:X$103,0)),"")</f>
        <v>-24</v>
      </c>
      <c r="G101" s="1" t="str">
        <f>IFERROR(INDEX('Current AR'!J$6:J$103,MATCH(96,'Current AR'!X$6:X$103,0)),"")</f>
        <v>Staff 04</v>
      </c>
      <c r="H101" s="4">
        <f>IFERROR(INDEX('Current AR'!N$6:N$103,MATCH(96,'Current AR'!X$6:X$103,0)),"")</f>
        <v>0</v>
      </c>
      <c r="I101" s="4">
        <f>IFERROR(INDEX('Current AR'!O$6:O$103,MATCH(96,'Current AR'!X$6:X$103,0)),"")</f>
        <v>0</v>
      </c>
      <c r="J101" s="1" t="str">
        <f>IFERROR(INDEX('Current AR'!P$6:P$103,MATCH(96,'Current AR'!X$6:X$103,0)),"")</f>
        <v>Review assigned fictional balance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 t="str">
        <f>IFERROR(INDEX('Current AR'!A$6:A$103,MATCH(97,'Current AR'!X$6:X$103,0)),"")</f>
        <v>Customer 06</v>
      </c>
      <c r="B102" s="1" t="str">
        <f>IFERROR(INDEX('Current AR'!D$6:D$103,MATCH(97,'Current AR'!X$6:X$103,0)),"")</f>
        <v>000097</v>
      </c>
      <c r="C102" s="1" t="str">
        <f>IFERROR(INDEX('Current AR'!C$6:C$103,MATCH(97,'Current AR'!X$6:X$103,0)),"")</f>
        <v>CAL-current-097</v>
      </c>
      <c r="D102" s="4">
        <f>IFERROR(INDEX('Current AR'!F$6:F$103,MATCH(97,'Current AR'!X$6:X$103,0)),"")</f>
        <v>45799</v>
      </c>
      <c r="E102" s="5">
        <f>IFERROR(INDEX('Current AR'!I$6:I$103,MATCH(97,'Current AR'!X$6:X$103,0)),"")</f>
        <v>324663</v>
      </c>
      <c r="F102" s="1">
        <f>IFERROR(INDEX('Current AR'!Q$6:Q$103,MATCH(97,'Current AR'!X$6:X$103,0)),"")</f>
        <v>-22</v>
      </c>
      <c r="G102" s="1" t="str">
        <f>IFERROR(INDEX('Current AR'!J$6:J$103,MATCH(97,'Current AR'!X$6:X$103,0)),"")</f>
        <v>Staff 05</v>
      </c>
      <c r="H102" s="4">
        <f>IFERROR(INDEX('Current AR'!N$6:N$103,MATCH(97,'Current AR'!X$6:X$103,0)),"")</f>
        <v>0</v>
      </c>
      <c r="I102" s="4">
        <f>IFERROR(INDEX('Current AR'!O$6:O$103,MATCH(97,'Current AR'!X$6:X$103,0)),"")</f>
        <v>0</v>
      </c>
      <c r="J102" s="1" t="str">
        <f>IFERROR(INDEX('Current AR'!P$6:P$103,MATCH(97,'Current AR'!X$6:X$103,0)),"")</f>
        <v>Review assigned fictional balance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 t="str">
        <f>IFERROR(INDEX('Current AR'!A$6:A$103,MATCH(98,'Current AR'!X$6:X$103,0)),"")</f>
        <v>Customer 07</v>
      </c>
      <c r="B103" s="1" t="str">
        <f>IFERROR(INDEX('Current AR'!D$6:D$103,MATCH(98,'Current AR'!X$6:X$103,0)),"")</f>
        <v>000098</v>
      </c>
      <c r="C103" s="1" t="str">
        <f>IFERROR(INDEX('Current AR'!C$6:C$103,MATCH(98,'Current AR'!X$6:X$103,0)),"")</f>
        <v>CAL-current-098</v>
      </c>
      <c r="D103" s="4">
        <f>IFERROR(INDEX('Current AR'!F$6:F$103,MATCH(98,'Current AR'!X$6:X$103,0)),"")</f>
        <v>45701</v>
      </c>
      <c r="E103" s="5">
        <f>IFERROR(INDEX('Current AR'!I$6:I$103,MATCH(98,'Current AR'!X$6:X$103,0)),"")</f>
        <v>4021632000</v>
      </c>
      <c r="F103" s="1">
        <f>IFERROR(INDEX('Current AR'!Q$6:Q$103,MATCH(98,'Current AR'!X$6:X$103,0)),"")</f>
        <v>76</v>
      </c>
      <c r="G103" s="1" t="str">
        <f>IFERROR(INDEX('Current AR'!J$6:J$103,MATCH(98,'Current AR'!X$6:X$103,0)),"")</f>
        <v>Staff 06</v>
      </c>
      <c r="H103" s="4">
        <f>IFERROR(INDEX('Current AR'!N$6:N$103,MATCH(98,'Current AR'!X$6:X$103,0)),"")</f>
        <v>0</v>
      </c>
      <c r="I103" s="4">
        <f>IFERROR(INDEX('Current AR'!O$6:O$103,MATCH(98,'Current AR'!X$6:X$103,0)),"")</f>
        <v>0</v>
      </c>
      <c r="J103" s="1" t="str">
        <f>IFERROR(INDEX('Current AR'!P$6:P$103,MATCH(98,'Current AR'!X$6:X$103,0)),"")</f>
        <v>Review assigned fictional balance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showGridLines="0" workbookViewId="0">
      <selection activeCell="A23" sqref="A23:D23"/>
    </sheetView>
  </sheetViews>
  <sheetFormatPr defaultRowHeight="14"/>
  <cols>
    <col min="1" max="1" width="49" customWidth="1"/>
    <col min="2" max="3" width="20" customWidth="1"/>
  </cols>
  <sheetData>
    <row r="1" spans="1:3" ht="17.5">
      <c r="A1" s="52" t="s">
        <v>393</v>
      </c>
    </row>
    <row r="3" spans="1:3">
      <c r="A3" s="53" t="s">
        <v>394</v>
      </c>
      <c r="B3" s="53" t="s">
        <v>395</v>
      </c>
      <c r="C3" s="53" t="s">
        <v>396</v>
      </c>
    </row>
    <row r="4" spans="1:3">
      <c r="A4" s="51" t="s">
        <v>397</v>
      </c>
      <c r="B4" s="51">
        <f>SUM('Current AR'!G6:G160)-SUM('Current AR'!H6:H160)-SUM('Current AR'!I6:I160)</f>
        <v>0</v>
      </c>
      <c r="C4" s="51">
        <v>0</v>
      </c>
    </row>
    <row r="5" spans="1:3">
      <c r="A5" s="51" t="s">
        <v>398</v>
      </c>
      <c r="B5" s="51">
        <f>Analysis!B6-SUM('Current AR'!S6:S160)</f>
        <v>0</v>
      </c>
      <c r="C5" s="51">
        <v>0</v>
      </c>
    </row>
    <row r="6" spans="1:3">
      <c r="A6" s="51" t="s">
        <v>399</v>
      </c>
      <c r="B6" s="51">
        <f>SUM(Analysis!B170:B176)-SUM('Current AR'!V6:V160)</f>
        <v>0</v>
      </c>
      <c r="C6" s="51">
        <v>0</v>
      </c>
    </row>
    <row r="7" spans="1:3">
      <c r="A7" s="51" t="s">
        <v>400</v>
      </c>
      <c r="B7" s="51">
        <f>SUM(Analysis!H170:H175)-SUM('Current AR'!V6:V160)</f>
        <v>0</v>
      </c>
      <c r="C7" s="51">
        <v>0</v>
      </c>
    </row>
    <row r="8" spans="1:3">
      <c r="A8" s="51" t="s">
        <v>401</v>
      </c>
      <c r="B8" s="51">
        <f>SUM(Analysis!B38:B44)-SUM('Current AR'!V6:V160)</f>
        <v>0</v>
      </c>
      <c r="C8" s="51">
        <v>0</v>
      </c>
    </row>
    <row r="9" spans="1:3">
      <c r="A9" s="51" t="s">
        <v>402</v>
      </c>
      <c r="B9" s="51">
        <f>COUNTIFS('Current AR'!I6:I160,"&gt;0")</f>
        <v>98</v>
      </c>
      <c r="C9" s="5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Dashboard</vt:lpstr>
      <vt:lpstr>Current AR</vt:lpstr>
      <vt:lpstr>Prior AR</vt:lpstr>
      <vt:lpstr>Analysis</vt:lpstr>
      <vt:lpstr>Collection Follow-up</vt:lpstr>
      <vt:lpstr>Checks</vt:lpstr>
      <vt:lpstr>AR_Customers</vt:lpstr>
      <vt:lpstr>AR_Sales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Fictional portfolio demonstration</dc:creator>
  <cp:lastModifiedBy>Hien Nguyen</cp:lastModifiedBy>
  <cp:lastPrinted>2025-03-17T04:09:00Z</cp:lastPrinted>
  <dcterms:created xsi:type="dcterms:W3CDTF">2025-05-19T03:14:00Z</dcterms:created>
  <dcterms:modified xsi:type="dcterms:W3CDTF">2026-10-19T14:52:29Z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502F88AFD1DB427194119EB821134174_12</vt:lpwstr>
  </property>
  <property fmtid="{D5CDD505-2E9C-101B-9397-08002B2CF9AE}" pid="3" name="KSOProductBuildVer">
    <vt:lpwstr>1033-12.2.0.21931</vt:lpwstr>
  </property>
</Properties>
</file>